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2"/>
  <workbookPr/>
  <xr:revisionPtr revIDLastSave="0" documentId="8_{0F105E71-E016-4AC3-836D-D56EAF2DD5F2}" xr6:coauthVersionLast="47" xr6:coauthVersionMax="47" xr10:uidLastSave="{00000000-0000-0000-0000-000000000000}"/>
  <bookViews>
    <workbookView xWindow="240" yWindow="105" windowWidth="14805" windowHeight="8010" xr2:uid="{00000000-000D-0000-FFFF-FFFF00000000}"/>
  </bookViews>
  <sheets>
    <sheet name="Sheet1" sheetId="1" r:id="rId1"/>
  </sheets>
  <externalReferences>
    <externalReference r:id="rId2"/>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484" i="1" l="1"/>
  <c r="AB484" i="1"/>
  <c r="AJ483" i="1"/>
  <c r="AB483" i="1"/>
  <c r="AJ482" i="1"/>
  <c r="AB482" i="1"/>
  <c r="AK481" i="1"/>
  <c r="AJ481" i="1"/>
  <c r="AB481" i="1"/>
  <c r="AK480" i="1"/>
  <c r="AJ480" i="1"/>
  <c r="AB480" i="1"/>
  <c r="AK479" i="1"/>
  <c r="AJ479" i="1"/>
  <c r="AB479" i="1"/>
  <c r="AK478" i="1"/>
  <c r="AJ478" i="1"/>
  <c r="AB478" i="1"/>
  <c r="AK477" i="1"/>
  <c r="AJ477" i="1"/>
  <c r="AB477" i="1"/>
  <c r="AJ476" i="1"/>
  <c r="AK475" i="1"/>
  <c r="AJ475" i="1"/>
  <c r="AB475" i="1"/>
  <c r="AJ474" i="1"/>
  <c r="AK473" i="1"/>
  <c r="AJ473" i="1"/>
  <c r="AB473" i="1"/>
  <c r="AJ472" i="1"/>
  <c r="AK471" i="1"/>
  <c r="AJ471" i="1"/>
  <c r="AB471" i="1"/>
  <c r="AK470" i="1"/>
  <c r="AJ470" i="1"/>
  <c r="AB470" i="1"/>
  <c r="AK469" i="1"/>
  <c r="AJ469" i="1"/>
  <c r="AB469" i="1"/>
  <c r="AJ468" i="1"/>
  <c r="AB468" i="1"/>
  <c r="AJ467" i="1"/>
  <c r="AB467" i="1"/>
  <c r="AJ466" i="1"/>
  <c r="AB466" i="1"/>
  <c r="AJ465" i="1"/>
  <c r="AB465" i="1"/>
  <c r="AK464" i="1"/>
  <c r="AJ464" i="1"/>
  <c r="AB464" i="1"/>
  <c r="AK463" i="1"/>
  <c r="AJ463" i="1" s="1"/>
  <c r="AB463" i="1"/>
  <c r="AJ462" i="1"/>
  <c r="AJ461" i="1"/>
  <c r="AK460" i="1"/>
  <c r="AJ460" i="1"/>
  <c r="AB460" i="1"/>
  <c r="AJ459" i="1"/>
  <c r="AB459" i="1"/>
  <c r="AJ458" i="1"/>
  <c r="AB458" i="1"/>
  <c r="AJ457" i="1"/>
  <c r="AB457" i="1"/>
  <c r="AJ456" i="1"/>
  <c r="AB456" i="1"/>
  <c r="AJ455" i="1"/>
  <c r="AB455" i="1"/>
  <c r="AJ454" i="1"/>
  <c r="AB454" i="1"/>
  <c r="AJ453" i="1"/>
  <c r="AB453" i="1"/>
  <c r="AJ452" i="1"/>
  <c r="AB452" i="1"/>
  <c r="AJ451" i="1"/>
  <c r="AB451" i="1"/>
  <c r="AJ450" i="1"/>
  <c r="AB450" i="1"/>
  <c r="AJ449" i="1"/>
  <c r="AB449" i="1"/>
  <c r="AJ448" i="1"/>
  <c r="AB448" i="1"/>
  <c r="AJ447" i="1"/>
  <c r="AB447" i="1"/>
  <c r="AJ446" i="1"/>
  <c r="AB446" i="1"/>
  <c r="AJ445" i="1"/>
  <c r="AB445" i="1"/>
  <c r="AJ444" i="1"/>
  <c r="AB444" i="1"/>
  <c r="AK443" i="1"/>
  <c r="AJ443" i="1" s="1"/>
  <c r="AB443" i="1"/>
  <c r="AK442" i="1"/>
  <c r="AJ442" i="1" s="1"/>
  <c r="AB442" i="1"/>
  <c r="AK441" i="1"/>
  <c r="AJ441" i="1" s="1"/>
  <c r="AB441" i="1"/>
  <c r="AK440" i="1"/>
  <c r="AJ440" i="1" s="1"/>
  <c r="AB440" i="1"/>
  <c r="AJ439" i="1"/>
  <c r="AB439" i="1"/>
  <c r="AK438" i="1"/>
  <c r="AJ438" i="1" s="1"/>
  <c r="AB438" i="1"/>
  <c r="AK437" i="1"/>
  <c r="AJ437" i="1" s="1"/>
  <c r="AB437" i="1"/>
  <c r="AK436" i="1"/>
  <c r="AJ436" i="1" s="1"/>
  <c r="AB436" i="1"/>
  <c r="AJ435" i="1"/>
  <c r="AB435" i="1"/>
  <c r="AJ434" i="1"/>
  <c r="AB434" i="1"/>
  <c r="AK433" i="1"/>
  <c r="AJ433" i="1" s="1"/>
  <c r="AB433" i="1"/>
  <c r="AK432" i="1"/>
  <c r="AJ432" i="1" s="1"/>
  <c r="AB432" i="1"/>
  <c r="AJ431" i="1"/>
  <c r="AB431" i="1"/>
  <c r="AK430" i="1"/>
  <c r="AJ430" i="1" s="1"/>
  <c r="AB430" i="1"/>
  <c r="AK429" i="1"/>
  <c r="AJ429" i="1" s="1"/>
  <c r="AB429" i="1"/>
  <c r="AK428" i="1"/>
  <c r="AJ428" i="1" s="1"/>
  <c r="AB428" i="1"/>
  <c r="AJ427" i="1"/>
  <c r="AB427" i="1"/>
  <c r="AK426" i="1"/>
  <c r="AJ426" i="1" s="1"/>
  <c r="AB426" i="1"/>
  <c r="AK425" i="1"/>
  <c r="AJ425" i="1" s="1"/>
  <c r="AB425" i="1"/>
  <c r="AJ417" i="1"/>
  <c r="AJ415" i="1"/>
  <c r="AJ414" i="1"/>
  <c r="AJ409" i="1"/>
  <c r="AJ407" i="1"/>
  <c r="AJ406" i="1"/>
  <c r="AJ405" i="1"/>
  <c r="AJ404" i="1"/>
  <c r="AJ402" i="1"/>
  <c r="AJ401" i="1"/>
  <c r="AJ400" i="1"/>
  <c r="AJ399" i="1"/>
  <c r="AJ398" i="1"/>
  <c r="AJ397" i="1"/>
  <c r="AJ396" i="1"/>
  <c r="AJ395" i="1"/>
  <c r="AJ389" i="1"/>
  <c r="AJ388" i="1"/>
  <c r="AJ314" i="1"/>
  <c r="AJ313" i="1"/>
  <c r="AJ312" i="1"/>
  <c r="AJ311" i="1"/>
  <c r="AJ310" i="1"/>
  <c r="AJ309" i="1"/>
  <c r="AJ308" i="1"/>
  <c r="AJ307" i="1"/>
  <c r="AJ306" i="1"/>
  <c r="AJ305" i="1"/>
  <c r="AJ304" i="1"/>
  <c r="AJ303" i="1"/>
  <c r="AJ302" i="1"/>
  <c r="AJ301" i="1"/>
  <c r="AJ300" i="1"/>
  <c r="AJ299" i="1"/>
  <c r="AJ298" i="1"/>
  <c r="AJ297" i="1"/>
  <c r="AJ296" i="1"/>
  <c r="AJ295" i="1"/>
  <c r="AJ294" i="1"/>
  <c r="AJ293" i="1"/>
  <c r="AJ292" i="1"/>
  <c r="AJ291" i="1"/>
  <c r="AJ290" i="1"/>
  <c r="AJ289" i="1"/>
  <c r="AJ288" i="1"/>
  <c r="AJ287" i="1"/>
  <c r="AJ286" i="1"/>
  <c r="AJ285" i="1"/>
  <c r="AJ284" i="1"/>
  <c r="AJ283" i="1"/>
  <c r="AJ282" i="1"/>
  <c r="AJ281" i="1"/>
  <c r="AJ280" i="1"/>
  <c r="AJ279" i="1"/>
  <c r="AJ278" i="1"/>
  <c r="AJ277" i="1"/>
  <c r="AB236" i="1"/>
  <c r="AB235" i="1"/>
  <c r="AB234" i="1"/>
  <c r="AB233" i="1"/>
  <c r="AB216" i="1"/>
  <c r="AB215" i="1"/>
  <c r="AB214" i="1"/>
  <c r="AB213" i="1"/>
  <c r="AB212" i="1"/>
  <c r="AB211" i="1"/>
  <c r="AB210" i="1"/>
  <c r="AB209" i="1"/>
  <c r="AB208" i="1"/>
  <c r="AB207" i="1"/>
  <c r="AB206" i="1"/>
  <c r="AB205" i="1"/>
  <c r="AB204" i="1"/>
  <c r="AB203" i="1"/>
  <c r="AB202" i="1"/>
  <c r="AB201" i="1"/>
  <c r="AB200" i="1"/>
  <c r="AB199" i="1"/>
  <c r="AB198" i="1"/>
  <c r="AB197" i="1"/>
  <c r="AB196" i="1"/>
  <c r="AB195" i="1"/>
  <c r="AB194" i="1"/>
  <c r="AB193" i="1"/>
  <c r="AB192" i="1"/>
  <c r="AB191" i="1"/>
  <c r="AB190" i="1"/>
  <c r="AB189" i="1"/>
  <c r="AB188" i="1"/>
  <c r="AB187" i="1"/>
  <c r="AB186" i="1"/>
  <c r="AB185" i="1"/>
  <c r="AB184" i="1"/>
  <c r="AB183" i="1"/>
  <c r="AB182" i="1"/>
  <c r="AB181" i="1"/>
  <c r="AB180" i="1"/>
  <c r="AB179" i="1"/>
  <c r="AB178" i="1"/>
  <c r="AB177" i="1"/>
  <c r="AB176" i="1"/>
  <c r="AB175" i="1"/>
  <c r="AB174" i="1"/>
  <c r="AB173" i="1"/>
  <c r="AB172" i="1"/>
  <c r="AB171" i="1"/>
  <c r="AB170" i="1"/>
  <c r="AB169" i="1"/>
  <c r="AB168" i="1"/>
  <c r="AB167" i="1"/>
  <c r="AB166" i="1"/>
  <c r="AB165" i="1"/>
  <c r="AB164" i="1"/>
  <c r="AB163" i="1"/>
  <c r="AB162" i="1"/>
  <c r="AB161" i="1"/>
  <c r="AB160" i="1"/>
  <c r="AB159" i="1"/>
  <c r="AB158" i="1"/>
  <c r="AB157" i="1"/>
  <c r="AB156" i="1"/>
  <c r="AB155" i="1"/>
  <c r="AB154" i="1"/>
  <c r="AB153" i="1"/>
  <c r="AB152" i="1"/>
  <c r="AB151" i="1"/>
  <c r="AB150" i="1"/>
  <c r="AB149" i="1"/>
  <c r="AB148" i="1"/>
  <c r="AB147" i="1"/>
  <c r="AB146" i="1"/>
  <c r="AB145" i="1"/>
  <c r="AB144" i="1"/>
  <c r="AB143" i="1"/>
  <c r="AB142" i="1"/>
  <c r="AB141" i="1"/>
  <c r="AB140" i="1"/>
  <c r="AB139" i="1"/>
  <c r="AB138" i="1"/>
  <c r="AB137" i="1"/>
  <c r="AB136" i="1"/>
  <c r="AB135" i="1"/>
  <c r="AB134" i="1"/>
  <c r="AB133" i="1"/>
  <c r="AB132" i="1"/>
  <c r="AB131" i="1"/>
  <c r="AB130" i="1"/>
  <c r="AB129" i="1"/>
  <c r="AB128" i="1"/>
  <c r="AB127" i="1"/>
  <c r="AB126" i="1"/>
  <c r="AB125" i="1"/>
  <c r="AB124" i="1"/>
  <c r="AB123" i="1"/>
  <c r="AB122" i="1"/>
  <c r="AB121" i="1"/>
  <c r="AB120" i="1"/>
  <c r="AB119" i="1"/>
  <c r="AB118" i="1"/>
  <c r="AB117" i="1"/>
  <c r="AB116" i="1"/>
  <c r="AB115" i="1"/>
  <c r="AB114" i="1"/>
  <c r="AB113" i="1"/>
  <c r="AB112" i="1"/>
  <c r="AB111" i="1"/>
  <c r="AB110" i="1"/>
  <c r="AB109" i="1"/>
  <c r="AB108" i="1"/>
  <c r="AB107" i="1"/>
  <c r="AB106" i="1"/>
  <c r="AB105" i="1"/>
  <c r="AB104" i="1"/>
  <c r="AB103" i="1"/>
  <c r="AB102" i="1"/>
  <c r="AB101" i="1"/>
  <c r="AB100" i="1"/>
  <c r="AB99" i="1"/>
  <c r="AB98" i="1"/>
  <c r="AB97" i="1"/>
  <c r="AB96" i="1"/>
  <c r="AB95" i="1"/>
  <c r="AB94" i="1"/>
  <c r="AB93" i="1"/>
  <c r="AB92" i="1"/>
  <c r="AB91" i="1"/>
  <c r="AB90" i="1"/>
  <c r="AB89" i="1"/>
  <c r="AB88" i="1"/>
  <c r="AB87" i="1"/>
  <c r="AB86" i="1"/>
  <c r="AB85" i="1"/>
  <c r="AB84" i="1"/>
  <c r="AB83" i="1"/>
  <c r="AB82" i="1"/>
  <c r="AB81" i="1"/>
  <c r="AB80" i="1"/>
  <c r="AB79" i="1"/>
  <c r="AB78" i="1"/>
  <c r="AB77" i="1"/>
  <c r="AB76" i="1"/>
  <c r="AB75" i="1"/>
  <c r="AB74" i="1"/>
  <c r="AB73" i="1"/>
  <c r="AB72" i="1"/>
  <c r="AB71" i="1"/>
  <c r="AB70" i="1"/>
  <c r="AB69" i="1"/>
  <c r="AB68" i="1"/>
  <c r="AB67" i="1"/>
  <c r="AB66" i="1"/>
  <c r="AB65" i="1"/>
  <c r="AB64" i="1"/>
  <c r="AB63" i="1"/>
  <c r="AB62" i="1"/>
  <c r="AB61" i="1"/>
  <c r="AB60" i="1"/>
  <c r="AB59" i="1"/>
  <c r="AB58" i="1"/>
  <c r="AB57" i="1"/>
  <c r="AB56" i="1"/>
  <c r="AB55" i="1"/>
  <c r="AB54" i="1"/>
  <c r="AB53" i="1"/>
  <c r="AB52" i="1"/>
  <c r="AB51" i="1"/>
  <c r="AB50" i="1"/>
  <c r="AB49" i="1"/>
  <c r="AB48" i="1"/>
  <c r="AB47" i="1"/>
  <c r="AB46" i="1"/>
  <c r="AB45" i="1"/>
  <c r="AB44" i="1"/>
  <c r="AB43" i="1"/>
  <c r="AB42" i="1"/>
  <c r="AB41" i="1"/>
  <c r="AB40" i="1"/>
  <c r="AB39" i="1"/>
  <c r="AB38" i="1"/>
  <c r="AB37" i="1"/>
  <c r="AB36" i="1"/>
  <c r="AB35" i="1"/>
  <c r="AB34" i="1"/>
  <c r="AB33" i="1"/>
  <c r="AJ32" i="1"/>
  <c r="AB32" i="1"/>
  <c r="AB31" i="1"/>
  <c r="AB30" i="1"/>
  <c r="AB29" i="1"/>
  <c r="AB28" i="1"/>
  <c r="AB27" i="1"/>
  <c r="AB26" i="1"/>
  <c r="AB25" i="1"/>
  <c r="AB24" i="1"/>
  <c r="AB23" i="1"/>
  <c r="AB22" i="1"/>
  <c r="AB21" i="1"/>
  <c r="AB20" i="1"/>
  <c r="AB19" i="1"/>
  <c r="AB18" i="1"/>
  <c r="AB17" i="1"/>
  <c r="AB16" i="1"/>
  <c r="AJ15" i="1"/>
  <c r="AB15" i="1"/>
  <c r="AB14" i="1"/>
  <c r="AB13" i="1"/>
  <c r="AJ12" i="1"/>
  <c r="AB12" i="1"/>
  <c r="AB11" i="1"/>
  <c r="AB10" i="1"/>
  <c r="AB9" i="1"/>
  <c r="AB8" i="1"/>
  <c r="AB7" i="1"/>
  <c r="AB6" i="1"/>
  <c r="AB5" i="1"/>
  <c r="AB4" i="1"/>
  <c r="AB3" i="1"/>
  <c r="AB2" i="1"/>
</calcChain>
</file>

<file path=xl/sharedStrings.xml><?xml version="1.0" encoding="utf-8"?>
<sst xmlns="http://schemas.openxmlformats.org/spreadsheetml/2006/main" count="9166" uniqueCount="1964">
  <si>
    <t>Folder Path</t>
  </si>
  <si>
    <t>Trim Number</t>
  </si>
  <si>
    <t>GS Analyst</t>
  </si>
  <si>
    <t>SFDC No.</t>
  </si>
  <si>
    <t>Parent MSA</t>
  </si>
  <si>
    <t>ContractID</t>
  </si>
  <si>
    <t>Version</t>
  </si>
  <si>
    <t>Effective Date</t>
  </si>
  <si>
    <t>Title</t>
  </si>
  <si>
    <t>Contract Start Date</t>
  </si>
  <si>
    <t>Contract End Date</t>
  </si>
  <si>
    <t>Business Unit</t>
  </si>
  <si>
    <t>Product Line</t>
  </si>
  <si>
    <t>Contract Type</t>
  </si>
  <si>
    <t>Customer Name</t>
  </si>
  <si>
    <t>Customer Entity Type</t>
  </si>
  <si>
    <t>Customer UCN</t>
  </si>
  <si>
    <t>Individual UCN</t>
  </si>
  <si>
    <t>Ship To UCN</t>
  </si>
  <si>
    <t>Record keywords</t>
  </si>
  <si>
    <t>Eligible Participants</t>
  </si>
  <si>
    <t>Type of pricing</t>
  </si>
  <si>
    <t>Pricing Details</t>
  </si>
  <si>
    <t>Product details</t>
  </si>
  <si>
    <t>Pricing Terms – Does the agreements have pricing terms. (TBC) </t>
  </si>
  <si>
    <t>GS Comments</t>
  </si>
  <si>
    <t>Peer Check Comments</t>
  </si>
  <si>
    <t>Status</t>
  </si>
  <si>
    <t>Received Date</t>
  </si>
  <si>
    <t>Start Date</t>
  </si>
  <si>
    <t>Completed Date</t>
  </si>
  <si>
    <t>Peer Reviewed by</t>
  </si>
  <si>
    <t>Peer Review Date</t>
  </si>
  <si>
    <t>Final Reviewed By</t>
  </si>
  <si>
    <t>Closed Date</t>
  </si>
  <si>
    <t>https://jnj.sharepoint.com/teams/ContractIQ/Shared Documents/General/2025/Contracts in Scope/BANNER_HEALTH/</t>
  </si>
  <si>
    <t>000005697~00100503.001</t>
  </si>
  <si>
    <t>ALAMBE29</t>
  </si>
  <si>
    <t>Not Listed</t>
  </si>
  <si>
    <t>MC687</t>
  </si>
  <si>
    <t>TBC</t>
  </si>
  <si>
    <t>Cerenovus Participant Consignment Schedule</t>
  </si>
  <si>
    <t>Neurovascular</t>
  </si>
  <si>
    <t>CERENOVUS PRODUCTS</t>
  </si>
  <si>
    <t>Participant Consignment Schedule</t>
  </si>
  <si>
    <t>Banner Health</t>
  </si>
  <si>
    <t>Arizona non-profit corporation</t>
  </si>
  <si>
    <t>401563</t>
  </si>
  <si>
    <t>00005697</t>
  </si>
  <si>
    <t>00005697 - Banner University Medical Center Tucson</t>
  </si>
  <si>
    <t>FCX100202;
FCX100253;
FCX100305;
FCX100356;
FCX100407;
FCX100412;
FCX100509;
FCX100517;
FCX100611;
FCX100626;
FCX100713;
FCX100730;
FCX100816;
FCX100829;
FCX180714;
FCX180813;
FCX180915;
FCX181017;
FCX181118;
FCX181240;
FCX181343;
FCX181447;
FCX181647;
MCR091010;
MCR091015;
MCR091020;
MCR091520;
MCR091525;
MCR091530;
MCR091540;
MCR092020;
MCR092030;
MCR092040;
MCR092060;
MCR092535;
MCR092545;
MCR092555;
MCR093040;
MCR093060;
MCR093080;
SCR120306;
SCR120308;
SCR120407;
SCR120410;
SCR120412;
SCR120510;
SCR120515;
SCR120610;
SCR120615;
SCR120620;
SCR120715;
SCR120721;
SCR120815;
SCR120824;
SCR120925;
SCR121030;
SCR121230;
SCR122505;
SCR123509;
SCR123575;
XCR120201;
XCR120202;
XCR120304;
XCR120306;
XCR120308;
XCR120406;
XCR120408;
XCR120410;
XCR120510;
XCR120515;
XCR120610;
XCR120620;
XCR122505;
XCR122525;
XCR122535;
XCR123505;
XCR123509;
XCR123575;
XHE120204;
XHE120206;
XHE120208;
MDH1;
ET309522;
ET309537;
ENF403900;
ENF402300;
ENF403000;</t>
  </si>
  <si>
    <t>000401563~00098652.001</t>
  </si>
  <si>
    <t>CSC093</t>
  </si>
  <si>
    <t>Consolidated Service Center Agreement</t>
  </si>
  <si>
    <t>Core Surgery</t>
  </si>
  <si>
    <t>ALL ETHICON PRODUCTS INCLUDED
EXCEPT:
ALL NEUWAVE PRODUCTS
ALL LINX PRODUCTS
MEGADYNE CAPITAL
VISTASEAL PRODUCTS
SURGIFLO PRODUCTS
EVARREST PRODUCTS</t>
  </si>
  <si>
    <t>$47b406c681c9$538180DC53214A55AD5D7585204B77FA.docx</t>
  </si>
  <si>
    <t>All Products Included
EXCEPT:
All NEUWAVE™ Products
All LINX® Products
MEGADYNE™ Capital
VISTASEAL™ Products
SURGIFLO® Products
EVARREST® Products</t>
  </si>
  <si>
    <t>000401563~00098652.002</t>
  </si>
  <si>
    <t>Notice To Update Sterilization &amp; Packaging Guidelines</t>
  </si>
  <si>
    <t xml:space="preserve">Guidelines_01.31.25 </t>
  </si>
  <si>
    <t>001018471~00073572.001</t>
  </si>
  <si>
    <t>Master IDN Consignment Agreement</t>
  </si>
  <si>
    <t>Multiple BUs</t>
  </si>
  <si>
    <t xml:space="preserve">$1d22d3e759bd$88B3B89159804B78BE910D5D2D76E289.docx </t>
  </si>
  <si>
    <t>Multiple Consignment Agreements for different business units but details are left blank</t>
  </si>
  <si>
    <t>001018471~00073572.002</t>
  </si>
  <si>
    <t>Notification Of Address Change In The Master Agreement Notices Section</t>
  </si>
  <si>
    <t>Notice Of Address Change In The Master Agreement Notices Section</t>
  </si>
  <si>
    <t>Missing Contract ID; MC687 is the contract itself and not a related parent agreement.</t>
  </si>
  <si>
    <t>001018471~00073572.003</t>
  </si>
  <si>
    <t>Amendment To Master IDN Consignment Agreement</t>
  </si>
  <si>
    <t>Amendment to Master IDN Consignment Agreement</t>
  </si>
  <si>
    <t xml:space="preserve">$Cdcf315dd404$833B268694FC47E8A484B17CDB4BCB74.Docx </t>
  </si>
  <si>
    <t>Effective Date: Please check if second signature was considered.
Missing Contract ID; MC687 is the contract itself and not a related parent agreement.</t>
  </si>
  <si>
    <t>001018471~00073573.001</t>
  </si>
  <si>
    <t>MR906</t>
  </si>
  <si>
    <t>Master Integrated Delivery Network Agreement And Consolidated Service Center Agreement</t>
  </si>
  <si>
    <t>ALL PRODUCTS INCLUDED
EXCEPT:
NEUWAVE CAPITAL
ALL LINX PRODUCTS
MEGADYNE CAPITAL
EVICEL PRODUCTS
VISTASEAL PRODUCTS
SURGIFLO PRODUCTS
EVARREST PRODUCTS</t>
  </si>
  <si>
    <t>Master IDN and CSC agreement</t>
  </si>
  <si>
    <t>$ecd16af80a34$BE4C919DBC694927AE09E168F3350097.docx</t>
  </si>
  <si>
    <t>All Products Included
EXCEPT:
NEUWAVE™ Capital
All LINX® Products
MEGADYNE™ Capital
EVICEL® Products
VISTASEAL™ Products
SURGIFLO® Products
EVARREST® Products</t>
  </si>
  <si>
    <t>No Tiered Contract Pricing</t>
  </si>
  <si>
    <t>001018471~00073573.002</t>
  </si>
  <si>
    <t>Amendment To Master Integrated Delivery Network And Consolidated Service Center Agreement</t>
  </si>
  <si>
    <t>Amendment to Master IDN and CSC Agreement</t>
  </si>
  <si>
    <t>Banner Amd Update CSC Article 5 Sch C Eff 06.01.20.docx</t>
  </si>
  <si>
    <t>001018471~00073573.005</t>
  </si>
  <si>
    <t>Master Integrated Delivery Network And Consolidated Service Center (“Csc”) Agreement (Mr906) – Notice Of Waiver</t>
  </si>
  <si>
    <t>Notice to Master Integrated Delivery Network And Consolidated Service Center (“Csc”) Agreement (Mr906)</t>
  </si>
  <si>
    <t>Banner_MR906_ Notice_EUS Waiver_06.17.20.docx</t>
  </si>
  <si>
    <t>001018471~00073573.010</t>
  </si>
  <si>
    <t>Banner Amd Update CSC Article 5 Sch C Eff 11.01.20.docx</t>
  </si>
  <si>
    <t>001018471~00073573.028</t>
  </si>
  <si>
    <t>Product Agreement</t>
  </si>
  <si>
    <t>Orthopaedics</t>
  </si>
  <si>
    <t>DEPUY SYNTHES MITEK SPORTS MEDICINE</t>
  </si>
  <si>
    <t>01018471 Banner Health Mitek MedSurg IDN PA v1 psh 20210914</t>
  </si>
  <si>
    <t>00001116 Banner University Medical Center Phoenix 1021 E Willetta St Phoenix AZ 85006;
00003760 Banner Desert Medical Center 1400 S Dobson Rd Mesa AZ 85202;
00003765 Banner Boswell Medical Center 10401 W Thunderbird Blvd Sun City AZ 85351;
00005697 Banner University Medical Center Tucson 1625 N. Campbell Ave Tucson AZ 85719;
00006771 McKee Medical Center 2000 Boise Ave Loveland CO 80538;
00006777 Sterling Regional Medical Center 615 Fairhurst St Sterling CO 80751;
00006816 Wyoming Medical Center 1233 E 2nd St Casper WY 82601;
00009709 Ogallala Community Hospital 2601 N Spruce St Ogallala NE 69153;
00009887 North Colorado Medical Center 1801 16th St Greeley CO 80631;
00009892 Platte County Memorial Hospital 201 14th St Wheatland WY 82201;
00011605 Banner Thunderbird Medical Center 5555 W Thunderbird Rd Glendale AZ 85306;
00012273 Banner Lassen Medical Center 1800 Spring Ridge Dr Susanville CA 96130;
00013551 Page Hospital 501 N Navajo Dr Page AZ 86040;
00033481 Banner Baywood Medical Center 6644 E Baywood Ave Mesa AZ 85206;
00043283 Banner Del E Webb Medical Centers for Women's Health 14502 W Meeker Blvd Sun City West AZ 85375;
00063110 Banner Thunderbird SurgiCenter 5555b W Thunderbird Rd Glendale AZ 85306;
00063112 Banner Mesa Surgery Center 1500 S Dobson Rd, Ste 101 Mesa AZ 85202;
00077466 Banner Union Hills Surgery Center 18301 N 79th Ave, Ste E150 Glendale AZ 85308;
00286160 Banner University Medical Center Alvernon Surgery Center 750 N Alvernon Way Tucson AZ 85711;
00302598 Banner University Medical Center South 2800 E Ajo Way Suite 100 Tucson AZ 85713;
00381222 Banner Peoria Surgery Center LLC 13640 N Plaza Del Rio Blvd Peoria AZ 85381;
00400531 Banner Estrella Medical Center 9201 W Thomas Rd Phoenix AZ 85037;
00402033 Mountain Vista Orthopedic Surgery Center 5890 W 13th St Greeley CO 80634;
00408344 Skyline Surgery Center 2555 E 13th St Loveland CO 80537;
00412201 Banner Estrella Surgery Center 9301 W Thomas Rd Phoenix AZ 85037;
01077018 Banner Gateway Medical Center 1900 N Higley Rd Gilbert AZ 85234;
01078336 Banner Gateway Medical Surgery Center 1900 N Higley Rd Gilbert AZ 85234;
01085593 Wyoming Medical Center East Campus 6550 E 2nd St Casper WY 82609;
01117666 Banner Orthopedic Surgery Specialists 1920 N Higley Rd Gilbert AZ 85234;
01131340 Banner Ironwood Medical Center 37000 N Gantzel Rd Queen Creek AZ 85140;
01328050 Banner Casa Grande Medical 1800 E Florence Blvd Casa Grande AZ 85122;
01345702 Banner Fort Collins Medical Center 4700 Lady Moon Dr Fort Collins CO 80528;
01472802 Banner Enticare Tempe Surgery Center Clinic LLC 1940 E Southern Ave Tempe AZ 85282;
01483304 Banner Ocotillo Medical Center 1405 S Alma School Rd Chandler AZ 85286;</t>
  </si>
  <si>
    <t>Net Pricing</t>
  </si>
  <si>
    <t xml:space="preserve">Anchor 210030 GRYPHON PEEK DS ANCHOR W/OC 1 EA $316.00;
Anchor 210031 GRYPHON PEEK ANCHOR W/OC 1 EA $310.00;
Anchor 210309 SUPER THREADERTAB *PK/5 1 PK $2,141.00;
Anchor 210310 ROTCUFF THREADERTAB *EA 1 EA $388.00;
Anchor 210409 SUPER THREADERTAB *EA 1 EA $428.00;
Anchor 210704 LUPINE PANALOK LOOP ARTH #2ETH 1 EA $339.00;
Anchor 210708 LUPINE LOOP PLUS ANCHOR W/OC 1 EA $366.00;
Anchor 210709 LUPINELOOPPLUS ANCHOR W/OC DS 1 EA $377.00;
Anchor 210711 LUPINE BR W/ORTHCRD 1 EA $366.00;
Anchor 210712 LUPINE BR DS W/ORTHCRD 1 EA $377.00;
Anchor 210725 PANALOK #2 PAN CP-2 *EA 1 EA $410.00;
Anchor 210800 VERSALOK THREADER TAB *EA 1 EA $368.00;
Anchor 210808 VERSALOK PRE PACKED W/OC 1 EA $413.00;
Anchor 210811 GRYPHON T BR DS ANCH W/OC 1 EA $326.00;
Anchor 210812 GRYPHON T BR ANCHOR W/OC 1 EA $319.00;
Anchor 210813 GRYPHON P BR DS ANCHOR W/OC 1 EA $326.00;
Anchor 210814 GRYPHON P BR ANCHOR W/OC 1 EA $319.00;
Anchor 210818 VERSALOK PEEK WITH ORTHOCORD 1 EA $413.00;
Anchor 210820 GRYPHON BR W/ PROKNOT 1 EA $387.00;
Anchor 210821 GRYPHON PEEK W/PROKNOT 1 EA $370.00;
Anchor 212031 ROTCUFF QA+ #2 ETH CP-2 *EA 1 PK $398.00;
Anchor 212032 SUPER QA+ #2 ETH CP-2 *EA 1 EA $398.00;
Anchor 212033 MINI QA+ #2/0 ETH V-5 *EA 1 PK $382.00;
Anchor 212034 GII QA+ #2 ETH CP-2 *EA 1 EA $364.00;
Anchor 212035 MINI QA+ #2/O OCORD V-5 1 EA $397.00;
Anchor 212038 MINIQA+ # ORTHOCORD OS-2 1 EA $397.00;
Anchor 212041 MICROQA+W/#4OC(C1) 1 EA $383.00;
Anchor 212042 MICROQA+ W/#4OC P3 1 EA $383.00;
Anchor 212044 MICRIFXQA+ W/#4OC P3 1 EA $396.00;
Anchor 212045 MICRIFXQA+ W/#4OC C1 1 EA $396.00;
Anchor 212123 MINI INSERTER (SYRINGE) *EA 1 EA $510.00;
Anchor 212133 MINI QA+ #0 ETH OS-2 *EA 1 EA $382.00;
Anchor 212310 ROTCUFF EASY #2 ETH *EA 1 EA $425.00;
Anchor 212315 ROTCUFF EASY #2 ETH *PK/5 1 PK $2,123.00;
Anchor 212722 BIOKNOTLESS RAPIDE W/OC 1 EA $414.00;
Anchor 212723 BIOKNOTLESS RAPIDE W/PAN 1 EA $404.00;
FMS 283709 FULL RADIUS 5.0MM 5PK 1 PK $331.00;
FMS 283719 AGGRESIVE 5.0MM 5PK 1 PK $331.00;
FMS 283729 ULTRA AGGRESSIVE PLUS 5.0 5PK 1 PK $331.00;
FMS 283739 5.0MM MULTIBLADE PLUS 5PK 1 PK $331.00;
FMS 283858 XL 5.0MM ROUND BURR PLUS 5PK 1 PK $450.00;
FMS 283859 5.0MM ROUND BURR PLUS 5PK 1 PK $331.00;
FMS 283869 5.0 MM BARREL BURR PLUS 5PK 1 PK $331.00;
FMS 283878 XL 5MM RND TRNDO BURR PLUS 5PK 1 PK $450.00;
FMS 283879 5.0MM ROUND TRDO BURR PLUS 5PK 1 PK $331.00;
FMS 283889 BARREL TORNADO BURR 5.5MM 5PK 1 PK $331.00;
FMS 284156 4156 FOOT PED COVER 4WAY PK/100 -NS 1 PK $375.00;
FMS 284163 4163 FOOT PED COVER 2WAY PK/100 -NS 1 PK $375.00;
FMS 284504 IRRIGATION TUBESET 24PK 1 PK $1,026.00;
FMS 284508 INFLOW TUBING FMS VUE 24PK 1 PK $1,080.00;
FMS 284610 DISP PATIENT SET FMS 24PK 1 PK $1,026.00;
FMS 284649 REUSE PATIENT SET FMS 24PK 1 PK $1,242.00;
FMS 287305 7305 S FULL RADIUS 3.5 ST PK/5 -SH 1 PK $331.00;
FMS 287315 7315 S AGGRESSIVE 3.5 ST PK/5 -SH 1 PK $331.00;
FMS 287325 S ULTR AGGRESSIVE 3.5 ST 5PK 1 PK $331.00;
FMS 287345 7345 S MINFULRAD 3.5X80 ST PK/5 -SH 1 PK $331.00;
FMS 287375 7375 S MINULTAGGRESSIVE3.5X80 ST PK/5-SH 1 PK $331.00;
FMS 287432 OMNICUT 4.2 RES BLADE 5PK DUO+ 1 PK $525.00;
FMS 287433 OMNICUT 5.2 RES BLADE 5PK DUO+ 1 PK $525.00;
FMS 287505 7505 S FULL RADIUS 5.0 ST PK/5 -SH 1 PK $331.00;
FMS 287525 S ULTRAGGRESSIVE 5.0 ST 5PK 1 PK $331.00;
FMS 287535 7535 S MENISCUS 5.0 ST PK/5 -SH 1 PK $331.00;
FMS 287775 7775 B ROUND TORNADO 4.0 ST PK/5 -SH 1 PK $331.00;
FMS 287785 BARREL TORNADO 4.0 ST 5PK 1 PK $331.00;
FMS 287855 B ROUND 5.5 ST 5PK 1 PK $331.00;
FMS 287865 7865 B BARREL 5.5 ST PK/5 -SH 1 PK $331.00;
Hips 260002 HIP ACCESS KIT 1 EA $389.00;
Hips 260003 HIP CURVED BLADE 1 EA $215.00;
Hips 260009 HIP ACCESS KIT CURVE BLADE 1 EA $491.00;
Hips 260010 HIP STRAIGHT BLADE 1 EA $206.00;
Hips 260011 HIP ACCESS KIT STR BLADE 1 EA $476.00;
Hips 260012 HIP ACCESS KIT NO BLADE 1 EA $389.00;
Knee 210127 RIGIDFIX FEM2.7MM B/T/B XPIN 1 EA $383.00;
Knee 210133 RIGIDFIX FEM 3.3MM S/T XPIN 1 EA $383.00;
Knee 231818 MILAGRO ADVANCE SCREW 9X23MM 1 EA $363.00;
Knee 231819 MILAGRO ADVANCE SCREW 10X23MM 1 EA $363.00;
Knee 231820 MILAGRO INTSCR 9X23MM *EA 1 EA $353.00;
Knee 231821 MILAGRO ADVANCE SCREW 8X30MM 1 EA $363.00;
Knee 231822 MILAGRO ADVANCE SCREW 9X30MM 1 EA $363.00;
Knee 231823 MILAGRO ADVANCE SCREW 10X30MM 1 EA $363.00;
Knee 231824 MILAGRO ADVANCE SCREW 11X30MM 1 EA $363.00;
Knee 231825 MILAGRO INTSCR 9X30MM *EA 1 EA $353.00;
Knee 231826 MILAGRO ADVANCE SCREW 9X35MM 1 EA $363.00;
Knee 231827 MILAGRO ADVANCE SCREW 10X35MM 1 EA $363.00;
Knee 231828 MILAGRO ADVANCE SCREW 11X35MM 1 EA $363.00;
Knee 231829 MILAGRO ADVANCE SCREW 12X35MM 1 EA $363.00;
Knee 231830 MILAGRO INTSCR 9X35MM *EA 1 EA $353.00;
Knee 231831 MILAGRO ADVANCE SCREW 7X30MM 1 EA $363.00;
Knee 231832 MILAGRO ADVANCE SCREW 12X30MM 1 EA $363.00;
Knee 231835 MILAGRO INTSCR 10X23MM *EA 1 EA $353.00;
Knee 231840 MILAGRO INTSCR 10X30MM *EA 1 EA $353.00;
Knee 231845 MILAGRO INTSCR 10X35MM *EA 1 EA $353.00;
Knee 231850 MILAGRO INTSCR 11X30MM *EA 1 EA $353.00;
Knee 231855 MILAGRO INTSCR 11X35MM *EA 1 EA $353.00;
Knee 231856 MILAGRO ADV PEEK SCREW 7X23MM 1 EA $338.00;
Knee 231857 MILAGRO ADV PEEK SCREW 8X23MM 1 EA $338.00;
Knee 231858 MILAGRO ADV PEEK SCREW 9X23MM 1 EA $338.00;
Knee 231859 MILAGRO ADV PEEK SCREW 10X23MM 1 EA $338.00;
Knee 231860 MILAGRO INTSCR 12X30MM *EA 1 EA $353.00;
Knee 231865 MILAGRO INTSCR 12X35MM *EA 1 EA $353.00;
Knee 231866 MILAGRO ADV PEEK SCREW 7X30MM 1 EA $338.00;
Knee 231867 MILAGRO ADV PEEK SCREW 8X30MM 1 EA $338.00;
Knee 231868 MILAGRO ADV PEEK SCREW 9X30MM 1 EA $338.00;
Knee 231869 MILAGRO ADV PEEK SCREW 10X30MM 1 EA $338.00;
Knee 231870 MILAGRO ADV PEEK SCREW 11X30MM 1 EA $338.00;
Knee 231871 MILAGRO ADV PEEK SCREW 12X30MM 1 EA $338.00;
Knee 232000 RETROREAMER (6-12MM) 1 EA $375.00;
Knee 232009 CORTICAL FXATION FXD LOOP 15MM 1 EA $362.00;
Knee 232011 CORTICAL FXATION FXD LOOP 20MM 1 EA $362.00;
Knee 232014 CORTICAL FXATION FXD LOOP 25MM 1 EA $362.00;
Knee 232016 CORTICAL FXATION FXD LOOP 30MM 1 EA $362.00;
Knee 232017 CORTICAL FXATION FXD LOOP35MM 1 EA $362.00;
Vapr 225029 VAPR ARCTIC SUCTION ELECT DOME 1 EA $450.00;
Vapr 225030 VAPR ARCTIC ELECTRODE-CHISEL 1 EA $450.00;
Vapr 225031 COOLPULSE CURVE 1 EA $120.00;
Vapr 225201 VAPR 2.3MM SIDE -EA 1 EA $120.00;
Vapr 225202 VAPR 2.3MM END -EA 1 EA $120.00;
Vapr 225203 VAPR 2.3MM WEDGE 21 DEG -EA 1 EA $120.00;
Vapr 225211 VAPR 2.3MM SIDE SH -EA 1 EA $120.00;
Vapr 225213 VAPR 2.3MM WEDGE SH -EA 1 EA $120.00;
Vapr 225252 VAPR 2.3MM THERM END -EA 1 EA $120.00;
Vapr 225301 VAPR 3.5MM SIDE STR -EA 1 EA $120.00;
Vapr 225302 VAPR 3.5MM SIDE 21 DEG -EA 1 EA $120.00;
Vapr 225303 VAPR 3.5MM END STR -EA 1 EA $120.00;
Vapr 225304 VAPR 3.5MM END 21 DEG -EA 1 EA $120.00;
Vapr 225305 VAPR 3.5MM HOOK 90 DEG -EA 1 EA $120.00;
Vapr 225312 VAPR 3.5MM FLEX SIDE -EA 1 EA $120.00;
Vapr 225314 VAPR 3.5MM FLEX END -EA 1 EA $120.00;
Vapr 225370 VAPR S90 4.0MM W/INTEGR HDP -EA 1 EA $120.00;
Vapr 227202 VAPR 2.3MM END 1-PIEC ELECTRODE -EA 1 EA $242.00;
Vapr 227203 VAPR 2.3MM WEDGE 1-PIECE ELECTRODE -EA 1 EA $242.00;
Vapr 227204 VAPR PREMIERE 90 ELECTRODE -EA 1 EA $140.00;
Vapr 227211 VAPR2.3MM SIDE SHRT 1-PCE ELECTRODE -EA 1 EA $242.00;
Vapr 227213 VAPR2.3MM WEDGESHRT 1-PCE ELECTRODE -EA 1 EA $242.00;
Vapr 227252 VAPR TC 1-PIECE ELECTRODE - EA 1 EA $120.00;
Vapr 227301 VAPR3.5MM SIDEEFFECT 1-PCE ELECTRODE-EA 1 EA $120.00;
Vapr 227302 VAPR3.5MMSDEEFFECT21DEG1-PC ELECTRODE-EA 1 EA $120.00;
Vapr 227305 VAPR 3.5MM HOOK 1-PIECE ELECTRODE -EA 1 EA $120.00;
Vapr 227312 VAPR3.5MMFLEXSIDEEFFECT1-PCEELECTRODE-EA 1 EA $120.00;
Vapr 227355 S50 SM.DIA.ELECTRODE W/INTEG.HNDPIECE-EA 1 EA $272.00;
Vapr 227504 VAPR PREMIERE50 ELECTRODE -EA 1 EA $120.00;
Vapr 228146 VAPR COOLPULSE90 ELECTRODE 1 EA $115.00;
Vapr 228147 VAPR CLPLSE90 ELECTRODE W HAND CNTRLS 1 EA $115.00;
Vapr 228203 VAPR 2.3 WEDGE W/HAND CONTROLS 1 EA $259.00;
Vapr 228300 VAPR SIDE W/ HAND CONTROLS 1 EA $120.00;
Vapr 228305 VAPR HOOK W/ HAND CONTROLS 1 EA $120.00;
Vapr 228370 VAPR S90 W/ HAND CONTROLS 1 EA $120.00;
Vapr 228504 VAPR P50 W/ HAND CONTROLS 1 EA $120.00;
Visualization 242371 "Sony 80MD Printer Refill UPC-R81MD (8 Paper Rolls, 8 Ink Rolls)" 4 PK $1,236.00;
</t>
  </si>
  <si>
    <t>Product list is too long at 13 pages. Please document for the rest of the items.</t>
  </si>
  <si>
    <t>001018471~00073573.037</t>
  </si>
  <si>
    <t>ALL ETHICON AND CONSUMBER BABY PRODUCTS INCLUDED
EXCEPT:
ALL NEUWAVE PRODUCTS
ALL LINX PRODUCTS
MEGADYNE CAPITAL
VISTASEAL PRODUCTS
SURGIFLO PRODUCTS
EVARREST PRODUCTS</t>
  </si>
  <si>
    <t xml:space="preserve"> Amd_Update_Sch B_Remove Neuwave.docx</t>
  </si>
  <si>
    <t>All Ethicon and Consumber Baby Products Included
EXCEPT:
All NEUWAVE™ Products
All LINX® Products
MEGADYNE™ Capital
VISTASEAL™ Products
SURGIFLO® Products
EVARREST® Products</t>
  </si>
  <si>
    <t>001018471~00073573.044</t>
  </si>
  <si>
    <t>00131346</t>
  </si>
  <si>
    <t>JOINT RECONSTRUCTION AND TRAUMA</t>
  </si>
  <si>
    <t>PA sg JJS sg v7 10-5-22.docx</t>
  </si>
  <si>
    <t>00001116 Area 1 BANNER UNIVERSITY MEDICAL CENTER PHOENIX 1021 E WILLETTA ST PHOENIX AZ 85006;
00003760 Area 1 BANNER DESERT MEDICAL CENTER 1400 S DOBSON RD MESA AZ 85202;
00003765 Area 1 BANNER BOSWELL MEDICAL CENTER 10401 W THUNDERBIRD BLVD SUN CITY AZ 85351;
00005697 Area 1 BANNER UNIVERSITY MEDICAL CENTER TUCSON 1625 N. CAMPBELL AVE TUCSON AZ 85719;
00011325 Area 1 CASA GRANDE MEDICAL CENTER 1800 E FLORENCE BLVD CASA GRANDE AZ 85122;
00011605 Area 1 BANNER THUNDERBIRD MEDICAL CENTER 5555 W THUNDERBIRD RD GLENDALE AZ 85306;
00012138 Area 1 BANNER PAYSON MEDICAL CENTER 807 S PONDEROSA ST PAYSON AZ 85541;
00013551 Area 1 PAGE HOSPITAL 501 N NAVAJO DR PAGE AZ 86040;
00016748 Area 1 BANNER PHOENIX SURGERY CENTER LLC 1111 E MCDOWELL RD PHOENIX AZ 85006;
00033481 Area 1 BANNER BAYWOOD MEDICAL CENTER 6644 E BAYWOOD AVE MESA AZ 85206;
00043283 Area 1 BANNER DEL E WEBB MEDICAL CENTERS FOR WOMEN'S HEALTH 14502 W MEEKER BLVD SUN CITY WEST AZ 85375;
00049729 Area 1 BANNER BAYWOOD SURGERY/ 6424 E BROADWAY RD MESA AZ 85206;
00063110 Area 1 BANNER SURGERY CENTER THUNDERBIRD 5555 W THUNDERBIRD RD GLENDALE AZ 85306;
00063112 Area 1 BANNER MESA SURGERY CENTER 1500 S DOBSON RD MESA AZ 85202;
00068185 Area 1 SURGERY CENTER AT RIVER ROAD 2490 E RIVER RD TUCSON AZ 85718;
00077466 Area 1 BANNER UNION HILLS SURGERY CENTER 18301 N 79TH AVE GLENDALE AZ 85308;
00286160 Area 1 BANNER UNIVERSITY MEDICAL CENTER ALVERNON SURGERY CENTER 750 N ALVERNON WAY TUCSON AZ 85711;
00302598 Area 1 BANNER UNIVERSITY MEDICAL CENTER SOUTH 2800 E AJO WAY SUITE 100 TUCSON AZ 85713;
00310558 Area 1 BANNER BAYWOOD HEART HOSPITAL 6750 E BAYWOOD AVE MESA AZ 85206;
00355088 Area 1 GATEWAY SURGERY CENTER 690 N COFCO CENTER CT PHOENIX AZ 85008;
00381222 Area 1 BANNER PEORIA SURGERY CENTER LLC 13640 N PLAZA DEL RIO BLVD PEORIA AZ 85381;
00400531 Area 1 BANNER ESTRELLA MEDICAL CENTER 9201 W THOMAS RD PHOENIX AZ 85037;
00410891 Area 1 N SCOTTSDALE AMB SURGERY CENTER 9439 E IRONWOOD SQUARE DR SCOTTSDALE AZ 85258;
00412201 Area 1 BANNER ESTRELLA SURGERY CENTER 9301 W THOMAS RD PHOENIX AZ 85037;
00429009 Area 1 BANNER SUN CITY WEST SURGERY CENTER LLC 14416 W MEEKER BLVD SUN CITY AZ 85375;
01077018 Area 1 BANNER GATEWAY MEDICAL CENTER 1900 N HIGLEY RD GILBERT AZ 85234;
01078336 Area 1 BANNER GATEWAY MEDICAL SURGERY CENTER 1900 N HIGLEY RD GILBERT AZ 85234;
01131340 Area 1 BANNER IRONWOOD MEDICAL CENTER 37000 N GANTZEL RD QUEEN CREEK AZ 85140;
01149423 Area 1 BANNER GOLDFIELD MEDICAL CENTER 2050 W SOUTHERN AVE APACHE JUNCTION AZ 85120;
01256760 Area 1 CHANDLER SURGERY CENTER LLC 1475 W CHANDLER BLVD CHANDLER AZ 85224;
01328050 Area 1 BANNER CASA GRANDE MEDICAL 1800 E FLORENCE BLVD CASA GRANDE AZ 85122;
01401638 Area 1 BANNER SURGERY CENTER REID PARK 717 S ALVERNON WAY TUCSON AZ 85711;
01472802 Area 1 BANNER ENTICARE TEMPE SURGERY CENTER CLINIC LLC 1940 E SOUTHERN AVE TEMPE AZ 85282;
01473651 Area 1 BANNER CARDIOVASCULAR SURGERY CENTER 14642 N DEL WEBB BLVD SUN CITY AZ 85351;
1479772 Area 1 BANNER SURGERY CENTER 2626 E UNIVERSITY DR MESA AZ 85213;
1483304 Area 1 BANNER OCOTILLO MEDICAL CENTER 1405 S ALMA SCHOOL RD CHANDLER AZ 85286;
1486333 Area 1 BANNER SURGERY CENTER SOUTH VALLEY 36453 N GANTZEL RD SAN TAN VALLEY AZ 85140;
1506979 Area 1 BANNER SURGERY CENTER 37200 N GANTZEL RD SAN TAN VALLEY AZ 85140;
1507723 Area 1 BANNER SURGERY CENTER CHANDLER 1125 S ALMA SCHOOL ROAD CHANDLER AZ 85286;
1513039 Area 1 ADVANCED SPINE AND PAIN SURGERY CENTERS LLC 3525 N CENTRAL AVE PHOENIX AZ 85012;
1507003 Area 1 BANNER SURGERY CENTER CAMELBACK 2222 E HIGHLAND AVE PHOENIX AZ 85016;
3738 Area 2 COMMUNITY HOSPITAL 2000 CAMPBELL DR TORRINGTON WY 82240;
6816 Area 2 WYOMING MEDICAL CENTER 1233 E 2ND ST CASPER WY 82601;
9709 Area 2 OGALLALA COMMUNITY HOSPITAL 2601 N SPRUCE ST OGALLALA NE 69153;
9892 Area 2 PLATTE COUNTY MEMORIAL HOSPITAL 201 14TH ST WHEATLAND WY 82201;
9894 Area 2 WASHAKIE MEDICAL CENTER 400 S 15TH ST WORLAND WY 82401;
11521 Area 2 BANNER CHURCHILL COMMUNITY HOSPITAL 801 E WILLIAMS AVE FALLON NV 89406;
12273 Area 2 BANNER LASSEN MEDICAL CENTER 1800 SPRING RIDGE DR SUSANVILLE CA 96130;
1085593 Area 2 WYOMING MEDICAL CENTER EAST CAMPUS 6550 E 2ND ST CASPER WY 82609;
1085994 Area 2 NEW RIVER AMBULATORY SURGERY 1020 NEW RIVER PKWY FALLON NV 89406;
6771 Area 3 MCKEE MEDICAL CENTER 2000 BOISE AVE LOVELAND CO 80538;
6777 Area 3 STERLING REGIONAL MEDICAL CENTER 615 FAIRHURST ST STERLING CO 80751;
9887 Area 3 NORTH COLORADO MEDICAL CENTER 1801 16TH ST GREELEY CO 80631;
16684 Area 3 EAST MORGAN COUNTY HOSPITAL 2400 EDISON ST BRUSH CO 80723;
80180 Area 3 LOVELAND SURGERY CENTER 3800 GRANT AVE LOVELAND CO 80538;
402033 Area 3 BANNER SURGERY CENTER GREELEY 5890 W 13TH ST GREELEY CO 80634;
408344 Area 3 SKYLINE SURGERY CENTER 2555 E 13TH ST LOVELAND CO 80537;
1345702 Area 3 BANNER FORT COLLINS MEDICAL CENTER 4700 LADY MOON DR FORT COLLINS CO 80528;</t>
  </si>
  <si>
    <t>Capitated component pricing</t>
  </si>
  <si>
    <t xml:space="preserve">HIPS - PRIMARY HIPS - CUP BIMENTUM PRESSFIT PLUS $2,753.72 $2,664.06 $2,561.60 $2,561.60;
HIPS - PRIMARY HIPS - CUP DUOFIX $1,955.21 $1,891.55 $1,818.80 $1,818.80;
HIPS - PRIMARY HIPS - CUP GRIPTION $2,114.31 $2,045.47 $1,966.80 $1,966.80;
HIPS - PRIMARY HIPS - CUP POROUS $1,479.20 $1,431.04 $1,376.00 $1,376.00;
HIPS - PRIMARY HIPS - HEAD CERAMIC DELTA (NOT TS) 28, 32, 36MM $1,598.74 $1,546.69 $1,487.20 $1,487.20;
HIPS - PRIMARY HIPS - HEAD CERAMIC DELTA TS 40, 44MM $1,955.21 $1,891.55 $1,818.80 $1,818.80;
HIPS - PRIMARY HIPS - HEAD LG METAL 40, 44, 48MM $1,443.94 $1,396.93 $1,343.20 $1,343.20;
HIPS - PRIMARY HIPS - HEAD METAL 22.225, 28MM $580.93 $562.02 $540.40 $540.40;
HIPS - PRIMARY HIPS - HEAD METAL 32, 36MM $875.91 $847.39 $814.80 $814.80;
HIPS - PRIMARY HIPS - HEAD UNIPOLAR $479.45 $463.84 $446.00 $446.00;
HIPS - PRIMARY HIPS - LINER ALTRX 28, 32, 36MM $1,348.91 $1,304.99 $1,254.80 $1,254.80;
HIPS - PRIMARY HIPS - LINER BIMENTUM 22, 28MM $2,126.14 $2,056.91 $1,977.80 $1,977.80;
HIPS - PRIMARY HIPS - LINER BIMENTUM ALTRX $2,155.70 $2,085.51 $2,005.30 $2,005.30;
HIPS - PRIMARY HIPS - LINER CERAMIC CERAMAX $1,933.28 $1,870.34 $1,798.40 $1,798.40;
HIPS - PRIMARY HIPS - LINER LG ALTRX 40, 44, 48MM $1,799.12 $1,740.54 $1,673.60 $1,673.60;
HIPS - PRIMARY HIPS - LINER MARATHON 22.225, 28, 32, 36MM $1,282.69 $1,240.93 $1,193.20 $1,193.20;
HIPS - PRIMARY HIPS - LINER METAL PINNACLE DUAL MOBILITY $2,719.75 $2,631.20 $2,530.00 $2,530.00;
HIPS - PRIMARY HIPS - LINER SELF CENTERING $830.76 $803.71 $772.80 $772.80;
HIPS - PRIMARY HIPS - SLEEVE MODULAR SROM $1,425.45 $1,379.04 $1,326.00 $1,326.00;
HIPS - PRIMARY HIPS - SPACER UNIPOLAR $198.23 $191.78 $184.40 $184.40;
HIPS - PRIMARY HIPS - STEM BASIC FRACTURE CEMENTED $2,600.64 $2,515.97 $2,419.20 $2,419.20;
HIPS - PRIMARY HIPS - STEM BASIC FRACTURE PRESSFIT $2,600.64 $2,515.97 $2,419.20 $2,419.20;
HIPS - PRIMARY HIPS - STEM CEMENTED $2,600.64 $2,515.97 $2,419.20 $2,419.20;
HIPS - PRIMARY HIPS - STEM MODULAR SROM $2,804.03 $2,712.74 $2,608.40 $2,608.40;
HIPS - PRIMARY HIPS - STEM POROUS-NO CEMENT $3,603.83 $3,486.50 $3,352.40 $3,352.40;
HIPS - PRIMARY HIPS - STEM POROUS-NO CEMENT BONE PRESERVING (AA) $4,161.54 $4,026.05 $3,871.20 $3,871.20;
HIPS - PRIMARY HIPS - STEM POROUS-NO CEMENT DUAL FIXATION $3,989.11 $3,859.23 $3,710.80 $3,710.80;
HIPS - PRIMARY HIPS - STEM POROUS-NO CEMENT HIGH STABILITY (AA) $4,350.31 $4,208.67 $4,046.80 $4,046.80 ;
KNEES - PRIMARY KNEES - FEMUR ATTUNE CEMENTED $3,149.32 $3,046.78 $2,929.60 $2,929.60;
KNEES - PRIMARY KNEES - FEMUR ATTUNE POROUS $4,046.73 $3,914.98 $3,764.40 $3,764.40;
KNEES - PRIMARY KNEES - FEMUR HP UNI $2,051.96 $1,985.15 $1,908.80 $1,908.80;
KNEES - PRIMARY KNEES - FEMUR LCS CEMENTED $2,902.07 $2,807.58 $2,699.60 $2,699.60;
KNEES - PRIMARY KNEES - FEMUR LCS POROUS $4,034.26 $3,902.91 $3,752.80 $3,752.80;
KNEES - PRIMARY KNEES - FEMUR SIGMA CEMENTED $2,533.99 $2,451.49 $2,357.20 $2,357.20;
KNEES - PRIMARY KNEES - FEMUR SIGMA POROUS $3,640.81 $3,522.27 $3,386.80 $3,386.80;
KNEES - PRIMARY KNEES - INSERT ATTUNE FB AOX $1,466.73 $1,418.98 $1,364.40 $1,364.40;
KNEES - PRIMARY KNEES - INSERT ATTUNE MS FB AOX $1,795.25 $1,736.80 $1,670.00 $1,670.00;
KNEES - PRIMARY KNEES - INSERT ATTUNE RP AOX $1,710.97 $1,655.26 $1,591.60 $1,591.60;
KNEES - PRIMARY KNEES - INSERT LCS RP AOX $1,787.51 $1,729.31 $1,662.80 $1,662.80;
KNEES - PRIMARY KNEES - INSERT LCS RP GVF $1,598.31 $1,546.27 $1,486.80 $1,486.80;
KNEES - PRIMARY KNEES - INSERT SIGMA FB GVF $1,138.21 $1,101.15 $1,058.80 $1,058.80;
KNEES - PRIMARY KNEES - INSERT SIGMA FB XLINK $1,434.91 $1,388.19 $1,334.80 $1,334.80;
KNEES - PRIMARY KNEES - INSERT SIGMA HP UNI $747.77 $723.42 $695.60 $695.60;
KNEES - PRIMARY KNEES - INSERT SIGMA RP AOX $1,718.71 $1,662.75 $1,598.80 $1,598.80;
KNEES - PRIMARY KNEES - INSERT SIGMA RP GVF $1,310.21 $1,267.55 $1,218.80 $1,218.80;
KNEES - PRIMARY KNEES - PATELLA ATTUNE ALL POLY ANATOMIC $935.25 $904.80 $870.00 $870.00;
KNEES - PRIMARY KNEES - PATELLA ATTUNE ALL POLY MEDIAL $705.20 $682.24 $656.00 $656.00;
KNEES - PRIMARY KNEES - PATELLA LCS ALL POLY $906.01 $876.51 $842.80 $842.80;
KNEES - PRIMARY KNEES - PATELLA LCS METAL BACK $1,131.33 $1,094.50 $1,052.40 $1,052.40;
KNEES - PRIMARY KNEES - PATELLA SIGMA ALL POLY $606.73 $586.98 $564.40 $564.40;
KNEES - PRIMARY KNEES - TRAY ATTUNE FB ALL POLY $2,917.12 $2,822.14 $2,713.60 $2,713.60;
KNEES - PRIMARY KNEES - TRAY ATTUNE FB CEMENTED $1,926.40 $1,863.68 $1,792.00 $1,792.00;
KNEES - PRIMARY KNEES - TRAY ATTUNE FB POROUS $2,322.00 $2,246.40 $2,160.00 $2,160.00;
KNEES - PRIMARY KNEES - TRAY ATTUNE RP CEMENTED $2,143.98 $2,074.18 $1,994.40 $1,994.40;
KNEES - PRIMARY KNEES - TRAY ATTUNE RP POROUS $2,765.33 $2,675.30 $2,572.40 $2,572.40;
KNEES - PRIMARY KNEES - TRAY MBT CEMENTED $2,220.09 $2,147.81 $2,065.20 $2,065.20;
KNEES - PRIMARY KNEES - TRAY MBT POROUS $2,427.35 $2,348.32 $2,258.00 $2,258.00;
KNEES - PRIMARY KNEES - TRAY SIGMA FB ALL POLY $1,245.71 $1,205.15 $1,158.80 $1,158.80;
KNEES - PRIMARY KNEES - TRAY SIGMA FB COCR CEMENTED $1,869.64 $1,808.77 $1,739.20 $1,739.20;
KNEES - PRIMARY KNEES - TRAY SIGMA FB TI CEMENTED $1,556.17 $1,505.50 $1,447.60 $1,447.60;
KNEES - PRIMARY KNEES - TRAY SIGMA FB TI POROUS $2,546.89 $2,463.97 $2,369.20 $2,369.20;
KNEES - PRIMARY KNEES - TRAY SIGMA HP UNI ALL POLY $1,290.00 $1,248.00 $1,200.00 $1,200.00;
KNEES - PRIMARY KNEES - TRAY SIGMA HP UNI METAL $1,246.14 $1,205.57 $1,159.20 $1,159.20;
SHOULDERS - PRIMARY SHOULDERS - ADAPTER INHANCE $451.50 $436.80 $420.00 $420.00;
SHOULDERS - PRIMARY SHOULDERS - COLLAR GLOBAL UNITE $408.07 $394.78 $379.60 $379.60;
SHOULDERS - PRIMARY SHOULDERS - COLLET DELTA XTEND CENTRAL SCREW METAGLENE $342.71 $331.55 $318.80 $318.80;
SHOULDERS - PRIMARY SHOULDERS - CUP DELTA XTEND HIGH MOBILITY POLY $1,195.83 $1,156.90 $1,112.40 $1,112.40;
SHOULDERS - PRIMARY SHOULDERS - CUP DELTA XTEND STANDARD &amp; RETENTIVE POLY $967.93 $936.42 $900.40 $900.40;
SHOULDERS - PRIMARY SHOULDERS - EPIPHYSIS DELTA XTEND MODULAR HA $2,992.37 $2,894.94 $2,783.60 $2,783.60;
SHOULDERS - PRIMARY SHOULDERS - EPIPHYSIS DELTA XTEND PC ALT ANGLE $3,401.73 $3,290.98 $3,164.40 $3,164.40;
SHOULDERS - PRIMARY SHOULDERS - EPIPHYSIS GLOBAL UNITE FX $3,401.73 $3,290.98 $3,164.40 $3,164.40;
SHOULDERS - PRIMARY SHOULDERS - GLENOID GLOBAL APG XLINK $1,548.00 $1,497.60 $1,440.00 $1,440.00;
SHOULDERS - PRIMARY SHOULDERS - GLENOID GLOBAL KEELED XLINK $1,548.00 $1,497.60 $1,440.00 $1,440.00;
SHOULDERS - PRIMARY SHOULDERS - GLENOID GLOBAL STEPTECH APG XLINK $2,543.02 $2,460.22 $2,365.60 $2,365.60;
SHOULDERS - PRIMARY SHOULDERS - GLENOID INHANCE VE &amp; SU INSERTER $2,543.02 $2,460.22 $2,365.60 $2,365.60;
SHOULDERS - PRIMARY SHOULDERS - GLENOSPHERE DELTA XTEND STANDARD &amp; ECCENTRIC $1,767.73 $1,710.18 $1,644.40 $1,644.40;
SHOULDERS - PRIMARY SHOULDERS - HEAD GLOBAL ADVANTAGE CTA $2,215.36 $2,143.23 $2,060.80 $2,060.80;
SHOULDERS - PRIMARY SHOULDERS - HEAD GLOBAL ADVANTAGE ECCENTRIC $1,573.37 $1,522.14 $1,463.60 $1,463.60;
</t>
  </si>
  <si>
    <t>Product list is too long at 942 pages. Please document for the rest of the items.</t>
  </si>
  <si>
    <t>Product List needs at least 300 items</t>
  </si>
  <si>
    <t>001018471~00073573.048</t>
  </si>
  <si>
    <t>Amendment To Product Agreement</t>
  </si>
  <si>
    <t>Amendment to Product Agreement</t>
  </si>
  <si>
    <t>001018471~00073573.049</t>
  </si>
  <si>
    <t>Distributor Notice – Update Section 2.5 (Notices)</t>
  </si>
  <si>
    <t>Notice to Update Section</t>
  </si>
  <si>
    <t xml:space="preserve">Sec 2.5_v03.23.23.docx </t>
  </si>
  <si>
    <t>001018471~00073573.050</t>
  </si>
  <si>
    <t>001018471~00073573.051</t>
  </si>
  <si>
    <t>00152028</t>
  </si>
  <si>
    <t>1st Amendment To Product Agreement</t>
  </si>
  <si>
    <t>PA Amendment sg v4 5-22-23.docx</t>
  </si>
  <si>
    <t>Product list is too long at 942 pages. Please document for the rest of the items. Further added to in this Amendment.</t>
  </si>
  <si>
    <t>Missing eligible participants</t>
  </si>
  <si>
    <t>001018471~00073573.052</t>
  </si>
  <si>
    <t>00163697</t>
  </si>
  <si>
    <t>2nd Amendment To Product Agreement</t>
  </si>
  <si>
    <t>$dc4b0d12745d$FF35A237EAAC42098620747E80DA6924.docx</t>
  </si>
  <si>
    <t>001018471~00073573.054</t>
  </si>
  <si>
    <t>DEPUY SYNTHES CMF</t>
  </si>
  <si>
    <t xml:space="preserve">$265fd825d335$BF77F123FE81485B8BBBAAB8568D6DDB.docx </t>
  </si>
  <si>
    <t>00001116 BANNER UNIVERSITY MEDICAL CENTER PHOENIX 1021 E WILLETTA ST PHOENIX AZ 85006;
00003738 COMMUNITY HOSPITAL 2000 CAMPBELL DR TORRINGTON WY 82240;
00003760 BANNER DESERT MEDICAL CENTER 1400 S DOBSON RD MESA AZ 85202;
00003765 BANNER BOSWELL MEDICAL CENTER 10401 W THUNDERBIRD BLVD SUN CITY AZ 85351;
00005697 BANNER UNIVERSITY MEDICAL CENTER TUCSON 1625 N CAMPBELL AVE TUCSON AZ 85719;
00006771 BANNER MCKEE MEDICAL CENTER 2000 BOISE AVE LOVELAND CO 80538;
00006777 STERLING REGIONAL MEDICAL CENTER 615 FAIRHURST ST STERLING CO 80751;
00006816 WYOMING MEDICAL CENTER 1233 E 2ND ST CASPER WY 82601;
00009709 OGALLALA COMMUNITY HOSPITAL 2601 N SPRUCE ST OGALLALA NE 69153;
00009887 NORTH COLORADO MEDICAL CENTER 1801 16TH ST GREELEY CO 80631;
00009892 PLATTE COUNTY MEMORIAL HOSPITAL 201 14TH ST WHEATLAND WY 82201;
00009894 WASHAKIE MEDICAL CENTER 400 S 15TH ST WORLAND WY 82401;
00011325 CASA GRANDE MEDICAL CENTER 1800 E FLORENCE BLVD CASA GRANDE AZ 85122;
00011521 BANNER CHURCHILL COMMUNITY HOSPITAL 801 E WILLIAMS AVE FALLON NV 89406;
00011605 BANNER THUNDERBIRD MEDICAL CENTER 5555 W THUNDERBIRD RD GLENDALE AZ 85306;
00012138 BANNER PAYSON MEDICAL CENTER 807 S PONDEROSA ST PAYSON AZ 85541;
00012273 BANNER LASSEN MEDICAL CENTER 1800 SPRING RIDGE DR SUSANVILLE CA 96130;
00013551 PAGE HOSPITAL 501 N NAVAJO DR PAGE AZ 86040;
00016684 EAST MORGAN COUNTY HOSPITAL 2400 EDISON ST BRUSH CO 80723;
00016748 BANNER PHOENIX SURGERY CENTER LLC 1111 E MCDOWELL RD PHOENIX AZ 85006;
00033481 BANNER BAYWOOD MEDICAL CENTER 6644 E BAYWOOD AVE MESA AZ 85206;
00043283 BANNER DEL E WEBB MEDICAL CENTERS FOR WOMEN'S HEALTH 14502 W MEEKER BLVD SUN CITY WEST AZ 85375;
00049729 BANNER BAYWOOD SURGERY/ 6424 E BROADWAY RD MESA AZ 85206;
00063110 BANNER SURGERY CENTER THUNDERBIRD 5555 W THUNDERBIRD RD GLENDALE AZ 85306;
00063112 BANNER MESA SURGERY CENTER 1500 S DOBSON RD MESA AZ 85202;
00068185 SURGERY CENTER AT RIVER ROAD 2490 E RIVER RD TUCSON AZ 85718;
00077466 BANNER UNION HILLS SURGERY CENTER 18301 N 79TH AVE GLENDALE AZ 85308;
00080180 LOVELAND SURGERY CENTER 3800 GRANT AVE LOVELAND CO 80538;
00286160 BANNER UNIVERSITY MEDICAL CENTER ALVERNON SURGERY CENTER 750 N ALVERNON WAY TUCSON AZ 85711;
00302598 BANNER UNIVERSITY MEDICAL CENTER SOUTH 2800 E AJO WAY SUITE 100 TUCSON AZ 85713;
00310558 BANNER BAYWOOD HEART HOSPITAL 6750 E BAYWOOD AVE MESA AZ 85206;
00355088 GATEWAY SURGERY CENTER 690 N COFCO CENTER CT PHOENIX AZ 85008;
00381222 BANNER PEORIA SURGERY CENTER LLC 13640 N PLAZA DEL RIO BLVD PEORIA AZ 85381;
00400531 BANNER ESTRELLA MEDICAL CENTER 9201 W THOMAS RD PHOENIX AZ 85037;
402033 BANNER SURGERY CENTER GREELEY 5890 W 13TH ST GREELEY CO 80634;
408344 SKYLINE SURGERY CENTER 2555 E 13TH ST LOVELAND CO 80537;
412201 BANNER ESTRELLA SURGERY CENTER 9301 W THOMAS RD PHOENIX AZ 85037;
429009 BANNER SUN CITY WEST SURGERY CENTER LLC 14416 W MEEKER BLVD SUN CITY AZ 85375;
1077018 BANNER GATEWAY MEDICAL CENTER 1900 N HIGLEY RD GILBERT AZ 85234;
1078336 BANNER GATEWAY MEDICAL SURGERY CENTER 1900 N HIGLEY RD GILBERT AZ 85234;
1085593 WYOMING MEDICAL CENTER EAST CAMPUS 6550 E 2ND ST CASPER WY 82609;
1085994 NEW RIVER AMBULATORY SURGERY 1020 NEW RIVER PKWY FALLON NV 89406;
1131340 BANNER IRONWOOD MEDICAL CENTER 37000 N GANTZEL RD QUEEN CREEK AZ 85140;
1149423 BANNER GOLDFIELD MEDICAL CENTER 2050 W SOUTHERN AVE APACHE JUNCTION AZ 85120;
1157226 BILTMORE SURGICAL CENTER 2222 E HIGHLAND AVE PHOENIX AZ 85016;
1256760 CHANDLER SURGERY CENTER LLC 1475 W CHANDLER BLVD CHANDLER AZ 85224;
1328050 BANNER CASA GRANDE MEDICAL 1800 E FLORENCE BLVD CASA GRANDE AZ 85122;
1345702 BANNER FORT COLLINS MEDICAL CENTER 4700 LADY MOON DR FORT COLLINS CO 80528;
1401638 BANNER SURGERY CENTER REID PARK 717 S ALVERNON WAY TUCSON AZ 85711;
1472802 BANNER ENTICARE TEMPE SURGERY CENTER CLINIC LLC 1940 E SOUTHERN AVE TEMPE AZ 85282;
1473651 BANNER CARDIOVASCULAR SURGERY CENTER 14642 N DEL WEBB BLVD SUN CITY AZ 85351;
1479772 BANNER SURGERY CENTER 2626 E UNIVERSITY DR MESA AZ 85213;
1483304 BANNER OCOTILLO MEDICAL CENTER 1405 S ALMA SCHOOL RD CHANDLER AZ 85286;
1486333 BANNER SURGERY CENTER SOUTH VALLEY 36453 N GANTZEL RD SAN TAN VALLEY AZ 85140;
1506979 BANNER SURGERY CENTER 37200 N GANTZEL RD SAN TAN VALLEY AZ 85140;
1507003 BANNER SURGERY CENTER CAMELBACK 2222 E HIGHLAND AVE PHOENIX AZ 85016;
1507723 BANNER SURGERY CENTER CHANDLER 1125 S ALMA SCHOOL ROAD CHANDLER AZ 85286;
1513039 ADVANCED SPINE AND PAIN SURGERY CENTERS LLC 3525 N CENTRAL AVE PHOENIX AZ 85012;
1522061 BANNER SURGERY CENTER DEER VALLEY 20045 N 19TH AVE PHOENIX AZ 85027;
1530151 BANNER SURGERY CENTER SPORTS MEDICINE 7400 N DOBSON RD SCOTTSDALE AZ 85256;</t>
  </si>
  <si>
    <t>Component Pricing, Tier Pricing</t>
  </si>
  <si>
    <t xml:space="preserve">311.102.01S TAP F/2.5MM RESORB EMERG SCREW SLF-DRLG/ADJ LNGTH/MQC-STERILE EA $443.70;
852.420.01S 2.0MM RAPID RESORBABLE STRUT PLATE 2 HOLESX10 HOLES-STERILE EA $562.50;
08.510.547S SYNPOR FAN PLATE 35MM/1.5MM THICK-STERILE EA $553.50;
304.744 MODULE CASE FOR 2.0MM TI MANDIBLE LOCKING PLATE SET EA $1,177.50;
60.503.001 TWINBOX BASE BONE FIXATION SYSTEM EA $381.75;
60.503.060 1.5MM BOX MODULE WITH LID AND INSERT EA $742.50;
690.005 CRANIOFACIAL MODULAR FIXATION SYSTEM GRAPHIC CASE EA $587.25;
304.105W SCREW LENGTH MARKER FOR 5MM SELF-DRILLING SCREWS EA $10.12;
690.644 INSERT TRAY FOR BASIC TROCAR SYSTEM EA $303.75;
304.124 SCREW LENGTH MARKER-24MM PK $39.37;
304.661.29 LABEL SHEET FOR 1.5MM CRANIOFACIAL MODULE EA $20.25;
304.734 CRANIOFACIAL TRAY INSERT FOR MMFS EA $186.00;
03.505.218 T5 TORX SCREWDRIVER BLADE HEX COUPLING EA $408.00;
03.507.004 3.5MM THREADED REDUCTION TOOL SELF-TAPPING 43MM HEX EA $224.25;
313.94 2.4MM SCREWDRIVER WITH HOLDING SLEEVE EA $552.00;
314.676 2.0MM STARDRIVE SCRWDRVR BLADE W/SPRG HLDG SLV SHRT/66MM MQC EA $623.25;
398.94 PLATE HOLDING FORCEPS W/FOOT EA $552.75;
398.202 CAPS 2.4MM PK $364.50;
399.001 PLATE HOLDING FORCEPS, LOCKING F/1.5MM &amp; 2.0MM PLATES EA $810.00;
60.520.001 GRAPHIC CASE/ TISSUE AND PALATAL RETRACTOR INSTRUMENTS EA $2,865.00;
306.741 SMALL PLATE MODULE LID FOR MATRIXMANDIBLE SYSTEM EA $321.75;
60.511.004 MANDIBLE MODULE LID FOR MATRIXORTHOGNATHIC SYSTEM EA $452.25;
03.511.365 BENDING TEMPLATE FOR TI MATRIX REVERSIBLE OBLIQUE L-PL/LONG EA $45.75;
306.713 INSERT TRAY F/BENDING INSTR FOR MATRIXMANDIBLE SYSTEM EA $255.00;
03.511.252 MATRIX 1.4MM DRILL BIT J-LATCH/12MM STOP/44.5MM EA $138.75;
03.511.367 BENDING TEMPLATE FOR TI MATRIX REVERSIBLE 90 DEG L-PL/MED EA $45.75;
306.638 LABEL SHEET FOR 0.8MM PLATES MATRIXMIDFACE SYSTEM EA $16.50;
306.735 LABEL SHEET FOR 306.731 MATRIXMANDIBLE INSTRUMENTS EA $20.62;
306.777 GRAPHIC CASE MEDIUM FOR MATRIXMANDIBLE SYSTEM EA $2,085.00;
03.503.368 BENDING TEMPLATE F/OBLIQUE L PLATES/2X3/MATRIXMIDFACE EA $45.75;
60.511.104 FINGER MAT F/USE W/60.511.102 FOR MATRIXCOMBO SET EA $36.56;
60.511.110 MATRIX AUXILIARY MODULE/MEDIUM FOR MATRIXMIDFACE SYSTEM EA $818.25;
03.503.016 MATRIXNEURO SCREWDRIVER BLADE HEX COUPLING/SELF-RETAIN/SHORT EA $465.00;
03.503.163 MATRIXMANDIBLE BENDNG TEMPLATE F/1.25MM THICK STRAIGHT PLATES EA $62.25;
03.503.164 MATRIXMANDIBLE BENDNG TEMPLATE F/1.25MM 2X2 CRESCENT PLATES EA $62.25;
60.511.018 LABEL SHEET FOR INSTR TRAY MATRIXORTHOGNATHIC SYSTEM EA $16.50;
306.774 LABEL SHEET FOR SCREW MODULE FOR MATRIXMANDIBLE SYSTEM EA $19.31;
386.907 1.8MM CLEANING STYLET F/FREER SUCTION ELEVATOR (386.906) EA $29.25;
386.908 CHEEK RETRACTOR RING/THREADED FOR 386.914 EA $247.50;
316.453 1.0MM DRILL BIT/MINI QC WITH 8MM STOP/44.5MM EA $135.00;
316.447 1.0MM DRILL BIT/STRYKER J-LTCH WITH 6MM STOP/44.5MM EA $135.00;
311.23 TAP FOR 2.4MM CORTEX SCREWS 100MM/45MM TAPPING DEPTH EA $148.50;
421.024 1.3MM TI CRANIAL STRAIGHT PL 4 HOLES/10MM MIDDLE SPACING EA $26.80;
446.014 1.5MM TI CONTOURABLE MESH PLATE/MALLEABLE/38MM X 45MM EA $651.20;
460.107 TI CRANIAL FLAP TUBE CLAMP TEXTURED 11MM DIA EA $162.40;
421.537S LOW PROF NEURO CONTOURABLE TI MESH/MALLEABLE/LARGE ARC-STER EA $680.40;
421.546S LOW PROF NEURO CONTOUR TI MESH MALLEABLE MASTOID/LRG-STERILE EA $529.20;
400.833E TI LOW PROFILE NEURO SCREW SELF-DRILLING 3MM EA $37.80;
04.503.096 TI MATRIXNEURO CONTOUR MESH MASTOID/SMALL/MALLEABLE EA $560.45;
04.503.023 TI MATRIXNEURO BURR HOLE COVER 17MM EA $183.15;
04.503.114.01 TI MATRIXNEURO EMERGENCY SCREW 4MM EA $40.00;
04.503.114.20 TI MATRIXNEURO EMERGENCY SCREW 4MM PK $800.00;
03.307.112 CONNECTING BAR 120MM EA $140.40;
04.315.068 BC DISTRACTOR BODY END ACT W/U-JOINT 40MM FOR CMF DSTR EA $3,693.75;
04.315.311 1.5MM CLOVERLEAF FOOT A-TYPE FOR CMF DISTRACTOR EA $766.80;
04.315.004 AB DISTRACTOR BODY END ACT. 20MM FOR CMF DISTRACTOR EA $3,501.00;
04.315.065 BC DISTRACTOR BODY END ACT. W/U-JOINT 25MM FOR CMF DSTR EA $3,693.75;
04.315.804.01 2.0MM TI RAISED HEAD EMERG SCR SELF-TAPPING/PLUSDRIVE®/4MM EA $157.50;
487.978 TI MULTI-VECTOR DISTRACTOR ARM 85MM EA $287.10;
449.024 2.0MM TI BROAD PLATE 4 HOLES/29MM EA $175.20;
449.017 2.0MM TI STRUT PLATE 25MM X 15MM/6 HOLES EA $240.00;
449.018 2.0MM TI CURVED MANDIBLE STRUT PLATE EA $236.80;
447.304 2.0MM TI MLP PRE-BENT TENSION BAND PLATE-MINI 4 HOLES-RIGHT EA $188.80;
401.051E 2.0MM TI CRTX SCR COARSE PITCH SLF-TPNG W/PLUSDRIVE(TM) 22MM EA $30.40;
401.062 2.0MM TI CRTX SCREW SLF-DRLG W/PLUSDRIVE(TM) RECESS 5MM PK $162.80;
401.298E 2.0MM TI LCKNG SCREW SLF-TPNG W/PLUSDRIVE(TM) RECESS 16MM EA $58.00;
449.110 2.4MM TI COMPRESSION TENSION BAND PLATE 6 HOLES/36MM EA $188.80;
04.503.905 TI MATRIXMANDIBLE PREFORMED RECON PL/LARGE/LEFT/2.5MM THK EA $2,748.75;
04.503.410.20 2.0MM TI MATRIXMANDIBLE SCREW SELF-TAPPING 10MM PK $1,221.00;
04.503.558.01 2.0MM TI MATRIXMANDIBLE SCREW FINE PITCH / 8MM EA $63.37;
04.503.466.01 2.7MM TI MATRIXMANDIBLE EMERGENCY SCREW SLF-TPNG 6MM EA $95.25;
04.503.672.01 2.9MM TI MATRIXMANDIBLE LOCKING SCREW SLF-TPNG 12MM EA $161.25;
04.503.638.01 2.4MM TI MATRIXMANDIBLE LOCKING SCREW SLF-TPNG 8MM EA $140.25;
04.503.432.01 2.4 TI MATRIXMANDIBLE SCREW STPING 38 EA $119.25;
04.503.711 TI MATRIXMANDIBLE 2X2H CRESCENT PLATE 1.25MM THICK EA $426.00;
04.503.723 TI MATRIXMANDIBLE 2X2 HOLE DCP PLATE 1.5MM THICK EA $570.00;
400.507 1.0MM TI MF CORTEX SCREW SELF-TAPPING W/FLUTES 7MM PK $198.00;
400.404 1.0MM TI CRTX SCREW SLF-TPNG W/PLUSDRIVE(TM) RECESS 4MM PK $204.00;
400.448E 1.3MM TI CRTX SCREW SLF-TPNG W/PLUSDRIVE(TM) RECESS 18MM EA $38.20;
400.448 1.3MM TI CRTX SCREW SLF-TPNG W/PLUSDRIVE(TM) RECESS 18MM PK $190.80;
446.20 1.5MM TI ORBITAL RIM PLATE 10 HOLES EA $138.40;
400.736E 1.5MM TI MF CORTEX SCREW SELF-TAPPING WITH FLUTES 6MM EA $26.80;
400.034 1.5MM TI CORTEX SCR SLF-TPNG WITH PLUSDRIVE(TM) RECESS 4MM PK $138.40;
400.276 2.0MM TI EMERGENCY SCREW WITH PLUSDRIVE(TM) RECESS 6MM PK $145.60;
401.156E 2.0MM TI MF CORTEX SCREW SELF-TAPPING WITH FLUTES 6MM EA $27.20;
401.166 2.0MM TI MF CORTEX SCREW SELF-TAPPING W/FLUTES 16MM PK $136.00;
04.503.238.20 TI MATRIXMIDFACE EMERGENCY SCREW 8MM PK $1,560.75;
04.503.242.05 TI MATRIXMIDFACE EMERGENCY SCREW 12MM PK $390.75;
04.503.975.01 1.7 TI MATRIXMIDFACE EMERGENCY SCREW 5 EA $117.75;
04.503.219 TI MATRIXMEDF ADAPTN PL 24H 0.5 1.3 SCR EA $594.05;
04.503.335 TI MATRIXMIDFACE OBLIQUE L-PL 4X6 HOLES-RIGHT/0.5MM THICK EA $288.00;
04.503.334 TI MATRIXMIDFACE OBLIQUE L-PL 4X6 HOLES-LEFT/0.5MM THICK EA $288.00;
04.503.395 TI MATRIXMIDFACE OBLIQUE L-PL 4X6 HOLES-RIGHT/0.8MM THICK EA $288.00;
447.549 2.0MM TI OBLIQUE L-PLATE/LONG MALLEABLE 2 X 2 HOLES-LEFT EA $93.20;
447.154 2.0MM TI 90 DEG L-PLATE 17MM 2 X 2 HOLES-LOW PROFILE-RIGHT EA $99.20;
447.157 2.0MM TI 90 DEG L-PLATE 19MM 2 X 2 HOLES-LOW PROFILE-LEFT EA $99.20;
04.511.345 TI MATRIX ANATOMIC L-PL/3X3 H MEDIUM/REVERSIBLE/0.7MM THK EA $257.25;
04.511.384 TI MATRIX PRE-BENT MAXILLARY PLATE/4MM ADVMNT/0.8MM THK/R EA $394.50;
04.511.335 TI MATRIX OBLIQUE L-PL/4X3H MEDIUM/REVERSIBLE/0.7MM THICK EA $246.00;
04.511.304 TI MATRIX 90 DEG L-PL/2X2 H SHORT/REVERSIBLE/0.7MM THK EA $236.25;
SD900.337 PLANNED MODEL MAXILLA - ORBITS, WHITE EA $2,383.20;
03.505.011 SCREWHOLDER INSERT FOR SCREWS 1.5 &amp; 2.0MM DIA F/90° SCRWDRVR EA $96.00;
03.505.065 1.5MM DIA DRILL BIT 14MM STOP LGTH 21MM FOR 90° SCREWDRIVER EA $249.75;
05.000.030 DD - MATRIXPRO II HAND PIECE EA $8,701.50;
04.501.114S 3.0MM TI STERNAL LOCKING SCREW SELF-DRILLING/14MM - STERILE EA $201.60;
460.027 SMALL TI STERNAL LOCKING H-PLATE/8 HOLES EA $856.80;
460.023 TI STERNAL LOCKING STRAIGHT PLATE-20 HOLES EA $1,946.70;
60.501.098 BASE FOR MATRIXRIB STACKABLE GRAPHIC CASE/TROCAR &amp; FORCEPS EA $225.00;
03.501.766 Ø2.2MM DRILL BIT W/16MM STOP F/90° SCRWDRVR MATRIXRIB EA $291.60;
03.501.046 2.2MM DRILL BIT STRYKER J-LATCH/WITH 16MM STOP/135MM EA $180.90;
329.652 BENDING TEMPLATE FOR 1.5MM RESORBABLE BOX PLATE EA $55.35;
08-CC184 DD-DRAPE F/COMPACT WATER BATH STERILE EA $22.50;
311.038.01S TAP F/2.0MM RESORBABLE CORTEX SCREW/(SLF-DRLG) 8MM-STERILE EA $326.70;
314.412 1.5MM CRUCIFORM BLADE WITH HOLDING SLEEVE F/RESORB SCREWS EA $1,086.30;
805.606.04S 1.5MM RAPID RESORBABLE CORTEX SCREW 6MM-STERILE PK $361.80;
851.681.01S 1.5MM RAPID RESORB SELLAR FLR PL 7MMX25MM/0.8MM THK-STERILE EA $278.10;
690.639 INSERT HOLDER EA $212.25;
304.128 SCREW LENGTH MARKER 28MM PK $39.37;
690.638 AUXILIARY INSERT TRAY EA $236.25;
304.701 LOCKING RECONSTRUCTION PLATE MODULE EA $840.00;
68.505.050 MATRIXMIDFACE MINI MODULE TRAY FOR 90° SCREWDRIVER EA $405.75;
03.505.222 BROKEN SCREW EXTRACTOR HEX COUPLING EA $408.00;
397.46 2.0MM/1.5MM INSERT DRILL GUIDE FOR 397.41 EA $216.75;
321.044 BENDING TEMPLATE FOR 1.3MM TI MEDIAL WALL PLATE EA $137.25;
313.852 1.5MM STARDRIVE(TM) SCRWDRVR BLD SLF-RETAIN MED/76MM HXC EA $469.50;
329.76 BENDING TEMPLATE FOR 2.4MM TI LC-DCP® PLATES, CRESCENT EA $57.75;
313.838 1.5MM STARDRIVE(TM) SCREWDRVR BLD/LONG/SLF-RET/HEX COUPLING EA $469.50;
314.688 2.0MM STARDRIVE SCRWDRVR BLADE W/SPRG HLDG SLV SHORT/79MM HXC EA $623.25;
03.505.211 0.5MM SLOTTED SCREWDRIVER BLD HEX COUPLING EA $408.00;
397.216 1.5MM DRILL GUIDE EA $199.50;
391.952 MESH CUTTER EA $870.75;
03.520.019 NEEDLE HOLDER CRILE-WOOD STYLE MEDIUM EA $318.75;
03.520.023 CALIPER CASTROVIEJO STYLE 0MM - 40MM EA $506.25;
03.511.362 BENDING TEMPLATE FOR TI MATRIX REVERSIBLE ANATOMIC L-PL/LONG EA $45.75;
60.511.016 LABEL SHEET F/MAXILLARY MODULE MATRIXORTHOGNATHIC SYSTEM EA $25.50;
60.511.103 INSTR TRAY F/GRAPHIC CASE MATRIXCOMBO/MANDIBLE INSTR EA $345.00;
03.511.342 MATRIX 1.4MM TROCAR DRILL BIT QC/18MM CALIBRATION/100MM EA $171.00;
03.503.911 MATRIXMANDIBLE BNDNG TEMPLATE F/PREFORMED RECON PL/MEDIUM EA $69.37;
03.503.902 SIZER F/MATRIXMANDIBLE PREFORMD RECON PL(04.503.902) EA $852.75;
306.613 1.3MM CMFS MODULE FOR MATRIXMIDFACE SYSTEM EA $899.25;
03.503.375 BENDING TEMPLATE F/BOX PLATES 5MMX10MM/MATRIXMIDFACE EA $45.75;
60.511.006 SCR/DRILL/BLD INSERT W/RECESS HOLES F/MATRIXORTHOGNATHIC SYS EA $243.00;
03.503.478 MATRIXMANDIBLE 2.4MM DRILL BIT J-LATCH FOR 03.503.045/.047 EA $171.00;
03.511.366 BENDING TEMPLATE FOR TI MATRIX REVERSIBLE 90 DEG L-PL/SHORT EA $45.75;
317.82 1.5MM DRILL BIT/MINI QC WITH 12MM STOP/44.5MM EA $135.75;
446.615 1.5MM TI DOUBLE Y-PLATE 6 HOLES/21MM EA $118.00;
460.009.01S TI CRANIAL FLAP TUBE CLAMP TEXTURED 18MM DIA-STERILE EA $193.20;
460.008 TI CRANIAL FLAP TUBE CLAMP TEXTURED 13MM DIA EA $171.60;
421.542S LOW PROF NEURO CONTOURABLE TI MESH/MALLEABLE/100MM DIA-STER EA $1,127.20;
421.532S LOW PROF NEURO CONTOURABLE TI MESH/RIGID/38MMX45MM-STERILE EA $760.00;
421.541S LOW PROF NEURO CONTOURABLE TI MESH/MALLEABLE/70MM DIA-STER EA $904.00;
421.553 TI LOW PROFILE NEURO BURR HOLE COVER FOR SHUNT 15MM EA $126.80;
421.541 TI LOW PROF NEURO CONTOUR MESH 70MM DIAMETER/0.4MM MALLEABLE EA $822.00;
400.845E TI LOW PROFILE NEURO SCREW SELF-TAPPING 5MM EA $37.80;
04.503.087 TI MATRIXNEURO CONTOUR MESH LARGE ARC/0.4MM MALLEABLE EA $900.35;
04.503.151S TI MATRIXNEURO PREFORMED MESH 99MM X 66MM TEMPORAL/LEFT-STER EA $3,090.00;
314.407 HEADFRAME ADJUSTMENT INSTR 72MM F/EXTERNAL MIDFACE DSTR EA $324.90;
390.126 TI SLF-DRLG MOUNTING PIN 40MM F/EXTERNAL MIDFACE DISTRACTOR EA $243.90;
390.128 TI SLF-DRLG MOUNTING PIN 50MM F/EXTERNAL MIDFACE DISTRACTOR EA $243.90;
04.315.127 REMOVABLE EXTENSION ARM-FLEX 40MM FOR CMF DISTRACTOR EA $972.00;
04.315.746.05 1.3MM TI RAISED HEAD SCREW SELF-DRILLING/PLUSDRIVE®/6MM PK $787.50;
04.315.850.01 2.4MM TI RAISED HEAD EMERG SCR SELF-TAPPING/PLUSDRIVE®/10MM EA $157.50;
04.315.772.01 1.7MM TI RAISED HEAD EMERG SCR SELF-TAPPING/PLUSDRIVE®/12MM EA $157.50;
487.973 TI MULTI VECTOR DISTRACTOR ARM 55MM EA $287.10;
387.427 CHEEK RETRACTOR RING FOR WIRE GUIDE/TISSUE PROTECTOR EA $243.90;
488.074 TI ALVEOLAR DISTRACTOR WITH STRAIGHT PLATE 8MM EA $934.20;
288.058 POSTERIOR FOOT-TALL 7MM OFFSET F/MAXILLARY DSTR EA $1,062.90;
487.985 TI MIDFACE DISTRACTOR-ANTERIOR FOOT ELEVATED-LEFT EA $882.90;
449.037 2.0MM TI DCP® PLATE 7 HOLES/48MM EA $188.40;
449.020 2.0MM TI ADAPTION PLATE 20 HOLES/119MM EA $267.60;
447.404 2.0MM TI MLP DOUBLE ANGLE PLATE-LARGE 4 X 20 X 4 HOLES EA $938.80;
447.106 2.0MM TI LARGE LOCKING PLATE 20 HOLES EA $490.80;
401.065E 2.0MM TI CORTEX SCREW SLF-DRLG W/PLUSDRIVE(TM) RECESS 8MM EA $32.60;
401.594 2.0MM TI TENSION BAND SCREW SELF-TAPPING 4MM PK $183.60;
449.38 2.4MM TI UNIVERSAL FRACTURE PLATE 8 HOLES/64MM EA $273.60;
04.305.101 4.0MM TI PRE-BENT ROD/FULL MANDIBLE EA $666.90;
03.305.006 ADJUSTABLE CLAMP FOR MANDIBLE EXTERNAL FIXATOR EA $501.30;
04.503.903 TI MATRIXMANDIBLE PREFORMED RECON PL/MEDIUM/LEFT/2.5MM THK EA $2,653.50;
04.503.556.01 2.0MM TI MATRIXMANDIBLE SCREW FINE PITCH / 6MM EA $63.37;
04.503.405.20 2.0MM TI MATRIXMANDIBLE SCREW SELF-TAPPING 5MM PK $1,221.00;
04.503.610.01 2.0MM TI MATRIXMANDIBLE LOCKING SCREW SLF-TPNG 10MM EA $114.00;
04.503.472.01 2.7MM TI MATRIXMANDIBLE EMERGENCY SCREW SLF-TPNG 12MM EA $95.25;
04.503.438.01 2.4MM TI MATRIXMANDIBLE SCREW SELF-TAPPING 8MM EA $87.75;
</t>
  </si>
  <si>
    <t>Product list is too long at 103 pages. Please see document for the rest of the items.</t>
  </si>
  <si>
    <t>Product List</t>
  </si>
  <si>
    <t>001018471~00073573.055</t>
  </si>
  <si>
    <t>ETHICON ENERGY PRODUCTS</t>
  </si>
  <si>
    <t>Total Energy PA bfp v1 9.28.2023</t>
  </si>
  <si>
    <t>1116 BANNER UNIVERSITY MEDICAL CENTER PHOENIX 1021 E WILLETTA ST, PHOENIX AZ 85006;
3738 COMMUNITY HOSPITAL 2000 CAMPBELL DR, TORRINGTON WY 82240;
3760 BANNER DESERT MEDICAL CENTER 1400 S DOBSON RD, MESA AZ 85202;
3765 BANNER BOSWELL MEDICAL CENTER;
10401 W THUNDERBIRD BLVD, SUN CITY AZ 85351;
5697 BANNER UNIVERSITY MEDICAL CENTER TUCSON 1625 N CAMPBELL AVE, TUCSON AZ 85719;
6771 BANNER MCKEE MEDICAL CENTER 2000 BOISE AVE, LOVELAND CO 80538;
6777 STERLING REGIONAL MEDICAL CENTER 615 FAIRHURST ST, STERLING CO 80751;
9709 OGALLALA COMMUNITY HOSPITAL 2601 N SPRUCE ST, OGALLALA NE 69153;
9887 NORTH COLORADO MEDICAL CENTER 1801 16TH ST, GREELEY CO 80631;
9892 PLATTE COUNTY MEMORIAL HOSPITAL 201 14TH ST, WHEATLAND WY 82201;
9894 WASHAKIE MEDICAL CENTER 400 S 15TH ST, WORLAND WY 82401;
11521 BANNER CHURCHILL COMMUNITY HOSPITAL 801 E WILLIAMS AVE, FALLON NV 89406;
11605 BANNER THUNDERBIRD MEDICAL CENTER 5555 W THUNDERBIRD RD, GLENDALE AZ 85306;
12138 BANNER PAYSON MEDICAL CENTER 807 S PONDEROSA ST, PAYSON AZ 85541;
12273 BANNER LASSEN MEDICAL CENTER 1800 SPRING RIDGE DR, SUSANVILLE CA 96130;
13551 PAGE HOSPITAL 501 N NAVAJO DR, PAGE AZ 86040;
13960 BANNER MESA MEDICAL CENTER 1010 N COUNTRY CLUB DR, MESA AZ 85201;
16684 EAST MORGAN COUNTY HOSPITAL 2400 EDISON ST, BRUSH CO 80723;
16748 BANNER PHOENIX SURGERY CENTER LLC 1111 E MCDOWELL RD, STE B PHOENIX AZ 85006;
33481 BANNER BAYWOOD MEDICAL CENTER 6644 E BAYWOOD AVE, MESA AZ 85206;
43096 BANNER BEHAVIORAL HEALTH 7575 E EARLL DR, SCOTTSDALE AZ 85251;
43283 BANNER DEL E WEBB MEDICAL CENTERS FOR WOMEN'S HEALTH 14502 W MEEKER BLVD, SUN CITY WEST AZ 85375;
49729 BANNER BAYWOOD SURGERY/ 6424 E BROADWAY RD, STE 102 MESA AZ 85206;
63110 BANNER SURGERY CENTER THUNDERBIRD 5555 W THUNDERBIRD RD, STE 150 GLENDALE AZ 85306;
63112 BANNER MESA SURGERY CENTER 1500 S DOBSON RD, STE 101 MESA AZ 85202;
77466 BANNER UNION HILLS SURGERY CENTER 18301 N 79TH AVE, STE E150 GLENDALE AZ 85308;
80180 LOVELAND SURGERY CENTER 3800 GRANT AVE, LOVELAND CO 80538;
157106 BANNER HEALTH ARIZONA DBA SMARITAN 925 E MCDOWELL ROAD, OUTPATIENT CLINIC PHCY PHOENIX AZ 85006;
286160 BANNER UNIVERSITY MEDICAL CENTER ALVERNON SURGERY CENTER 750 N ALVERNON WAY, TUCSON AZ 85711;
302598 BANNER UNIVERSITY MEDICAL CENTER SOUTH 2800 E AJO WAY SUITE 100, TUCSON AZ 85713;
310558 BANNER BAYWOOD HEART HOSPITAL 6750 E BAYWOOD AVE, MESA AZ 85206;
381222 BANNER PEORIA SURGERY CENTER LLC 13640 N PLAZA DEL RIO BLVD, STE 135 PEORIA AZ 85381;
400531 BANNER ESTRELLA MEDICAL CENTER 9201 W THOMAS RD, PHOENIX AZ 85037;
401248 PAGE HOSPITAL 501 N NAVAJO, PAGE AZ 86040;
402033 BANNER SURGERY CENTER GREELEY 5890 W 13TH ST, STE 102 GREELEY CO 80634;
408344 SKYLINE SURGERY CENTER 2555 E 13TH ST, STE 200 LOVELAND CO 80537;
412201 BANNER ESTRELLA SURGERY CENTER 9301 W THOMAS RD, PHOENIX AZ 85037;
429009 BANNER SUN CITY WEST SURGERY CENTER LLC 14416 W MEEKER BLVD, STE 103 SUN CITY AZ 85375;
1077018 BANNER GATEWAY MEDICAL CENTER 1900 N HIGLEY RD, GILBERT AZ 85234;
1078336 BANNER GATEWAY MEDICAL SURGERY CENTER 1900 N HIGLEY RD, GILBERT AZ 85234;
1085593 WYOMING MEDICAL CENTER EAST CAMPUS 6550 E 2ND ST, CASPER WY 82609;
1092676 UNIV MEDCL CTRUNIV HLTH CARE-GREEN 1141 S LA CANADA DR, GREEN VALLEY AZ 85614;
1131340 BANNER IRONWOOD MEDICAL CENTER 37000 N GANTZEL RD, QUEEN CREEK AZ 85140;
1149423 BANNER GOLDFIELD MEDICAL CENTER 2050 W SOUTHERN AVE, APACHE JUNCTION AZ 85120;
1328050 BANNER CASA GRANDE MEDICAL 1800 E FLORENCE BLVD, CASA GRANDE AZ 85122;
1345702 BANNER FORT COLLINS MEDICAL CENTER 4700 LADY MOON DR, FORT COLLINS CO 80528;
1472802 BANNER ENTICARE TEMPE SURGERY CENTER CLINIC LLC 1940 E SOUTHERN AVE, TEMPE AZ 85282;
1483304 BANNER OCOTILLO MEDICAL CENTER 1405 S ALMA SCHOOL RD, CHANDLER AZ 85286;
1513039 ADVANCED SPINE AND PAIN SURGERY CENTERS LLC 3525 N CENTRAL AVE, PHOENIX AZ 85012;
1522061 BANNER SURGERY CENTER DEER VALLEY 20045 N 19TH AVE, BLDG 12 PHOENIX AZ 85027;</t>
  </si>
  <si>
    <t>Tier Discount Pricing</t>
  </si>
  <si>
    <t>0800M2K01 Mega 2000 with M2K01 Cable KT 1 $ 987.95 $ 987.95;
0800M2K02 Mega 2000 with M2K02 Cable KT 1 $ 987.95 $ 987.95;
0800M2K03 Mega 2000 with M2K03 Cable KT 1 $ 987.95 $ 987.95;
0800M2K04 Mega 2000 with M2K04 Cable KT 1 $ 987.95 $ 987.95;
0800M2K05 Mega 2000 with M2K05 Cable KT 1 $ 987.95 $ 987.95;
0800M2K06 Mega 2000 with M2K06 Cable KT 1 $ 987.95 $ 987.95;
0800M2K08 Mega 2000 with M2K08 Cable KT 1 $1,183.95 $1,183.95;
0800M2K09 Mega 2000 with M2K09 Cable KT 1 $1,183.95 $1,183.95;
0830M2K01 Mega Soft 0830 with M2K01 Cable KT 1 $1,975.89 $1,975.89;
0830M2K02 Mega Soft 0830 with M2K02 Cable KT 1 $1,975.89 $1,975.89;
0830M2K03 Mega Soft 0830 with M2K03 Cable KT 1 $1,975.89 $1,975.89;
0830M2K04 Mega Soft 0830 with M2K04 Cable KT 1 $1,975.89 $1,975.89;
0830M2K05 Mega Soft 0830 with M2K05 Cable KT 1 $1,975.89 $1,975.89;
0830M2K06 Mega Soft 0830 with M2K06 Cable KT 1 $1,975.89 $1,975.89;
0830M2K08 Mega Soft 0830 with M2K08 Cable KT 1 $2,171.89 $2,171.89;
0830M2K09 Mega Soft 0830 with M2K09 Cable KT 1 $2,171.89 $2,171.89;
0835M2K01 Mega Soft Dual Cord 0835 with two M2K01 Cables KT 1 $2,667.45 $2,667.45;
0835M2K02 Mega Soft Dual Cord 0835 with two M2K02 Cables KT 1 $2,667.45 $2,667.45;
0835M2K03 Mega Soft Dual Cord 0835 with two M2K03 Cables KT 1 $2,667.45 $2,667.45;
0835M2K04 Mega Soft Dual Cord 0835 with two M2K04 Cables KT 1 $2,667.45 $2,667.45;
0835M2K05 Mega Soft Dual Cord 0835 with two M2K05 Cables KT 1 $2,667.45 $2,667.45;
0835M2K06 Mega Soft Dual Cord 0835 with two M2K06 Cables KT 1 $2,667.45 $2,667.45;
0835M2K08 Mega Soft Dual Cord 0835 with two M2K08 Cables KT 1 $3,059.45 $3,059.45;
0835M2K09 Mega Soft Dual Cord 0835 with two M2K09 Cables KT 1 $3,059.45 $3,059.45;
0840M2K01 Mega Soft Pediatric 0840 with M2K01 Cable KT 1 $2,173.48 $2,173.48;
0840M2K02 Mega Soft Pediatric 0840 with M2K02 Cable KT 1 $2,173.48 $2,173.48;
0840M2K03 Mega Soft Pediatric 0840 with M2K03 Cable KT 1 $2,173.48 $2,173.48;
0840M2K04 Mega Soft Pediatric 0840 with M2K04 Cable KT 1 $2,173.48 $2,173.48;
0840M2K05 Mega Soft Pediatric 0840 with M2K05 Cable KT 1 $2,173.48 $2,173.48;
0840M2K06 Mega Soft Pediatric 0840 with M2K06 Cable KT 1 $2,173.48 $2,173.48;
0840M2K08 Mega Soft Pediatric 0840 with M2K08 Cable KT 1 $2,369.48 $2,369.48;
0840M2K09 Mega Soft Pediatric 0840 with M2K09 Cable KT 1 $2,369.48 $2,369.48;
0845M2K01 Mega Soft Universal 0845 with M2K01 Cable KT 1 $2,342.55 $2,342.55;
0845M2K02 Mega Soft Universal 0845 with M2K02 Cable KT 1 $2,342.55 $2,342.55;
0845M2K03 Mega Soft Universal 0845 with M2K03 Cable KT 1 $2,342.55 $2,342.55;
0845M2K04 Mega Soft Universal 0845 with M2K04 Cable KT 1 $2,342.55 $2,342.55;
0845M2K05 Mega Soft Universal 0845 with M2K05 Cable KT 1 $2,342.55 $2,342.55;
0845M2K06 Mega Soft Universal 0845 with M2K06 Cable KT 1 $2,342.55 $2,342.55;
0845M2K08 Mega Soft Universal 0845 with M2K08 Cable KT 1 $2,538.55 $2,538.55;
0845M2K09 Mega Soft Universal 0845 with M2K09 Cable KT 1 $2,538.55 $2,538.55;
0846M2K01 Mega Soft Universal Dual Cord 0846 with two M2K01 Cables KT 1 $3,157.35 $3,157.35;
0846M2K02 Mega Soft Universal Dual Cord 0846 with two M2K02 Cables KT 1 $3,157.35 $3,157.35;
0846M2K03 Mega Soft Universal Dual Cord 0846 with two M2K03 Cables KT 1 $3,157.35 $3,157.35;
0846M2K04 Mega Soft Universal Dual Cord 0846 with two M2K04 Cables KT 1 $3,157.35 $3,157.35;
0846M2K05 Mega Soft Universal Dual Cord 0846 with two M2K05 Cables KT 1 $3,157.35 $3,157.35;
0846M2K06 Mega Soft Universal Dual Cord 0846 with two M2K06 Cables KT 1 $3,157.35 $3,157.35;
0846M2K08 Mega Soft Universal Dual Cord 0846 with two M2K08 Cables KT 1 $3,549.35 $3,549.35;
0846M2K09 Mega Soft Universal Dual Cord 0846 with two M2K09 Cables KT 1 $3,549.35 $3,549.35;
PKIT001 Mega Soft Patch Kit BX 1 $ 15.00 $15.00;
M2K01 Standard Connector, 2.4 m (8.0 ft.) BX 1 $ 43.00 $ 43.00;
M2K02 Standard Connector, 4.4 m (14.4 ft.) BX 1 $ 43.00 $ 43.00;
M2K03 Phone Plug Connector, 2.4 m (8.0 ft.), same as B205 adapter BX 1 $ 43.00 $ 43.00;
M2K04 Phone Plug Connector, 4.4 m (14.4 ft.), same as B205 adapter BX 1 $ 43.00 $ 43.00;
M2K05 Extended Phone Plug Connector, 4.4 m (14.4 ft.), same as B-210 adapter BX 1 $ 43.00 $ 43.00;
M2K06 Argon Beam Connector, 2.4 m (8.0 ft.), same as A238 adapter BX 1 $ 43.00 $ 43.00;
M2K07 Mega Soft Replacement Cord, 0.6 m (2.0 ft.) BX 1 $ 43.00 $ 43.00;
M2K08 Compatibility Cable, MEGA SOFT® 2.4m (8.0 ft.) BX 1 $ 196.00 $ 196.00;
M2K09 Compatibility Cable, MEGA SOFT® 4.4m (14.4 ft.) BX 1 $ 196.00 $ 196.00;
ME7251C Megadyne ACE BLADE™ 700, 2.5” Blade, Zip Pen Smoke Evacuation Pencil, C connector BX 6 $ 960.00 $ 960.00;
ME7251E Megadyne ACE BLADE™ 700, 2.5” Blade, Zip Pen Smoke Evacuation Pencil, E connector BX 6 $ 960.00 $ 960.00;
ME725M1C Megadyne ACE BLADE™ 700, 2.5” Blade, Modified, Zip Pen Smoke Evacuation Pencil, C connector BX 6 $ 960.00 $ 960.00;
ME725M1E Megadyne ACE BLADE™ 700, 2.5” Blade, Modified, Zip Pen Smoke Evacuation Pencil, E connector BX 6 $ 960.00 $ 960.00;
ME7251ST MEGADYNE™ Telescoping Smoke Evacuation Soft Tissue Dissector BX 6 $1,008.00 $1,008.00;
ME725M1ST MEGADYNE™ Telescoping Smoke Evacuation Soft Tissue Dissector, Modified BX 6 $1,008.00 $1,008.00;
ME7251T MEGADYNE™ Telescoping Soft Tissue Dissector BX 6 $900.00 $900.00;
ME725M1T MEGADYNE™ Telescoping Soft Tissue Dissector, Modified BX 6 $900.00 $900.00;
0847M2K01 MEGA SOFT UNIVERSAL PLUS 0847 WITH M2K01 CABLE BX 1 $2,342.55 $2,342.55;
0847M2K02 MEGA SOFT UNIVERSAL PLUS 0847 WITH M2K02 CABLE BX 1 $2,342.55 $2,342.55;
0847M2K03 MEGA SOFT UNIVERSAL PLUS 0847 WITH M2K03 CABLE BX 1 $2,342.55 $2,342.55;
0847M2K04 MEGA SOFT UNIVERSAL PLUS 0847 WITH M2K04 CABLE BX 1 $2,342.55 $2,342.55;
0847M2K05 MEGA SOFT UNIVERSAL PLUS 0847 WITH M2K05 CABLE BX 1 $2,342.55 $2,342.55;
0847M2K06 MEGA SOFT UNIVERSAL PLUS 0847 WITH M2K06 CABLE BX 1 $2,342.55 $2,342.55;
0847M2K08 MEGA SOFT UNIVERSAL PLUS 0847 WITH M2K08 CABLE BX 1 $2,538.55 $2,538.55;
0847M2K09 MEGA SOFT UNIVERSAL PLUS 0847 WITH M2K09 CABLE BX 1 $2,538.55 $2,538.55;
0848M2K01 MEGA SOFT UNIVERSAL PLUS DUAL CORD 0848 WITH TWO M2K01 CABLES BX 1 $3,157.35 $3,157.35;
0848M2K02 MEGA SOFT UNIVERSAL PLUS DUAL CORD 0848 WITH TWO M2K02 CABLES BX 1 $3,157.35 $3,157.35;
0848M2K03 MEGA SOFT UNIVERSAL PLUS DUAL CORD 0848 WITH TWO M2K03 CABLES BX 1 $3,157.35 $3,157.35;
0848M2K04 MEGA SOFT UNIVERSAL PLUS DUAL CORD 0848 WITH TWO M2K04 CABLES BX 1 $3,157.35 $3,157.35;
0848M2K05 MEGA SOFT UNIVERSAL PLUS DUAL CORD 0848 WITH TWO M2K05 CABLES BX 1 $3,157.35 $3,157.35;
0848M2K06 MEGA SOFT UNIVERSAL PLUS DUAL CORD 0848 WITH TWO M2K06 CABLES BX 1 $3,157.35 $3,157.35;
0848M2K08 MEGA SOFT UNIVERSAL PLUS DUAL CORD 0848 WITH TWO M2K08 CABLES BX 1 $3,549.35 $3,549.35;
0848M2K09 MEGA SOFT UNIVERSAL PLUS DUAL CORD 0848 WITH TWO M2K09 CABLES BX 1 $3,549.35 $3,549.35;</t>
  </si>
  <si>
    <t>Tier 1 Discounted NCP</t>
  </si>
  <si>
    <t>001018471~00073573.057</t>
  </si>
  <si>
    <t>Total Energy PA Amendment bfp v2 11.6.2023</t>
  </si>
  <si>
    <t>0800M2K01 Mega 2000 with M2K01 Cable KT 1 $ 987.95 $ 987.95;
0800M2K02 Mega 2000 with M2K02 Cable KT 1 $ 987.95 $ 987.95;
0800M2K03 Mega 2000 with M2K03 Cable KT 1 $ 987.95 $ 987.95;
0800M2K04 Mega 2000 with M2K04 Cable KT 1 $ 987.95 $ 987.95;
0800M2K05 Mega 2000 with M2K05 Cable KT 1 $ 987.95 $ 987.95;
0800M2K06 Mega 2000 with M2K06 Cable KT 1 $ 987.95 $ 987.95;
0800M2K08 Mega 2000 with M2K08 Cable KT 1 $1,183.95 $1,183.95;
0800M2K09 Mega 2000 with M2K09 Cable KT 1 $1,183.95 $1,183.95;
0830M2K01 Mega Soft 0830 with M2K01 Cable KT 1 $1,975.89 $1,975.89;
0830M2K02 Mega Soft 0830 with M2K02 Cable KT 1 $1,975.89 $1,975.89;
0830M2K03 Mega Soft 0830 with M2K03 Cable KT 1 $1,975.89 $1,975.89;
0830M2K04 Mega Soft 0830 with M2K04 Cable KT 1 $1,975.89 $1,975.89;
0830M2K05 Mega Soft 0830 with M2K05 Cable KT 1 $1,975.89 $1,975.89;
0830M2K06 Mega Soft 0830 with M2K06 Cable KT 1 $1,975.89 $1,975.89;
0830M2K08 Mega Soft 0830 with M2K08 Cable KT 1 $2,171.89 $2,171.89;
0830M2K09 Mega Soft 0830 with M2K09 Cable KT 1 $2,171.89 $2,171.89;
0835M2K01 Mega Soft Dual Cord 0835 with two M2K01 Cables KT 1 $2,667.45 $2,667.45;
0835M2K02 Mega Soft Dual Cord 0835 with two M2K02 Cables KT 1 $2,667.45 $2,667.45;
0835M2K03 Mega Soft Dual Cord 0835 with two M2K03 Cables KT 1 $2,667.45 $2,667.45;
0835M2K04 Mega Soft Dual Cord 0835 with two M2K04 Cables KT 1 $2,667.45 $2,667.45;
0835M2K05 Mega Soft Dual Cord 0835 with two M2K05 Cables KT 1 $2,667.45 $2,667.45;
0835M2K06 Mega Soft Dual Cord 0835 with two M2K06 Cables KT 1 $2,667.45 $2,667.45;
0835M2K08 Mega Soft Dual Cord 0835 with two M2K08 Cables KT 1 $3,059.45 $3,059.45;
0835M2K09 Mega Soft Dual Cord 0835 with two M2K09 Cables KT 1 $3,059.45 $3,059.45;
0840M2K01 Mega Soft Pediatric 0840 with M2K01 Cable KT 1 $2,173.48 $2,173.48;
0840M2K02 Mega Soft Pediatric 0840 with M2K02 Cable KT 1 $2,173.48 $2,173.48;
0840M2K03 Mega Soft Pediatric 0840 with M2K03 Cable KT 1 $2,173.48 $2,173.48;
0840M2K04 Mega Soft Pediatric 0840 with M2K04 Cable KT 1 $2,173.48 $2,173.48;
0840M2K05 Mega Soft Pediatric 0840 with M2K05 Cable KT 1 $2,173.48 $2,173.48;
0840M2K06 Mega Soft Pediatric 0840 with M2K06 Cable KT 1 $2,173.48 $2,173.48;
0840M2K08 Mega Soft Pediatric 0840 with M2K08 Cable KT 1 $2,369.48 $2,369.48;
0840M2K09 Mega Soft Pediatric 0840 with M2K09 Cable KT 1 $2,369.48 $2,369.48;
0845M2K01 Mega Soft Universal 0845 with M2K01 Cable KT 1 $2,342.55 $2,342.55;
0845M2K02 Mega Soft Universal 0845 with M2K02 Cable KT 1 $2,342.55 $2,342.55;
0845M2K03 Mega Soft Universal 0845 with M2K03 Cable KT 1 $2,342.55 $2,342.55;
0845M2K04 Mega Soft Universal 0845 with M2K04 Cable KT 1 $2,342.55 $2,342.55;
0845M2K05 Mega Soft Universal 0845 with M2K05 Cable KT 1 $2,342.55 $2,342.55;
0845M2K06 Mega Soft Universal 0845 with M2K06 Cable KT 1 $2,342.55 $2,342.55;
0845M2K08 Mega Soft Universal 0845 with M2K08 Cable KT 1 $2,538.55 $2,538.55;
0845M2K09 Mega Soft Universal 0845 with M2K09 Cable KT 1 $2,538.55 $2,538.55;
0846M2K01 Mega Soft Universal Dual Cord 0846 with two M2K01 Cables KT 1 $3,157.35 $3,157.35;
0846M2K02 Mega Soft Universal Dual Cord 0846 with two M2K02 Cables KT 1 $3,157.35 $3,157.35;
0846M2K03 Mega Soft Universal Dual Cord 0846 with two M2K03 Cables KT 1 $3,157.35 $3,157.35;
0846M2K04 Mega Soft Universal Dual Cord 0846 with two M2K04 Cables KT 1 $3,157.35 $3,157.35;
0846M2K05 Mega Soft Universal Dual Cord 0846 with two M2K05 Cables KT 1 $3,157.35 $3,157.35;
0846M2K06 Mega Soft Universal Dual Cord 0846 with two M2K06 Cables KT 1 $3,157.35 $3,157.35;
0846M2K08 Mega Soft Universal Dual Cord 0846 with two M2K08 Cables KT 1 $3,549.35 $3,549.35;
0846M2K09 Mega Soft Universal Dual Cord 0846 with two M2K09 Cables KT 1 $3,549.35 $3,549.35;
PKIT001 Mega Soft Patch Kit BX 1 $ 15.00 $15.00;
M2K01 Standard Connector, 2.4 m (8.0 ft.) BX 1 $ 43.00 $ 43.00;
M2K02 Standard Connector, 4.4 m (14.4 ft.) BX 1 $ 43.00 $ 43.00;
M2K03 Phone Plug Connector, 2.4 m (8.0 ft.), same as B205 adapter BX 1 $ 43.00 $ 43.00;
M2K04 Phone Plug Connector, 4.4 m (14.4 ft.), same as B205 adapter BX 1 $ 43.00 $ 43.00;
M2K05 Extended Phone Plug Connector, 4.4 m (14.4 ft.), same as B-210 adapter BX 1 $ 43.00 $ 43.00;
M2K06 Argon Beam Connector, 2.4 m (8.0 ft.), same as A238 adapter BX 1 $ 43.00 $ 43.00;
M2K07 Mega Soft Replacement Cord, 0.6 m (2.0 ft.) BX 1 $ 43.00 $ 43.00;
M2K08 Compatibility Cable, MEGA SOFT® 2.4m (8.0 ft.) BX 1 $ 196.00 $ 196.00;
M2K09 Compatibility Cable, MEGA SOFT® 4.4m (14.4 ft.) BX 1 $ 196.00 $ 196.00;
ME7251C Megadyne ACE BLADE™ 700, 2.5” Blade, Zip Pen Smoke Evacuation Pencil, C connector BX 6 $ 960.00 $ 960.00;
ME7251E Megadyne ACE BLADE™ 700, 2.5” Blade, Zip Pen Smoke Evacuation Pencil, E connector BX 6 $ 960.00 $ 960.00;
ME725M1C Megadyne ACE BLADE™ 700, 2.5” Blade, Modified, Zip Pen Smoke Evacuation Pencil, C connector BX 6 $ 960.00 $ 960.00;
ME725M1E Megadyne ACE BLADE™ 700, 2.5” Blade, Modified, Zip Pen Smoke Evacuation Pencil, E connector BX 6 $ 960.00 $ 960.00;
ME7251ST MEGADYNE™ Telescoping Smoke Evacuation Soft Tissue Dissector BX 6 $1,008.00 $1,008.00;
ME725M1ST MEGADYNE™ Telescoping Smoke Evacuation Soft Tissue Dissector, Modified BX 6 $1,008.00 $1,008.00;
ME7251T MEGADYNE™ Telescoping Soft Tissue Dissector BX 6 $900.00 $900.00;
ME725M1T MEGADYNE™ Telescoping Soft Tissue Dissector, Modified BX 6 $900.00 $900.00;
0847M2K01 MEGA SOFT UNIVERSAL PLUS 0847 WITH M2K01 CABLE BX 1 $2,342.55 $2,342.55;
0847M2K02 MEGA SOFT UNIVERSAL PLUS 0847 WITH M2K02 CABLE BX 1 $2,342.55 $2,342.55;
0847M2K03 MEGA SOFT UNIVERSAL PLUS 0847 WITH M2K03 CABLE BX 1 $2,342.55 $2,342.55;
0847M2K04 MEGA SOFT UNIVERSAL PLUS 0847 WITH M2K04 CABLE BX 1 $2,342.55 $2,342.55;
0847M2K05 MEGA SOFT UNIVERSAL PLUS 0847 WITH M2K05 CABLE BX 1 $2,342.55 $2,342.55;
0847M2K06 MEGA SOFT UNIVERSAL PLUS 0847 WITH M2K06 CABLE BX 1 $2,342.55 $2,342.55;
0847M2K08 MEGA SOFT UNIVERSAL PLUS 0847 WITH M2K08 CABLE BX 1 $2,538.55 $2,538.55;
0847M2K09 MEGA SOFT UNIVERSAL PLUS 0847 WITH M2K09 CABLE BX 1 $2,538.55 $2,538.55;
0848M2K01 MEGA SOFT UNIVERSAL PLUS DUAL CORD 0848 WITH TWO M2K01 CABLES BX 1 $3,157.35 $3,157.35;
0848M2K02 MEGA SOFT UNIVERSAL PLUS DUAL CORD 0848 WITH TWO M2K02 CABLES BX 1 $3,157.35 $3,157.35;
0848M2K03 MEGA SOFT UNIVERSAL PLUS DUAL CORD 0848 WITH TWO M2K03 CABLES BX 1 $3,157.35 $3,157.35;
0848M2K04 MEGA SOFT UNIVERSAL PLUS DUAL CORD 0848 WITH TWO M2K04 CABLES BX 1 $3,157.35 $3,157.35;
0848M2K05 MEGA SOFT UNIVERSAL PLUS DUAL CORD 0848 WITH TWO M2K05 CABLES BX 1 $3,157.35 $3,157.35;
0848M2K06 MEGA SOFT UNIVERSAL PLUS DUAL CORD 0848 WITH TWO M2K06 CABLES BX 1 $3,157.35 $3,157.35;
0848M2K08 MEGA SOFT UNIVERSAL PLUS DUAL CORD 0848 WITH TWO M2K08 CABLES BX 1 $3,549.35 $3,549.35;
0848M2K09 MEGA SOFT UNIVERSAL PLUS DUAL CORD 0848 WITH TWO M2K09 CABLES BX 1 $3,549.35 $3,549.35;
0825 MEGA2000 PLASTIC SHEATH BX 1 $33.00;
1300SJ MEGA CART WITH TOP SHELF BX 1 $600.00;
1400JJ MONOPOLAR FOOTSWITCH (3 METER CABLE) BX 1 $325.00;
1450J BIPOLAR FOOTSWITCH (3 METER CABLE) BX 1 $200.00;
1459J ROUND BIPOLAR FOOTSWITCH (AVAILABLE 9/1) BX 1 $200.00;
96007 MONOPOLAR ADAPTER BX 1 $85.00;
2250J RF SENSOR BX 1 $475.00;
2255J MEGADYNE™ RF SENSOR BX 1 $475.00;
2403J CONNECT CABLE 1M, SMOKE EXTRACTOR EA 1 $42.10;
2406J MEGADYNE™ CONNECT CABLE, 2.1M EA 1 $42.10;
ECVV120 MINIVAC SMOKE EVACUATOR BX 1 $1,975.00;
MGEZLINK01 EZ LINK RF SENSOR BX 1 $275.00;
MESE1 MEGADYNE™ Smoke Evacuator BX 1 $3,995.00;
HP054 HARMONIC HAND PIECE BX 1 $895.00;
HPBLUE HARMONIC BLUE HAND PIECE BX 1 $895.00;
CRT11 GEN11 CART BX 1 $750.00;
EGA11 ENSEAL GEN11 CONNECTOR BX 1 $250.00;
FSW11 GEN11 FOOTSWITCH AND CABLE BX 1 $750.00;
GEN11VK GEN11 VERIFICATION KEY BX 1 $225.00;
HGA11 HARMONIC GEN11 CONNECTOR EA 1 $250.00;
HARHPGR HARMONIC HAND PIECE GREY CORD BX 1 $895.00;
HARHPBL HARMONIC HAND PIECE BLUE CORD BX 1 $895.00;</t>
  </si>
  <si>
    <t>001018471~00073573.058</t>
  </si>
  <si>
    <t>00181596</t>
  </si>
  <si>
    <t>3rd Amendment To Product Agreement</t>
  </si>
  <si>
    <t>PA Amendment sg v1 2-13-24.docx</t>
  </si>
  <si>
    <t>001018471~00073573.059</t>
  </si>
  <si>
    <t>00181220</t>
  </si>
  <si>
    <t>DEPUY SYNTHES POWER TOOLS</t>
  </si>
  <si>
    <t>$71ee6db4360c$F52395AB42974B72B7BCCBE2FDAC41BB.docx</t>
  </si>
  <si>
    <t xml:space="preserve">00003738 COMMUNITY HOSPITAL 2000 CAMPBELL DR TORRINGTON WY 82240;
00003760 BANNER DESERT MEDICAL CENTER 1400 S DOBSON RD MESA AZ 85202;
00003765 BANNER BOSWELL MEDICAL CENTER 10401 W THUNDERBIRD BLVD SUN CITY AZ 85351;
00005697 BANNER UNIVERSITY MEDICAL CENTER TUCSON 1625 N CAMPBELL AVE TUCSON AZ 85719;
00006771 BANNER MCKEE MEDICAL CENTER 2000 BOISE AVE LOVELAND CO 80538;
00006777 STERLING REGIONAL MEDICAL CENTER 615 FAIRHURST ST STERLING CO 80751;
00009709 OGALLALA COMMUNITY HOSPITAL 2601 N SPRUCE ST OGALLALA NE 69153;
00009887 NORTH COLORADO MEDICAL CENTER 1801 16TH ST GREELEY CO 80631;
00009892 PLATTE COUNTY MEMORIAL HOSPITAL 201 14TH ST WHEATLAND WY 82201;
00009894 WASHAKIE MEDICAL CENTER 400 S 15TH ST WORLAND WY 82401;
00011521 BANNER CHURCHILL COMMUNITY HOSPITAL 801 E WILLIAMS AVE FALLON NV 89406;
00011605 BANNER THUNDERBIRD MEDICAL CENTER 5555 W THUNDERBIRD RD GLENDALE AZ 85306;
00012138 BANNER PAYSON MEDICAL CENTER 807 S PONDEROSA ST PAYSON AZ 85541;
00012273 BANNER LASSEN MEDICAL CENTER 1800 SPRING RIDGE DR SUSANVILLE CA 96130;
00013551 PAGE HOSPITAL 501 N NAVAJO DR PAGE AZ 86040;
00016684 EAST MORGAN COUNTY HOSPITAL 2400 EDISON ST BRUSH CO 80723;
00016748 BANNER PHOENIX SURGERY CENTER LLC 1111 E MCDOWELL RD PHOENIX AZ 85006;
00033481 BANNER BAYWOOD MEDICAL CENTER 6644 E BAYWOOD AVE MESA AZ 85206;
00043283 BANNER DEL E WEBB MEDICAL CENTERS FOR WOMENS HEALTH 14502 W MEEKER BLVD SUN CITY WEST AZ 85375;
00049729 BANNER BAYWOOD SURGERY/ 6424 E BROADWAY RD MESA AZ 85206;
00063112 BANNER MESA SURGERY CENTER 1500 S DOBSON RD MESA AZ 85202;
00068185 SURGERY CENTER AT RIVER ROAD 2490 E RIVER RD TUCSON AZ 85718;
00077466 BANNER UNION HILLS SURGERY CENTER 18301 N 79TH AVE GLENDALE AZ 85308;
00080180 LOVELAND SURGERY CENTER 3800 GRANT AVE LOVELAND CO 80538;
00286160 BANNER UNIVERSITY MEDICAL CENTER ALVERNON SURGERY CENTER 750 N ALVERNON WAY TUCSON AZ 85711;
00302598 BANNER UNIVERSITY MEDICAL CENTER SOUTH 2800 E AJO WAY TUCSON AZ 85713;
00310558 BANNER BAYWOOD HEART HOSPITAL 6750 E BAYWOOD AVE MESA AZ 85206;
00344812 BANNER GOOD SAMARITAN MEDICAL CENTER 1111 E MCDOWELL RD PHOENIX AZ 85006;
00381222 BANNER PEORIA SURGERY CENTER LLC 13640 N PLAZA DEL RIO BLVD PEORIA AZ 85381;
00400531 BANNER ESTRELLA MEDICAL CENTER 9201 W THOMAS RD PHOENIX AZ 85037;
00401563 BANNER HEALTH WAREHOUSE 7300 W DETROIT ST CHANDLER AZ 85226;
00402033 BANNER SURGERY CENTER GREELEY 5890 W 13TH ST GREELEY CO 80634;
00408344 SKYLINE SURGERY CENTER 2555 E 13TH ST LOVELAND CO 80537;
00412201 BANNER ESTRELLA SURGERY CENTER 9301 W THOMAS RD PHOENIX AZ 85037;
429009 BANNER SUN CITY WEST SURGERY CENTER LLC 14416 W MEEKER BLVD SUN CITY AZ 85375;
1077018 BANNER GATEWAY MEDICAL CENTER 1900 N HIGLEY RD GILBERT AZ 85234;
1078336 BANNER GATEWAY MEDICAL SURGERY CENTER 1900 N HIGLEY RD GILBERT AZ 85234;
1085593 WYOMING MEDICAL CENTER EAST CAMPUS 6550 E 2ND ST CASPER WY 82609;
1085994 NEW RIVER AMBULATORY SURGERY 1020 NEW RIVER PKWY FALLON NV 89406;
1131340 BANNER IRONWOOD MEDICAL CENTER 37000 N GANTZEL RD QUEEN CREEK AZ 85140;
1177016 BANNER MD ANDERSON CANCER CENTER 2946 E BANNER GATEWAY DR GILBERT AZ 85234;
1328050 BANNER CASA GRANDE MEDICAL 1800 E FLORENCE BLVD CASA GRANDE AZ 85122;
1345702 BANNER FORT COLLINS MEDICAL CENTER 4700 LADY MOON DR FORT COLLINS CO 80528;
1401638 BANNER SURGERY CENTER REID PARK 717 S ALVERNON WAY TUCSON AZ 85711;
1472802 BANNER ENTICARE TEMPE SURGERY CENTER CLINIC LLC 1940 E SOUTHERN AVE TEMPE AZ 85282;
1479772 BANNER SURGERY CENTER 2626 E UNIVERSITY DR MESA AZ 85213;
1483304 BANNER OCOTILLO MEDICAL CENTER 1405 S ALMA SCHOOL RD CHANDLER AZ 85286;
1486333 BANNER SURGERY CENTER SOUTH VALLEY 36453 N GANTZEL RD SAN TAN VALLEY AZ 85140;
1499994 BANNER CARDIOVASCULAR CENTER WEST VALLEY 14646 N DEL WEBB BLVD SUN CITY AZ 85351;
1522061 BANNER SURGERY CENTER DEER VALLEY 20045 N 19TH AVE PHOENIX AZ 85027;
1529037 DESERT VISTA SURGICAL CENTER 10117 N 92ND ST SCOTTSDALE AZ 85258;
</t>
  </si>
  <si>
    <t>Individual component pricing</t>
  </si>
  <si>
    <t xml:space="preserve">03.000.000S BURR ROUND S Ø 1.0MM 1 EA $91.80;
03.000.001S BURR ROUND M Ø 1.0MM 1 EA $91.80;
03.000.002S BURR ROUND L Ø 1.0MM 1 EA $91.80;
03.000.003S BURR ROUND S Ø 1.5MM 1 EA $91.80;
03.000.004S BURR ROUND M Ø 1.5MM 1 EA $91.80;
03.000.005S BURR ROUND L Ø 1.5MM 1 EA $91.80;
03.000.006S BURR ROUND S Ø 2.5MM 1 EA $91.80;
03.000.007S BURR ROUND M Ø 2.5MM 1 EA $91.80;
03.000.008S BURR ROUND L Ø 2.5MM 1 EA $91.80;
03.000.009S BURR ROUND S Ø 3.0MM 1 EA $91.80;
03.000.010S BURR ROUND M Ø 3.0MM 1 EA $91.80;
03.000.011S BURR ROUND L Ø 3.0MM 1 EA $91.80;
03.000.012S BURR ROUND S Ø 4.0MM 1 EA $91.80;
03.000.013S BURR ROUND M Ø 4.0MM 1 EA $91.80;
03.000.014S BURR ROUND L Ø 4.0MM 1 EA $91.80;
03.000.015S BURR ROUND S Ø 5.0MM 1 EA $91.80;
03.000.016S BURR ROUND M Ø 5.0MM 1 EA $91.80;
03.000.017S BURR ROUND L Ø 5.0MM 1 EA $91.80;
03.000.018S BURR ROUND S Ø 6.5MM 1 EA $91.80;
03.000.019S BURR ROUND M Ø 6.5MM 1 EA $91.80;
03.000.020S BURR ROUND L Ø 6.5MM 1 EA $91.80;
03.000.021S BURR ROUND S Ø 8.0MM 1 EA $91.80;
03.000.022S BURR ROUND M Ø 8.0MM 1 EA $91.80;
03.000.023S BURR ROUND L Ø 8.0MM 1 EA $91.80;
03.000.030S BURR ROUND S Ø 1.0MM DIAMOND-COATED 1 EA $130.20;
03.000.031S BURR ROUND M Ø 1.0MM DIAMOND-COATED 1 EA $130.20;
03.000.032S BURR ROUND L Ø 1.0MM DIAMOND-COATED 1 EA $130.20;
03.000.033S BURR ROUND S Ø 1.5MM DIAMOND-COATED 1 EA $130.20;
03.000.034S BURR ROUND M Ø 1.5MM DIAMOND-COATED 1 EA $130.20;
03.000.035S BURR ROUND L Ø 1.5MM DIAMOND-COATED 1 EA $130.20;
03.000.036S BURR ROUND S Ø 2.0MM DIAMOND-COATED 1 EA $130.20;
03.000.037S BURR ROUND M 2.0MM DIAMOND-COATED 1 EA $130.20;
03.000.038S BURR ROUND L Ø 2.0MM DIAMOND-COATED 1 EA $130.20;
03.000.039S BURR ROUND S Ø 2.5MM DIAMOND-COATED 1 EA $130.20;
03.000.040S BURR ROUND M Ø 2.5MM DIAMOND-COATED 1 EA $130.20;
03.000.041S BURR ROUND L Ø 2.5MM DIAMOND-COATED 1 EA $130.20;
03.000.042S BURR ROUND S Ø 3.0MM DIAMOND-COATED 1 EA $130.20;
03.000.043S BURR ROUND M Ø 3.0MM DIAMOND-COATED 1 EA $130.20;
03.000.044S BURR ROUND L Ø 3.0MM DIAMOND-COATED 1 EA $130.20;
03.000.045S BURR ROUND S Ø 3.5MM DIAMOND-COATED 1 EA $130.20;
03.000.046S BURR ROUND M Ø 3.5MM DIAMOND-COATED 1 EA $130.20;
03.000.047S BURR ROUND L Ø 3.5MM DIAMOND-COATED 1 EA $130.20;
03.000.048S BURR ROUND S Ø 4.0MM DIAMOND-COATED 1 EA $130.20;
03.000.049S BURR ROUND M Ø 4.0MM DIAMOND-COATED 1 EA $130.20;
03.000.050S BURR ROUND L Ø 4.0MM DIAMOND-COATED 1 EA $130.20;
03.000.051S BURR ROUND S Ø 5.0MM DIAMOND-COATED 1 EA $130.20;
03.000.052S BURR ROUND M Ø 5.0MM DIAMOND-COATED 1 EA $130.20;
03.000.053S BURR ROUND L Ø 5.0MM DIAMOND-COATED 1 EA $130.20;
03.000.054S BURR ROUND S Ø 6.0MM DIAMOND-COATED 1 EA $130.20;
03.000.055S BURR ROUND M Ø 6.0MM DIAMOND-COATED 1 EA $130.20;
03.000.056S BURR ROUND L Ø 6.0MM DIAMOND-COATED 1 EA $130.20;
03.000.060S BURR ACORN S Ø 6.0MM HEAD LENGTH 8.0MM 1 EA $99.60;
03.000.061S BURR ACORN M Ø 6.0MM HEAD LENGTH 8.0MM 1 EA $99.60;
03.000.064S BURR ACORN M  7.5MM HEAD LENGTH 9.5MM 1 EA $99.60;
03.000.067S BURR ACORN M Ø 9.0MM HEAD LENGTH 11.4MM 1 EA $99.60;
03.000.070S BURR EGG S Ø 4.0MM HEAD LENGTH 8.0MM 1 EA $99.60;
03.000.071S BURR EGG M 4.0MM HEAD LENGTH 8.0MM 1 EA $99.60;
03.000.072S BURR EGG L Ø 4.0MM HEAD LENGTH 8.0MM 1 EA $99.60;
03.000.073S BURR EGG S Ø 5.5MM HEAD LENGTH 10MM 1 EA $99.60;
03.000.074S BURR EGG M Ø 5.5MM HEAD LENGTH 10MM 1 EA $99.60;
03.000.075S BURR EGG L Ø 5.5MM HEAD LENGTH 10MM 1 EA $99.60;
03.000.076S BURR PEAR S Ø 5.0MM HEAD LENGTH 8.3MM 1 EA $99.60;
03.000.077S BURR PEAR M Ø 5.0MM HEAD LENGTH 8.3MM 1 EA $99.60;
03.000.078S BURR PEAR L Ø 5.0MM HEAD LENGTH 8.3MM 1 EA $99.60;
03.000.080S BURR PEAR M Ø 6.0MM HEAD LENGTH 9.7MM 1 EA $99.60;
03.000.083S BURR BARREL M Ø 5.0MM HEAD LENGTH 10MM 1 EA $99.60;
03.000.084S BURR BARREL L Ø 5.0MM HEAD LENGTH 10MM 1 EA $99.60;
03.000.085S BURR TAPERED FISSURE S 1.6MM X 4.5MM 1 EA $130.20;
03.000.086S BURR TAPERED FISSURE M Ø 1.6MM X 4.5MM 1 EA $130.20;
03.000.087S BURR TAPERED FISSURE L Ø 1.6MM X 4.5MM 1 EA $130.20;
03.000.088S BURR TAPERED FISSURE S 2.3MM X 5.2MM 1 EA $130.20;
03.000.089S BURR TAPERED FISSURE M Ø 2.3MM X 5.2MM 1 EA $130.20;
03.000.090S BURR TAPERED FISSURE L Ø 2.3MM X 5.2MM 1 EA $130.20;
03.000.091S BURR TAPERED FISSURE S 2.6MM X 6.8MM 1 EA $130.20;
03.000.092S BURR TAPERED FISSURE M Ø 2.6MM X 6.8MM 1 EA $130.20;
03.000.094S BURR CYLINDRICAL FISSURE S Ø 1.6MMX4.3MM 1 EA $130.20;
03.000.095S BURR CYLINDRICAL FISSURE M Ø 1.6MMX4.3MM 1 EA $130.20;
03.000.098S BURR CYLINDRICAL FISSURE M Ø 3.0MMX16MM 1 EA $130.20;
03.000.105S BURR DRUM L Ø 6.0MM HEAD LENGTH 7.9MM 1 EA $130.20;
03.000.109S BURR CIRCULAR Ø 25.0MM DIAMOND COATED S 1 EA $136.80;
03.000.110S BURR CIRCULAR Ø 25.0MM DIAMOND COATED M 1 EA $136.80;
03.000.111S BURR CIRCULAR Ø 25.0MM DIAMOND COATED L 1 EA $136.80;
03.000.112S LINDEMANN REAMER S Ø 2.3MM X 20.2MM 1 EA $130.20;
03.000.113S LINDEMANN REAMER M Ø 2.3MM X 20.2MM 1 EA $130.20;
03.000.114S LINDEMANN REAMER L Ø 2.3MM X 20.2MM 1 EA $130.20;
03.000.115S SWANSON BURR S Ø 2.0MM HEAD LENGTH 6.3MM 1 EA $130.20;
03.000.116S SWANSON BURR M Ø 2.0MM HEAD LENGTH 6.3MM 1 EA $130.20;
03.000.118S SWANSON BURR S Ø 3.0MM HEAD LENGTH 9.7MM 1 EA $130.20;
03.000.119S SWANSON BURR M Ø 3.0MM HEAD LENGTH 9.7MM 1 EA $130.20;
03.000.122S SWANSON BURR M Ø 4.0MM HEAD LGTH 12.7MM 1 EA $130.20;
03.000.124S BURR CRANIAL S Ø 1.8MM HEAD LENGTH 11MM 1 EA $144.60;
03.000.125S BURR CRANIAL M Ø 2.2MM HEAD LENGTH 16MM 1 EA $144.60;
03.000.126S BURR CRANIAL L Ø 3.0MM HEAD LENGTH 25MM 1 EA $144.60;
03.000.128S BURR PIN-SHAPED M Ø 1.4MM X 6.0MM 1 EA $130.20;
03.000.131S BURR PIN-SHAPED M Ø 2.1MM X 12MM 1 EA $130.20;
03.000.134S BURR NEURO M Ø 1.7MM HEAD LENGTH 2.3MM 1 EA $144.60;
03.000.137S BURR NEURO M Ø 2.2MM HEAD LENGTH 3.7MM 1 EA $144.60;
03.000.138S BURR NEURO L Ø 2.2MM HEAD LENGTH 3.7MM 1 EA $144.60;
03.000.140S BURR NEURO M Ø 2.9MM HEAD LENGTH 3.8MM 1 EA $144.60;
03.000.141S BURR NEURO L Ø 2.9MM HEAD LENGTH 3.8MM 1 EA $144.60;
03.000.143S DRILL BIT M Ø 1.0MM 1 EA $114.00;
03.000.145S DRILL BIT M Ø 1.1MM 1 EA $114.00;
03.000.147S DRILL BIT M Ø 1.3MM 1 EA $114.00;
03.000.148S DRILL BIT S Ø 1.5MM 1 EA $114.00;
03.000.149S DRILL BIT M Ø 1.5MM 1 EA $114.00;
03.000.150S DRILL BIT S Ø 2.0MM 1 EA $114.00;
03.000.151S DRILL BIT M Ø 2.0MM 1 EA $114.00;
03.000.152S DRILL BIT S Ø 2.5MM 1 EA $114.00;
03.000.154S DRILL BIT WIRE-PASS S Ø 1.1MM X 5.0MM 1 EA $144.60;
03.000.155S DRILL BIT WIRE-PASS M Ø 1.1MM X 5.0MM 1 EA $144.60;
03.000.156S DRILL BIT WIRE-PASS S Ø 1.5MM X 7.0MM 1 EA $144.60;
03.000.157S DRILL BIT WIRE-PASS M Ø 1.5MM X 7.0MM 1 EA $144.60;
03.000.159S DRILL BIT WIRE-PASS M Ø 2.0MM X 7.0MM 1 EA $144.60;
03.000.170S BURR ROUND Ø 3.0MM X 28MM MINI QC 1 EA $114.00;
03.000.171S BURR ROUND Ø 3.0MM X 45MM MINI QC 1 EA $114.00;
03.000.172S BURR ROUND Ø 5.0MM X 45MM MINI QC 1 EA $114.00;
03.000.173S BURR EGG Ø 7.0MM X 28MM MINI QC 1 EA $114.00;
03.000.174S BURR EGG Ø 7.0MM X 45MM MINI QC 1 EA $114.00;
03.000.176S BURR EGG Ø 8.0MM X 45MM MINI QC 1 EA $114.00;
03.000.177S BURR CONICAL  5.0MM X 23MM MINI QC 1 EA $114.00;
03.000.178S BURR CONICAL Ø 5.0MM X 28MM MINI QC 1 EA $114.00;
03.000.179S BURR CONICAL Ø 5.0MM X 45MM MINI QC 1 EA $114.00;
03.000.181S BURR CONICAL Ø 6.0MM X 28MM MINI QC 1 EA $114.00;
03.000.182S BURR CONICAL Ø 6.0MM X 45MM MINI QC 1 EA $114.00;
03.000.184S BURR PEAR Ø 5.0MM X 28MM MINI QC 1 EA $114.00;
03.000.185S BURR PEAR Ø 5.0MM X 45MMMINI QC 1 EA $114.00;
03.000.188S BURR PEAR Ø 6.0MM X 45MM MINI QC 1 EA $114.00;
03.000.189S BURR TAPERED FISSURE Ø 2.1MM X 31MM MQC 1 EA $114.00;
03.000.190S BURR TAPERED FISSURE Ø 2.1MM X 45MM MQC 1 EA $114.00;
03.000.191S BURR TAPERED FISSURE Ø 3.2MM X 31MM MQC 1 EA $114.00;
03.000.192S BURR TAPERED FISSURE Ø 3.2MM X 45MM MQC 1 EA $114.00;
03.000.196S BURR CIRCULAR Ø 15.0MM X 28MM MINI QC 1 EA $114.00;
03.000.197S LINDEMANN REAMER Ø 2.3MM X 45MM MQC 1 EA $114.00;
03.000.227S LINDEMANN REAMER Ø 2.3MM X 45MM J-LATCH 1 EA $114.00;
03.000.230S BURR ROUND S Ø 2.0MM 1 EA $91.80;
03.000.231S BURR ROUND M Ø 2.0MM 1 EA $91.80;
03.000.232S BURR ROUND L Ø 2.0MM 1 EA $91.80;
03.000.233S BURR ACORN S Ø 5.0MM HEAD LENGTH 6.7MM 1 EA $99.60;
03.000.234S BURR ACORN M Ø 5.0MM HEAD LENGTH 6.7MM 1 EA $99.60;
03.000.235S BURR ACORN L Ø 5.0MM HEAD LENGTH 6.7MM 1 EA $99.60;
03.000.236S BURR PEAR S Ø 4.0MM HEAD LENGTH 6.9MM 1 EA $99.60;
03.000.237S BURR PEAR M Ø 4.0MM HEAD LENGTH 6.9MM 1 EA $99.60;
03.000.238S BURR PEAR L Ø 4.0MM HEAD LENGTH 6.9MM 1 EA $99.60;
03.000.240S BURR BARREL M Ø 4.0MM HEAD LENGTH 9.0MM 1 EA $99.60;
03.000.241S BURR BARREL L Ø 4.0MM HEAD LENGTH 9.0MM 1 EA $99.60;
03.000.247S BURR DRUM L Ø 4.7MM HEAD LENGTH 7.9MM 1 EA $130.20;
03.000.300S SAW BLADE 18 X 4.0 X 0.38MM F/SAG SAW 1 EA $114.00;
03.000.301S SAW BLADE 15 X 6.0 X 0.38MM F/SAG SAW 1 EA $114.00;
03.000.302S SAW BLADE 31 X 6.0 X 0.38MM F/SAG SAW 1 EA $114.00;
03.000.303S SAW BLADE 22 X 8.0 X 0.38MM F/SAG SAW 1 EA $114.00 ;
03.000.304S SAW BLADE 15 X 10 X 0.38MM F/SAG SAW 1 EA $114.00;
03.000.305S SAW BLADE 31 X 10 X 0.38MM F/SAG SAW 1 EA $114.00;
03.000.306S SAW BLADE 22 X 12 X 0.38MM F/SAG SAW 1 EA $114.00;
03.000.307S SAW BLADE 15 X 16 X 0.38MM F/SAG SAW 1 EA $114.00;
03.000.308S SAW BLADE 27 X 6.0 X 0.6MM F/SAG SAW 1 EA $114.00;
03.000.309S SAW BLADE 27 X 10 X 0.6MM F/SAG SAW 1 EA $114.00;
03.000.310S SAW BLADE 27 X 14 X 0.6MM F/SAG SAW 1 EA $114.00;
03.000.311S SAW BLADE 26.5X13.3X0.6MM CRES F/OSC SAW 1 EA $130.20;
03.000.312S SAW BLADE 25X16.3X0.6MM CRES F/OSC SAW 1 EA $130.20;
03.000.313S SAW BLADE 30X17.9X0.6MM CRES F/OSC SAW 1 EA $130.20;
03.000.314S SAW BLADE 18 X 2.5 X 0.38MM F/SAG SAW 1 EA $114.00;
03.000.315S SAW BLADE 43 X 20 X 0.6MM F/SAG SAW 1 EA $114.00;
03.000.316S SAW BLADE 30X21.9X0.6MM CRES F/OSC SAW 1 EA $130.20;
03.000.317 SAW BLADE 22.0X8.0X0.4MM FOR SAG SAW 1 EA $99.60;
03.000.320S SAW BLADE 13X6.4/2.9X0.6MM TRAP F/RECIP 1 EA $114.00;
03.000.321S SAW BLADE 20X6.4/2.9X0.6MM TRAP F/RECIP 1 EA $114.00;
03.000.322S SAW BLADE 7.0 X 4.0 X 0.6MM F/RECIP SAW 1 EA $114.00;
03.000.323S SAW BLADE 14 X 6.4 X 0.6 MM F/RECIP SAW 1 EA $114.00;
03.000.324S SAW BLADE 14.5 X 4.0 X 0.6MM F/RECIP SAW 1 EA $114.00;
03.000.325S SAW BLADE 25X5.5X0.6MM F/RHINO F/RECIP 1 EA $114.00;
03.000.326S SAW BLADE 27 X 6.4 X 0.6MM F/RECIP SAW 1 EA $114.00;
03.000.327S SAW BLADE 27X6.4/2.9X0.6MM TRAP F/RECIP 1 EA $114.00;
03.000.328S SAW BLADE 33.5 X 6.4 X 0.6MM F/RECIP SAW 1 EA $114.00;
03.000.329S SAW BLADE 34.5X5/2.5X0.6MM CRES F/RECIP 1 EA $130.20;
03.000.330S SAW 33.5X6.4X0.6MM OFFSET DOWN F/RECIP 1 EA $130.20;
03.000.331S SAW 33.5X6.4X0.6MM OFFSET RIGHT F/RECIP 1 EA $130.20;
03.000.332S SAW 33.5X6.4X0.6MM OFFSET LEFT F/RECIP 1 EA $130.20;
03.000.334S SAW 20X6.4/2.9X0.6MM TRAP LONG F/RECIP 1 EA $122.40;
03.000.335S SAW 27X6.4/2.9X0.6MM TRAP LONG F/RECIP 1 EA $122.40;
03.000.336S SAW BLADE 13 X 3 X 0.4MM THIN F/RECIP 1 EA $122.40;
03.000.337S SAW BLADE 20 X 3 X 0.4MM THIN F/RECIP 1 EA $122.40;
03.000.338S SAW BLADE 9.2X7.3X0.6MM LEFT IBO F/RECIP 1 EA $122.40;
03.000.339S SAW BLADE 9.2X7.3X0.6MM RGHT IBO F/RECIP 1 EA $122.40;
03.000.340S SAW 105 DEG ANGLED 7X12X0.4MM/70MM 1 EA $130.20;
03.000.341S SAW 105 DEG ANGLED 12X11.5X0.4MM/70MM 1 EA $130.20;
03.000.342S SAW 105 DEG ANGLED 12X9.5X0.4MM/70MM 1 EA $130.20;
03.000.343S SAW 105 DEG ANGLED 12X4.5X0.4MM/70MM 1 EA $130.20;
03.000.360S RASP SMALL CROSSCUT FOR PEN DRIVE 1 EA $183.00 ;
03.000.361S RASP LARGE CROSSCUT FOR PEN DRIVE 1 EA $183.00;
03.000.362S RASP SMALL FOR PEN DRIVE 1 EA $183.00;
03.000.363S RASP LARGE FOR PEN DRIVE 1 EA $183.00;
03.000.364S BROACH/SMALL PROXIMAL 19X4.5X4.5MM 1 EA $395.40;
03.000.365S BROACH/SMALL DISTAL 16X6X6MM 1 EA $395.40;
03.000.390 CRESCENTIC BLADE 12MM RADIUS/45MMX0.6MM 1 EA $599.40;
03.000.391 CRESCENTIC BLADE 15MM RADIUS/45MMX0.6MM 1 EA $599.40;
03.000.392 CRESCENTIC BLADE 18MM RADIUS/45MMX0.6MM 1 EA $599.40;
03.000.393 CRESCENTIC BLADE 21MM RADIUS/45MMX0.6MM 1 EA $599.40;
03.000.394 CRESCENTIC BLADE 24MM RADIUS/45MMX0.6MM 1 EA $599.40;
03.000.395 CRESCENTIC BLADE 27MM RADIUS/50MMX0.6MM 1 EA $599.40;
03.000.396 CRESCENTIC BLADE 30MM RADIUS/50MMX0.6MM 1 EA $599.40;
03.228.011S WEDGE BUR, 2.9 X 13.2 X 65MM 2 EA $114.00;
03.228.012S WEDGE BUR, 4.3 X 13 X 65MM 3 EA $114.00;
03.228.013S SHANNON BUR, SHORT, HEL FLUTE, 2X8X65MM 4 EA $114.00;
03.228.014S SHANNON BUR, MED, STRAIGHT, 2X11.8X65MM 5 EA $114.00;
03.228.015S SHANNON BUR, MED HEL FLUTE 2.2X12X65MM 6 EA $114.00;
03.228.016S SHANNON BUR,LONG STRAIGHT, 2.2X20X75MM 7 EA $114.00;
03.228.017S SHANNON BUR,LONG,STRAIGHT, 3.1X20X70MM 8 EA $114.00;
05.002.001S SAW BLADE, 95MM X 19MM, 0.89MM CUT 1 EA $106.80;
05.002.002S SAW BLADE, 95MM X 19MM, 1.19MM CUT 1 EA $106.80;
05.002.003S SAW BLADE, 95MM X 19MM, 1.27MM CUT 1 EA $106.80;
05.002.004S SAW BLADE, 95MM X 19MM, 1.37MM CUT 1 EA $106.80;
05.002.005S SAW BLADE, 95MM X 19MM, 1.47MM CUT 1 EA $106.80;
05.002.006S SAW BLADE, 80MM X 19MM, 0.89MM CUT 1 EA $106.80;
05.002.007S SAW BLADE, 95MM X 19MM, 1.00MM CUT 1 EA $106.80;
05.002.101S SAW BLADE, 95MM X 25MM, 0.89MM CUT 1 EA $106.80;
05.002.102S SAW BLADE, 95MM X 25MM, 1.19MM CUT 1 EA $106.80;
05.002.103S SAW BLADE, 95MM X 25MM, 1.27MM CUT 1 EA $106.80;
05.002.104S SAW BLADE, 95MM X 25MM, 1.37MM CUT 1 EA $106.80;
05.002.105S SAW BLADE, 95MM X 25MM, 1.47MM CUT 1 EA $106.80;
05.002.106S SAW BLADE, 95MM X 25MM, 1.00MM CUT 1 EA $106.80;
05.002.201S SAW BLADE, 90MM X 12.5MM, 0.89MM CUT 1 EA $106.80;
05.002.202S SAW BLADE, 90MM X 12.5MM, 1.19MM CUT 1 EA $106.80;
05.002.203S SAW BLADE, 90MM X 12.5MM, 1.27MM CUT 1 EA $106.80;
05.002.204S SAW BLADE, 90MM X 12.5MM, 1.37MM CUT 1 EA $106.80;
05.002.205S SAW BLADE, 90MM X 12.5MM, 1.47MM CUT 1 EA $106.80;
05.002.301S SAW BLADE, 90MM X 12.5-19MM, 0.89MM CUT 1 EA $106.80 ;
05.002.302S SAW BLADE, 90MM X 12.5-19MM, 1.19MM CUT 1 EA $106.80;
05.002.303S SAW BLADE, 90MM X 12.5-19MM, 1.27MM CUT 1 EA $106.80;
05.002.304S SAW BLADE, 90MM X 12.5-19MM, 1.37MM CUT 1 EA $106.80;
05.002.305S SAW BLADE, 90MM X 12.5-19MM, 1.47MM CUT 1 EA $106.80;
05.002.306S SAW BLADE, 90MM X 12.5-19MM, 1.00MM CUT 1 EA $106.80;
05.002.401S SAW BLADE, 85MM X 25MM, 1.47MM CUT 1 EA $106.80;
05.002.405S SAW BLADE, 90MM X 12.5MM, 1.00MM CUT 1 EA $106.80;
05.002.501S SAW BLADE, 60MM X 25MM, 0.89MM CUT 1 EA $106.80;
05.003.100S SAW BLADE, 90MM X 12.5MM, 0.89MM CUT 1 EA $69.60;
05.003.102S SAW BLADE, 90MM X 12.5MM, 1.00MM CUT 1 EA $69.60;
05.003.103S SAW BLADE, 90MM X 12.5MM, 1.07MM CUT 1 EA $69.60;
05.003.104S SAW BLADE, 90MM X 12.5MM, 1.19MM CUT 1 EA $69.60;
05.003.106S SAW BLADE, 90MM X 12.5MM, 1.27MM CUT 1 EA $69.60;
05.003.107S SAW BLADE, 90MM X 12.5MM, 1.37MM CUT 1 EA $69.60;
05.003.109S SAW BLADE, 90MM X 12.5MM, 1.47MM CUT 1 EA $69.60;
05.003.110S SAW BLADE, 90MM X 19.0MM, 0.89MM CUT 1 EA $69.60;
05.003.112S SAW BLADE, 90MM X 19.0MM, 1.00MM CUT 1 EA $69.60;
05.003.113S SAW BLADE, 90MM X 19.0MM, 1.07MM CUT 1 EA $69.60;
05.003.114S SAW BLADE, 90MM X 19.0MM, 1.19MM CUT 1 EA $69.60;
05.003.116S SAW BLADE, 90MM X 19.0MM, 1.27MM CUT 1 EA $69.60;
05.003.117S SAW BLADE, 90MM X 19.0MM, 1.37MM CUT 1 EA $69.60;
05.003.119S SAW BLADE, 90MM X 19.0MM, 1.47MM CUT 1 EA $69.60;
05.003.120S SAW BLADE, 90MM X 9.5-19MM, 0.89MM CUT 1 EA $69.60;
05.003.122S SAW BLADE, 90MM X 9.5-19MM, 1.00MM CUT 1 EA $69.60;
05.003.123S SAW BLADE, 90MM X 9.5-19MM, 1.07MM CUT 1 EA $69.60;
05.003.124S SAW BLADE, 90MM X 9.5-19MM, 1.19MM CUT 1 EA $69.60;
05.003.126S SAW BLADE, 90MM X 9.5-19MM, 1.27MM CUT 1 EA $69.60;
05.003.127S SAW BLADE, 90MM X 9.5-19MM, 1.37MM CUT 1 EA $69.60;
05.003.129S SAW BLADE, 90MM X 9.5-19MM, 1.47MM CUT 1 EA $69.60;
05.003.130S SAW BLADE, 90MM X 25.0MM, 0.89MM CUT 1 EA $69.60;
05.003.132S SAW BLADE, 90MM X 25.0MM, 1.00MM CUT 1 EA $69.60;
05.003.133S SAW BLADE, 90MM X 25.0MM, 1.07MM CUT 1 EA $69.60;
05.003.134S SAW BLADE, 90MM X 25.0MM, 1.19MM CUT 1 EA $69.60;
05.003.136S SAW BLADE, 90MM X 25.0MM, 1.27MM CUT 1 EA $69.60;
05.003.137S SAW BLADE, 90MM X 25.0MM, 1.37MM CUT 1 EA $69.60;
05.003.139S SAW BLADE, 90MM X 25.0MM, 1.47MM CUT 1 EA $69.60;
511.905S RECIP SAW BLADE 80MM X 1.05MM 1 EA $106.80;
511.906S RECIP SAW BLADE 70MM X 1.27MM 1 EA $106.80;
511.907S RECIP SAW BLADE 55MM X 1.05MM 1 EA $106.80;
511.909S RECIP SAW BLADE 55MM X 0.85MM 1 EA $106.80;
511.910S RECIPROCATING SAW BLADE 41.5X10X0.8/0.7M 1 EA $114.00;
511.912S RECIP SAW BLADE DBL-SIDED 68MM X 1.10MM 1 EA $106.80;
511.913S RECIP SAW BLADE DBL-SIDED 68MM X 1.00MM 1 EA $106.80;
511.914S RECIP SAW BLADE DBL-SIDED 68MM X 0.80MM 1 EA $106.80;
511.915S RECIP SAW BL FOR 511.904 40MM X 1.10MM 1 EA $106.80;
512.55 SAW BLADE FOR 512.50,26MM/0.65MM CUT THK 1 EA $106.80;
512.76 SAW BLADE 12MM W 29MM LGTH 0.4MM THICK 1 EA $106.80;
512.77 SAW BLADE 6MM WIDTH,13MM LNTH/0.25MM THK 1 EA $106.80;
512.78 SAW BLADE 8MM WIDTH,13MM LNTH/0.25MM THK 1 EA $106.80;
512.79 SAW BLADE 8MM WIDTH,18MM LNTH/0.25MM THK 1 EA $106.80;
513.10 2.0MM DRILL BIT/MINI QC/28MM 1 EA $122.40;
513.17 2.7MM DRILL BIT/MINI QC/28M 1 EA $122.40;
519.100S SAW BLADE 27MM W X 50MM L X 0.6MM CUT 1 EA $84.00;
519.103S SAW BLADE 10MM W X 25MM L X 0.6MM CUT 1 EA $84.00;
519.104S SAW BLADE 10MM W X 50MM L X 0.6MM CUT 1 EA $84.00;
519.105S SAW BLADE 20MM W X 50MM L X 0.6MM CUT 1 EA $84.00;
519.106S SAW BLADE 19MM W X 70MM L X 1.0MM CUT 1 EA $84.00;
519.113S SAW BLADE 18MM W X 70MM L X 1.2MM CUT 1 EA $84.00;
519.124 SAW BLADE 19MM W X 90MM L X 1.27MM CUT 1 EA $54.00;
519.150S SAW BLADE 14MM W X 50MM L X 0.6MM CUT 1 EA $84.00;
519.170S SAW BLADE 27MM W X 70MM L X 0.8MM CUT 1 EA $84.00;
519.190S SAW BLADE 50MM W X 70MM L X 0.8MM CUT 1 EA $84.00;
519.200S SAW BLADE 27MM W X 70MM L X 1.0MM CUT 1 EA $84.00;
519.210S SAW BLADE 27MM W X 70MM L X 1.2MM CUT 1 EA $84.00;
519.230S SAW BLADE 6MM W X 25MM L X 0.6MM CUT 1 EA $84.00;
519.250S SAW BLADE 14MM W X 25MM L X 0.6MM CUT 1 EA $84.00;
532.041S SAW BLADE 6MM W X 10MM L X 0.4MM CUT 1 EA $99.60;
532.042S SAW BLADE 10MM W X 10MM L X 0.4MM CUT 1 EA $99.60;
532.043S SAW BLADE 16MM W X 10MM L X 0.4MM CUT 1 EA $99.60;
532.044S SAW BLADE 4MM W X 15MM L X 0.4MM CUT 1 EA $99.60;
532.045S SAW BLADE 8MM W X 20MM L X 0.4MM CUT 1 EA $99.60;
532.046S SAW BLADE 12MM W X 20MM L X 0.4MM CUT 1 EA $99.60;
532.047S SAW BLADE 6MM W X 30MM L X 0.4MM CUT 1 EA $99.60;
532.048S SAW BLADE 10MM W X 30MM L X 0.4MM CUT 1 EA $99.60;
532.061S SAW BLADE 6MM W X 25MM L X 0.6MM CUT 1 EA $99.60;
532.062S SAW BLADE 10MM W X 25MM L X 0.6MM CUT 1 EA $99.60 ;
</t>
  </si>
  <si>
    <t>Product list is too long at 26 pages. Please document for the rest of the items.</t>
  </si>
  <si>
    <t>Missing Parent ID, Product details. Incorrect Type of Pricing.</t>
  </si>
  <si>
    <t>001018471~00073573.062</t>
  </si>
  <si>
    <t>00183168</t>
  </si>
  <si>
    <t>PA Amendment sg v1 2-17-24 (1).docx</t>
  </si>
  <si>
    <t>001018471~00073573.064</t>
  </si>
  <si>
    <t>Aesthetics &amp; Reconstruction</t>
  </si>
  <si>
    <t>MENTOR</t>
  </si>
  <si>
    <t xml:space="preserve">2024.04.04 Health - PA Mentor Pricing Agreement - TH - CON0010 - $1M &amp; 80% </t>
  </si>
  <si>
    <t>00005697 372314 372322 University Medical Ctr Corp Drachman &amp; Warren Sts 1501 N Campbell Ave Tucson AZ 85724;
00286160 372314 5211819 UMC - Alvernon Surgery Center 750 N Alvernon Way Tucson AZ 85711;
N/A 372314 6157341 University Medical Ctr Corp 707 N Alvernon Way Ste 201 Tucson AZ 85711;
00009887 62287 1182918 North Colorado Med Ctr 1801 16Th St Greeley CO 80631;
00004011 118869 118869 Fairbanks Mem Hospital 1650 Cowles Street Fairbanks AK 99701;
00033481 354141 106323 Banner Baywood Med Ctr 6644 Baywood Avenue Mesa AZ 85206;
00003760 354394 106585 Banner Desert Med Ctr 1400 S Dobson Rd Mesa AZ 85202;
00001116 354407 106606 Banner Good Samaritan Med Ctr 1111E Mcdowell Rd Phoenix AZ 85006;
00011605 354415 106622 Banner Thunderbird Med Ctr 5555 W Thunderbird Rd Glendale AZ 85306;
00016748 372200 2755562 Surgicenter Of Phoenix 1040 E Mcdowell Rd Phoenix AZ 85006;
00006771 380496 2756047 Mckee Med Ctr 2000 Boise Avenue Loveland CO 80538;
00077466 400717 3565015 Union Hills Surgery Center 18301 N 79Th Ave Ste E150 Glendale AZ 85308;
00408344 1022261 2126176 Skyline Surgery Center 2555 E 13Th St Ste 200 Loveland CO 80537;
00009894 1162343 1162351 Washakie Med Ctr 400 S 15Th St Worland WY 82401;
00400531 2760011 2760020 Banner Estrella Med Ctr 9201W Thomas Rd Phoenix AZ 85037;
00003765 2764813 150244 Banner Boswell Med Ctr 10401 Thunderbird Blvd Sun City AZ 85351;
01077018 2766421 1411725 Banner Gtwy Med Ctr 1900 N Higley Rd Gilbert AZ 85062;
00043283 2766561 2216593 Banner Del Webb Med Ctr 14502 W Meeker Blvd Sun City AZ 85375;
00063112 2766616 1182897 Banner Desert Surg Ctr 1500 S Dobson Rd Ste 101 Mesa AZ 85202;
00011521 3252369 3252801 Churchill Community Hosp 801E.Williams Ave Fallon NV 89406;
00046219 3527060 131561 Arizona Medical Clinic 13640 N Plaza Del Rio Blvd Peoria AZ 85381;
01131340 4356160 4356266 Banner Ironwood Medical Center 37000 N Gantzel Rd Queen Creek AZ 85140;
01328050 4275212 4275263 Casa Grande Regional Med Ctr 1800 E Florence Blvd Casa Grande AZ 85122;
00412201 2760011 8675336 Banner Estrella Surgery Center 9301 W Thomas Road Phoenix AZ 85037;
00003765 2764813 150252 Banner Boswell Medical Center 13049 N 103rd Ave Sun City AZ 85351;
01345702 380496 10558737 Banner Fort Collins Medical Ctr Mckee Medical Center 4700 Lady Moon Drive Ft Collins CO 80528;
01078336 354141 7119215 Banner Canyon Spring Surgery Ctr 2940 E Banner Gateway Dr Ste 100 Gilbert AZ 85234;
N/A 17463554 17463554 BMG Plastic Surgery 1800 15th Street Ste 130 Greeley CO 80631;
00402033 18025396 18025396 Mountain Vista Orthopedic Surgery Center 5890 West 13th Street Ste 102 Greeley CO 80634;
01483304 18173874 18174375 Banner Ocotillo Medical Center 1405 S Alma School Rd Chandler AZ 85286;
00302598 1113752 5211747 University Physicians Hospital 2800 E Ajo Way Tucson AZ 08513;
00006777 6895116 6895175 Sterling Regional Medical Center 615 Fairhurst St. Sterling CO 80751;
00049729 393174 1503187 Valley Luthern Surgicenter 6424 E Broadway Mesa AZ 85206;
00006354 8723289 8724871 Buena Vista Regional Med Center 1525 W. 5th St. Storm Lake IA 50588;
N/A 18464815 18464815 Banner Surgery Center Thunderbird 5555 W Thunderbird Rd. Ste#150 Glendale AZ 85306;
01401638 19045321 19045321 Banner Surgery Center Reid Park 717 S Alvernon Way Tucson AZ 85711;
01507220 19562118 19562118 BSC Chandler LLC 1125 S Alma School Rd Ste 100 Chandler AZ 85286;</t>
  </si>
  <si>
    <t>Breast Implant Silicone Gel Smooth Round Moderate Classic 3507XXX $1,075 $795;
Breast Implant Silicone Gel Smooth Round Moderate Plus 350XXX1 $1,075 $795;
Breast Implant Silicone Gel Smooth Round High 350XXX4 $1,075 $795;
Breast Implant Silicone Gel Smooth Round Ultra High 3505XXX $1,075 $795;
Breast Implant Silicone Gel Siltex Round Moderate Classic 354XXX7 $1,250 $860;
Breast Implant Silicone Gel Siltex Round Moderate Plus 354XXX1 $1,250 $860;
Breast Implant Silicone Gel Siltex Round High 3544XXX $1,250 $860;
Breast Implant Silicone Gel Siltex Round Ultra High 3545XXX $1,250 $860;
Breast Implant Silicone Gel SMOOTH MOD+ PROFILE XTRA SMPXXXX $1,380 $1,060;
Breast Implant Silicone Gel SMOOTH HIGH PROFILE XTRA SHPXXXXX $1,380 $1,060;
Breast Implant Silicone Gel SMOOTH MOD PROFILE XTRA SMHXXXX $1,380 $1,060;
Breast Implant Silicone Gel SMO RO MOD PRO BOOST GEL SMPBXXX $1,550 $1,085;
Breast Implant Silicone Gel SMO RO HIGH PRO BOOST GEL SHPBXXX $1,550 $1,085;
Breast Implant Silicone Gel SMO RO MOD HIGH PRO BOOST GEL SMHBXXX $1,550 $1,085;
Breast Implant Silicone Gel SILTEX MOD+ PROFILE XTRA TMPXXXX $1,500 $1,125;
Breast Implant Silicone Gel SILTEX HIGH PROFILE XTRA THPXXXX $1,500 $1,125;
Breast Implant Anatomical Silicone Gel MemoryShape Medium Height Moderate Profile (MM) 321 354XXX8 $1,700 $1,380;
Breast Implant Anatomical Silicone Gel MemoryShape Low Height Moderate Plus Profile (LM+) 312 334XXX7 $1,700 $1,380;
Breast Implant Anatomical Silicone Gel MemoryShape Medium Height Moderate Plus Profile (MM+) 322 334XXX5 $1,700 $1,380;
Breast Implant Anatomical Silicone Gel MemoryShape Tall Height Moderate Plus Profile (TM+) 332 334XXX9 $1,700 $1,380;
Breast Implant Anatomical Silicone Gel MemoryShape Medium Height High Profile (MH) 323 334XXX2 $1,700 $1,380;
Breast Implant Anatomical Silicone Gel MemoryShape Tall Height High Profile (TH) 333 334XXX4 $1,700 $1,380;
Breast Implant Saline Smooth Round Moderate 35016XX $825 $470;
Breast Implant Saline Smooth Round Moderate Plus 3502XXX $825 $470;
Breast Implant Saline Smooth Round High 3503XXX $825 $470;
Breast Implant Adjustable Saline Smooth Round Spectrum 35014XX $1,200 $1,035;
Breast Expander CPX4 Siltex Low Height 35481XX $1,985 $1,395;
Breast Expander CPX4 Siltex Medium Height 35482XX $1,985 $1,395;
Breast Expander CPX4 Siltex Tall Height 35483XX $1,985 $1,395;
Breast Expander CPX4T Siltex Low Height 35491XX $1,985 $1,395;
Breast Expander CPX4T Siltex Medium Height 35492XX $1,985 $1,395;
Breast Expander CPX4T Siltex Tall Height 35493XX $1,985 $1,395;
Breast Expander CPX4TSP Smooth Low Height Plus SCPXXXXLH $1,975 $1,310;
Breast Expander CPX4TSP Smooth Medium Height Plus SCPXXXXMH $1,975 $1,310;
Breast Expander CPX4TSP Smooth Tall Height Plus SCPXXXXTH $1,975 $1,310;
Breast Expander ARTOURA ™ Siltex High Profile TEXPXXXRH $2,300 $1,915;
Breast Expander ARTOURA ™ Siltex Ultra High Profile TEXPXXXRUH $2,300 $1,915;
Breast Expander ARTOURA ™ Smooth High Profile Plus SDCXXXH $2,375 $1,810;
Breast Expander ARTOURA ™ Smooth Ultra High Profile Plus SDCXXXUH $2,375 $1,810;
Tissue Expander Smooth Surface Elliptical 35053XX $1,200 $1,035;
Tissue Expander Smooth Surface Round 35043XX $1,200 $1,035;
Tissue Expander Smooth Surface Crescent 35043XX $1,200 $1,035;
Tissue Expander Smooth Surface Rectangle 35043XX $1,200 $1,035;
Breast Sizer Resterilizable Gel Sizer Round Moderate Classic RSZ7XXXS $320 $205;
Breast Sizer Resterilizable Gel Sizer Round Moderate Plus RSZXXX1S $320 $205;
Breast Sizer Resterilizable Gel Sizer Round High RSZXXX4S $320 $205;
Breast Sizer Resterilizable Gel Sizer Round Ultra High RSZ5XXXS $320 $205;
Breast Sizer Resterilizable Gel Sizer Smooth MGEL Sizer MP+ XTRA RSZMPXXXXS $385 $225;
Breast Sizer Resterilizable Gel Sizer Smooth MGEL SIZER HP XTRA RSZSHPXXXXS $385 $225;
Breast Sizer Resterilizable Gel Sizer Siltex MGEL SIZER HP XTRA RSZTHPXXXXS $385 $225;
Breast Sizer Resterilizable Gel Sizer Smooth MGEL SIZER MP XTRA RSZSMHXXXXX $385 $225;
Breast Sizer Resterilizable Gel Sizer MGEL SIZER MP BOOST RSZMPBXXXS $395 $235;
Breast Sizer Resterilizable Gel Sizer MGEL SIZER HP BOOST RSZHPBXXXS $395 $235;
Breast Sizer Resterilizable Gel Sizer MGEL SIZER MHP BOOST RSZMHBXXXS $395 $235;
Breast Sizer Sterile Anatomical Gel Sizer MemoryShape Sterile Sizer Medium Height Moderate Profile (MM) RSZXXX8S $425 $275;
Breast Sizer Sterile Anatomical Gel Sizer MemoryShape Sterile Sizer Low Height Moderate Plus Profile (LM+) RSZXXX7S $425 $275;
Breast Sizer Sterile Anatomical Gel Sizer MemoryShape Sterile Sizer Medium Height Moderate Plus Profile (MM+) RSZXXX5S $425 $275;
Breast Sizer Sterile Anatomical Gel Sizer MemoryShape Sterile Sizer Tall Height Moderate Plus Profile (TM+) RSZXXX9S $425 $275;
Breast Sizer Sterile Anatomical Gel Sizer MemoryShape Sterile Sizer Medium Height High Profile (MH) RSZXXX2S $425 $275;
Breast Sizer Sterile Anatomical Gel Sizer MemoryShape Sterile Sizer Tall Height High Profile (TH) RSZ4XXXS $425 $275;
Breast Sizer Sterile Saline Sizer Round Moderate 351-XXXSZ $130 $105;
Breast Sizer Sterile Saline Sizer Round Moderate Plus 351-2XXXSZ $130 $105;
Breast Sizer Sterile Saline Sizer Round High 351-3XXXSZ $130 $105;</t>
  </si>
  <si>
    <t>The Participants will only be entitled to the pricing under this
PA if, in a given Year, the Customer’s Market Share for the Product Types listed in Schedule A meets or
exceeds 80% and a minimum NCP of $1,000,000.</t>
  </si>
  <si>
    <t>Type of pricing is not explicitly stated</t>
  </si>
  <si>
    <t>001018471~00073573.066</t>
  </si>
  <si>
    <t>00178912</t>
  </si>
  <si>
    <t xml:space="preserve">PA Amendment sg v1 5-3-24.docx </t>
  </si>
  <si>
    <t>001018471~00073573.068</t>
  </si>
  <si>
    <t>JDEJES55</t>
  </si>
  <si>
    <t>1116
3738
3760
3765
10401
5697
6771
6777
9709
9887
9892
9894
11521
11605
12138
12273
13551
13960
16684
16748
33481
43096
43283
49729
63110
63112
77466
80180
157106
286160
302598
310558
381222
400531
401248
402033
408344
412201
429009
1077018
1078336
1085593
1092676
1131340
1149423
1328050
1345702
1472802
1483304
1513039
1522061</t>
  </si>
  <si>
    <t>Energy PA Amendment sg v1 8-16-24.docx</t>
  </si>
  <si>
    <t>0800M2K01 Mega 2000 with M2K01 Cable KT 1
0800M2K02 Mega 2000 with M2K02 Cable KT 1
0800M2K03 Mega 2000 with M2K03 Cable KT 1
0800M2K04 Mega 2000 with M2K04 Cable KT 1
0800M2K05 Mega 2000 with M2K05 Cable KT 1
0800M2K06 Mega 2000 with M2K06 Cable KT 1
0800M2K08 Mega 2000 with M2K08 Cable KT 1
0800M2K09 Mega 2000 with M2K09 Cable KT 1
0830M2K01 Mega Soft 0830 with M2K01 Cable KT 1
0830M2K02 Mega Soft 0830 with M2K02 Cable KT 1
0830M2K03 Mega Soft 0830 with M2K03 Cable KT 1
0830M2K04 Mega Soft 0830 with M2K04 Cable KT 1
0830M2K05 Mega Soft 0830 with M2K05 Cable KT 1
0830M2K06 Mega Soft 0830 with M2K06 Cable KT 1
0830M2K08 Mega Soft 0830 with M2K08 Cable KT 1
0830M2K09 Mega Soft 0830 with M2K09 Cable KT 1
0835M2K01 Mega Soft Dual Cord 0835 with two M2K01 Cables KT 1
0835M2K02 Mega Soft Dual Cord 0835 with two M2K02 Cables KT 1
0835M2K03 Mega Soft Dual Cord 0835 with two M2K03 Cables KT 1
0835M2K04 Mega Soft Dual Cord 0835 with two M2K04 Cables KT 1
0835M2K05 Mega Soft Dual Cord 0835 with two M2K05 Cables KT 1
0835M2K06 Mega Soft Dual Cord 0835 with two M2K06 Cables KT 1
0835M2K08 Mega Soft Dual Cord 0835 with two M2K08 Cables KT 1
0835M2K09 Mega Soft Dual Cord 0835 with two M2K09 Cables KT 1
0840M2K01 Mega Soft Pediatric 0840 with M2K01 Cable KT 1
0840M2K02 Mega Soft Pediatric 0840 with M2K02 Cable KT 1
0840M2K03 Mega Soft Pediatric 0840 with M2K03 Cable KT 1
0840M2K04 Mega Soft Pediatric 0840 with M2K04 Cable KT 1
0840M2K05 Mega Soft Pediatric 0840 with M2K05 Cable KT 1
0840M2K06 Mega Soft Pediatric 0840 with M2K06 Cable KT 1
0840M2K08 Mega Soft Pediatric 0840 with M2K08 Cable KT 1
0840M2K09 Mega Soft Pediatric 0840 with M2K09 Cable KT 1
0845M2K01 Mega Soft Universal 0845 with M2K01 Cable KT 1
0845M2K02 Mega Soft Universal 0845 with M2K02 Cable KT 1
0845M2K03 Mega Soft Universal 0845 with M2K03 Cable KT 1
0845M2K04 Mega Soft Universal 0845 with M2K04 Cable KT 1
0845M2K05 Mega Soft Universal 0845 with M2K05 Cable KT 1
0845M2K06 Mega Soft Universal 0845 with M2K06 Cable KT 1
0845M2K08 Mega Soft Universal 0845 with M2K08 Cable KT 1
0845M2K09 Mega Soft Universal 0845 with M2K09 Cable KT 1
0846M2K01 Mega Soft Universal Dual Cord 0846 with two M2K01 Cables KT 1
0846M2K02 Mega Soft Universal Dual Cord 0846 with two M2K02 Cables KT 1
0846M2K03 Mega Soft Universal Dual Cord 0846 with two M2K03 Cables KT 1
0846M2K04 Mega Soft Universal Dual Cord 0846 with two M2K04 Cables KT 1
0846M2K05 Mega Soft Universal Dual Cord 0846 with two M2K05 Cables KT 1
0846M2K06 Mega Soft Universal Dual Cord 0846 with two M2K06 Cables KT 1
0846M2K08 Mega Soft Universal Dual Cord 0846 with two M2K08 Cables KT 1
0846M2K09 Mega Soft Universal Dual Cord 0846 with two M2K09 Cables KT 1
PKIT001 Mega Soft Patch Kit BX 1
M2K01 Standard Connector, 2.4 m (8.0 ft.) BX 1
M2K02 Standard Connector, 4.4 m (14.4 ft.) BX 1
M2K03 Phone Plug Connector, 2.4 m (8.0 ft.), same as B205 adapter BX 1
M2K04 Phone Plug Connector, 4.4 m (14.4 ft.), same as B205 adapter BX 1
M2K05 Extended Phone Plug Connector, 4.4 m (14.4 ft.), same as B-210 adapter BX 1
M2K06 Argon Beam Connector, 2.4 m (8.0 ft.), same as A238 adapter BX 1
M2K07 Mega Soft Replacement Cord, 0.6 m (2.0 ft.) BX 1
M2K08 Compatibility Cable, MEGA SOFT® 2.4m (8.0 ft.) BX 1
M2K09 Compatibility Cable, MEGA SOFT® 4.4m (14.4 ft.) BX 1
ME7251C Megadyne ACE BLADE™ 700, 2.5” Blade, Zip Pen Smoke Evacuation Pencil, C connector BX 6
ME7251E Megadyne ACE BLADE™ 700, 2.5” Blade, Zip Pen Smoke Evacuation Pencil, E connector BX 6
ME725M1C Megadyne ACE BLADE™ 700, 2.5” Blade, Modified, Zip Pen Smoke Evacuation Pencil, C connector BX 6
ME725M1E Megadyne ACE BLADE™ 700, 2.5” Blade, Modified, Zip Pen Smoke Evacuation Pencil, E connector BX 6
ME7251ST MEGADYNE™ Telescoping Smoke Evacuation Soft Tissue Dissector BX 6
ME725M1ST MEGADYNE™ Telescoping Smoke Evacuation Soft Tissue Dissector, Modified BX 6
ME7251T MEGADYNE™ Telescoping Soft Tissue Dissector BX 6
ME725M1T MEGADYNE™ Telescoping Soft Tissue Dissector, Modified BX 6
0847M2K01 MEGA SOFT UNIVERSAL PLUS 0847 WITH M2K01 CABLE BX 1
0847M2K02 MEGA SOFT UNIVERSAL PLUS 0847 WITH M2K02 CABLE BX 1
0847M2K03 MEGA SOFT UNIVERSAL PLUS 0847 WITH M2K03 CABLE BX 1
0847M2K04 MEGA SOFT UNIVERSAL PLUS 0847 WITH M2K04 CABLE BX 1
0847M2K05 MEGA SOFT UNIVERSAL PLUS 0847 WITH M2K05 CABLE BX 1
0847M2K06 MEGA SOFT UNIVERSAL PLUS 0847 WITH M2K06 CABLE BX 1
0847M2K08 MEGA SOFT UNIVERSAL PLUS 0847 WITH M2K08 CABLE BX 1
0847M2K09 MEGA SOFT UNIVERSAL PLUS 0847 WITH M2K09 CABLE BX 1
0848M2K01 MEGA SOFT UNIVERSAL PLUS DUAL CORD 0848 WITH TWO M2K01 CABLES BX 1
0848M2K02 MEGA SOFT UNIVERSAL PLUS DUAL CORD 0848 WITH TWO M2K02 CABLES BX 1
0848M2K03 MEGA SOFT UNIVERSAL PLUS DUAL CORD 0848 WITH TWO M2K03 CABLES BX 1
0848M2K04 MEGA SOFT UNIVERSAL PLUS DUAL CORD 0848 WITH TWO M2K04 CABLES BX 1
0848M2K05 MEGA SOFT UNIVERSAL PLUS DUAL CORD 0848 WITH TWO M2K05 CABLES BX 1
0848M2K06 MEGA SOFT UNIVERSAL PLUS DUAL CORD 0848 WITH TWO M2K06 CABLES BX 1
0848M2K08 MEGA SOFT UNIVERSAL PLUS DUAL CORD 0848 WITH TWO M2K08 CABLES BX 1
0848M2K09 MEGA SOFT UNIVERSAL PLUS DUAL CORD 0848 WITH TWO M2K09 CABLES BX 1
0825 MEGA2000 PLASTIC SHEATH BX 1
1300SJ MEGA CART WITH TOP SHELF BX 1
1400JJ MONOPOLAR FOOTSWITCH (3 METER CABLE) BX 1
1450J BIPOLAR FOOTSWITCH (3 METER CABLE) BX 1
1459J ROUND BIPOLAR FOOTSWITCH (AVAILABLE 9/1) BX 1
96007 MONOPOLAR ADAPTER BX 1
2250J RF SENSOR BX 1
2255J MEGADYNE™ RF SENSOR BX 1
2403J CONNECT CABLE 1M, SMOKE EXTRACTOR EA 1
2406J MEGADYNE™ CONNECT CABLE, 2.1M EA 1
ECVV120 MINIVAC SMOKE EVACUATOR BX 1
MGEZLINK01 EZ LINK RF SENSOR BX 1
MESE1 MEGADYNE™ Smoke Evacuator BX 1
HP054 HARMONIC HAND PIECE BX 1
HPBLUE HARMONIC BLUE HAND PIECE BX 1
CRT11 GEN11 CART BX 1
EGA11 ENSEAL GEN11 CONNECTOR BX 1
FSW11 GEN11 FOOTSWITCH AND CABLE BX 1
GEN11VK GEN11 VERIFICATION KEY BX 1
HGA11 HARMONIC GEN11 CONNECTOR EA 1
HARHPGR HARMONIC HAND PIECE GREY CORD BX 1
HARHPBL HARMONIC HAND PIECE BLUE CORD BX 1
0800M2K01 Mega 2000 with M2K01 Cable KT 1
0800M2K02 Mega 2000 with M2K02 Cable KT 1
0800M2K03 Mega 2000 with M2K03 Cable KT 1
0800M2K04 Mega 2000 with M2K04 Cable KT 1
0800M2K05 Mega 2000 with M2K05 Cable KT 1
0800M2K06 Mega 2000 with M2K06 Cable KT 1
0800M2K08 Mega 2000 with M2K08 Cable KT 1
0800M2K09 Mega 2000 with M2K09 Cable KT 1
0830M2K01 Mega Soft 0830 with M2K01 Cable KT 1
0830M2K02 Mega Soft 0830 with M2K02 Cable KT 1
0830M2K03 Mega Soft 0830 with M2K03 Cable KT 1
0830M2K04 Mega Soft 0830 with M2K04 Cable KT 1
0830M2K05 Mega Soft 0830 with M2K05 Cable KT 1
0830M2K06 Mega Soft 0830 with M2K06 Cable KT 1
0830M2K08 Mega Soft 0830 with M2K08 Cable KT 1
0830M2K09 Mega Soft 0830 with M2K09 Cable KT 1
0835M2K01 Mega Soft Dual Cord 0835 with two M2K01 Cables KT 1
0835M2K02 Mega Soft Dual Cord 0835 with two M2K02 Cables KT 1
0835M2K03 Mega Soft Dual Cord 0835 with two M2K03 Cables KT 1
0835M2K04 Mega Soft Dual Cord 0835 with two M2K04 Cables KT 1
0835M2K05 Mega Soft Dual Cord 0835 with two M2K05 Cables KT 1
0835M2K06 Mega Soft Dual Cord 0835 with two M2K06 Cables KT 1
0835M2K08 Mega Soft Dual Cord 0835 with two M2K08 Cables KT 1
0835M2K09 Mega Soft Dual Cord 0835 with two M2K09 Cables KT 1
0840M2K01 Mega Soft Pediatric 0840 with M2K01 Cable KT 1
0840M2K02 Mega Soft Pediatric 0840 with M2K02 Cable KT 1
0840M2K03 Mega Soft Pediatric 0840 with M2K03 Cable KT 1
0840M2K04 Mega Soft Pediatric 0840 with M2K04 Cable KT 1
0840M2K05 Mega Soft Pediatric 0840 with M2K05 Cable KT 1
0840M2K06 Mega Soft Pediatric 0840 with M2K06 Cable KT 1
0840M2K08 Mega Soft Pediatric 0840 with M2K08 Cable KT 1
0840M2K09 Mega Soft Pediatric 0840 with M2K09 Cable KT 1
0845M2K01 Mega Soft Universal 0845 with M2K01 Cable KT 1
0845M2K02 Mega Soft Universal 0845 with M2K02 Cable KT 1
0845M2K03 Mega Soft Universal 0845 with M2K03 Cable KT 1
0845M2K04 Mega Soft Universal 0845 with M2K04 Cable KT 1
0845M2K05 Mega Soft Universal 0845 with M2K05 Cable KT 1
0845M2K06 Mega Soft Universal 0845 with M2K06 Cable KT 1
0845M2K08 Mega Soft Universal 0845 with M2K08 Cable KT 1
0845M2K09 Mega Soft Universal 0845 with M2K09 Cable KT 1
0846M2K01 Mega Soft Universal Dual Cord 0846 with two M2K01 Cables KT 1
0846M2K02 Mega Soft Universal Dual Cord 0846 with two M2K02 Cables KT 1
0846M2K03 Mega Soft Universal Dual Cord 0846 with two M2K03 Cables KT 1
0846M2K04 Mega Soft Universal Dual Cord 0846 with two M2K04 Cables KT 1
0846M2K05 Mega Soft Universal Dual Cord 0846 with two M2K05 Cables KT 1
0846M2K06 Mega Soft Universal Dual Cord 0846 with two M2K06 Cables KT 1
0846M2K08 Mega Soft Universal Dual Cord 0846 with two M2K08 Cables KT 1
0846M2K09 Mega Soft Universal Dual Cord 0846 with two M2K09 Cables KT 1
PKIT001 Mega Soft Patch Kit BX 1
M2K01 Standard Connector, 2.4 m (8.0 ft.) BX 1
M2K02 Standard Connector, 4.4 m (14.4 ft.) BX 1
M2K03 Phone Plug Connector, 2.4 m (8.0 ft.), same as B205 adapter BX 1
M2K04 Phone Plug Connector, 4.4 m (14.4 ft.), same as B205 adapter BX 1
M2K05 Extended Phone Plug Connector, 4.4 m (14.4 ft.), same as B-210 adapter BX 1
M2K06 Argon Beam Connector, 2.4 m (8.0 ft.), same as A238 adapter BX 1
M2K07 Mega Soft Replacement Cord, 0.6 m (2.0 ft.) BX 1
M2K08 Compatibility Cable, MEGA SOFT® 2.4m (8.0 ft.) BX 1
M2K09 Compatibility Cable, MEGA SOFT® 4.4m (14.4 ft.) BX 1
ME7251C Megadyne ACE BLADE™ 700, 2.5” Blade, Zip Pen Smoke Evacuation Pencil, C connector BX 6
ME7251E Megadyne ACE BLADE™ 700, 2.5” Blade, Zip Pen Smoke Evacuation Pencil, E connector BX 6
ME725M1C Megadyne ACE BLADE™ 700, 2.5” Blade, Modified, Zip Pen Smoke Evacuation Pencil, C connector BX 6
ME725M1E Megadyne ACE BLADE™ 700, 2.5” Blade, Modified, Zip Pen Smoke Evacuation Pencil, E connector BX 6
ME7251ST MEGADYNE™ Telescoping Smoke Evacuation Soft Tissue Dissector BX 6
ME725M1ST MEGADYNE™ Telescoping Smoke Evacuation Soft Tissue Dissector, Modified BX 6
ME7251T MEGADYNE™ Telescoping Soft Tissue Dissector BX 6
ME725M1T MEGADYNE™ Telescoping Soft Tissue Dissector, Modified BX 6
0847M2K01 MEGA SOFT UNIVERSAL PLUS 0847 WITH M2K01 CABLE BX 1
0847M2K02 MEGA SOFT UNIVERSAL PLUS 0847 WITH M2K02 CABLE BX 1
0847M2K03 MEGA SOFT UNIVERSAL PLUS 0847 WITH M2K03 CABLE BX 1
0847M2K04 MEGA SOFT UNIVERSAL PLUS 0847 WITH M2K04 CABLE BX 1
0847M2K05 MEGA SOFT UNIVERSAL PLUS 0847 WITH M2K05 CABLE BX 1
0847M2K06 MEGA SOFT UNIVERSAL PLUS 0847 WITH M2K06 CABLE BX 1
0847M2K08 MEGA SOFT UNIVERSAL PLUS 0847 WITH M2K08 CABLE BX 1
0847M2K09 MEGA SOFT UNIVERSAL PLUS 0847 WITH M2K09 CABLE BX 1
0848M2K01 MEGA SOFT UNIVERSAL PLUS DUAL CORD 0848 WITH TWO M2K01 CABLES BX 1
0848M2K02 MEGA SOFT UNIVERSAL PLUS DUAL CORD 0848 WITH TWO M2K02 CABLES BX 1
0848M2K03 MEGA SOFT UNIVERSAL PLUS DUAL CORD 0848 WITH TWO M2K03 CABLES BX 1
0848M2K04 MEGA SOFT UNIVERSAL PLUS DUAL CORD 0848 WITH TWO M2K04 CABLES BX 1
0848M2K05 MEGA SOFT UNIVERSAL PLUS DUAL CORD 0848 WITH TWO M2K05 CABLES BX 1
0848M2K06 MEGA SOFT UNIVERSAL PLUS DUAL CORD 0848 WITH TWO M2K06 CABLES BX 1
0848M2K08 MEGA SOFT UNIVERSAL PLUS DUAL CORD 0848 WITH TWO M2K08 CABLES BX 1
0848M2K09 MEGA SOFT UNIVERSAL PLUS DUAL CORD 0848 WITH TWO M2K09 CABLES BX 1
0825 MEGA2000 PLASTIC SHEATH BX 1
1300SJ MEGA CART WITH TOP SHELF BX 1
1400JJ MONOPOLAR FOOTSWITCH (3 METER CABLE) BX 1
1450J BIPOLAR FOOTSWITCH (3 METER CABLE) BX 1
1459J ROUND BIPOLAR FOOTSWITCH (AVAILABLE 9/1) BX 1
96007 MONOPOLAR ADAPTER BX 1
2250J RF SENSOR BX 1
2255J MEGADYNE™ RF SENSOR BX 1
2403J CONNECT CABLE 1M, SMOKE EXTRACTOR EA 1
2406J MEGADYNE™ CONNECT CABLE, 2.1M EA 1
ECVV120 MINIVAC SMOKE EVACUATOR BX 1
MGEZLINK01 EZ LINK RF SENSOR BX 1
MESE1 MEGADYNE™ Smoke Evacuator BX 1
HP054 HARMONIC HAND PIECE BX 1
HPBLUE HARMONIC BLUE HAND PIECE BX 1
CRT11 GEN11 CART BX 1
EGA11 ENSEAL GEN11 CONNECTOR BX 1
FSW11 GEN11 FOOTSWITCH AND CABLE BX 1
GEN11VK GEN11 VERIFICATION KEY BX 1
HGA11 HARMONIC GEN11 CONNECTOR EA 1
HARHPGR HARMONIC HAND PIECE GREY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t>
  </si>
  <si>
    <t>Amendment to Product Agreements cannot be version 0. Find the original version of the Product Agreement to inherit the contract details, try 001018471~00073573.055</t>
  </si>
  <si>
    <t>001018471~00073573.069</t>
  </si>
  <si>
    <t>Product Agreement - JJHCS Master Agreement</t>
  </si>
  <si>
    <t xml:space="preserve">VELYS ROBOTIC-ASSISTED SOLUTION EQUIPMENT </t>
  </si>
  <si>
    <t>VRAS Rental PA v1 em 8.15.2024</t>
  </si>
  <si>
    <t>6771 Banner McKee Medical Center</t>
  </si>
  <si>
    <t>Rental agreement with equipment purchase option</t>
  </si>
  <si>
    <t xml:space="preserve">VELYS Robotic-Assisted Solution: Rental;
 VELYS SAW BLADES;
 VELYS ARRAY SET;
 VELYS STERILE PINS;
 VELYS DEVICE DRAPES;
 VELYS SATELLITE STATION DRAPES;
</t>
  </si>
  <si>
    <t>Subject to the terms of this agreement, Customer agrees to rent from 
the Company the VELYS Robotic-Assisted Solution equipment (the “Equipment”) and 
purchase the related consumables for use with the Equipment (the “Single Use Instruments”) at the pricing set 
forth in Tables 1 and 2 in Schedule A herein.</t>
  </si>
  <si>
    <t>Missing Parent ID. Incorrect UCN which should be 1018471.</t>
  </si>
  <si>
    <t>001018471~00073573.070</t>
  </si>
  <si>
    <t>00001116
00003760
00003765
00005697
00011325
00011605
00012138
00013551
00016748
00033481
00043283
00049729
00063110
00063112
00068185
00077466
00286160
00302598
00310558
00355088
00381222
00400531
00410891
00412201
00429009
01077018
01078336
01131340
01149423
01256760
01328050
01401638
01472802
01473651
1479772
1483304
1486333
1506979
1507723
1513039
1507003
3738
6816
9709
9892
9894
11521
12273
1085593
1085994
6771
6777
9887
16684
80180
402033
408344
1345702</t>
  </si>
  <si>
    <t>PA Amendment sg v3 9-9-24.docx</t>
  </si>
  <si>
    <t>Tier Pricing</t>
  </si>
  <si>
    <t>Check end date as extension only occurred on 10/3/2025. See 084</t>
  </si>
  <si>
    <t>001018471~00073573.071</t>
  </si>
  <si>
    <t>DE PUY SYNTEHS CMF</t>
  </si>
  <si>
    <t xml:space="preserve">$6b0a9b715321$8AE2CE577F09478EA0B575920245436D.docx </t>
  </si>
  <si>
    <t>Product list is too long at 103 pages. Further added to in this amendment.</t>
  </si>
  <si>
    <t>001018471~00073573.072</t>
  </si>
  <si>
    <t>DE PUY SYNTHES  MITEK SPORTS MEDICINE</t>
  </si>
  <si>
    <t>00001116;
00003760;
00003765;
00005697;
00006771;
00006777;
00006816;
00009709;
00009887;
00009892;
00011605;
00012273;
00013551;
00033481;
00043283;
00063110;
00063112;
00077466;
00286160;
00302598;
00381222;
00400531;
00402033;
00408344;
00412201;
01077018;
01078336;
01085593;
01117666;
01131340;
01328050;
01345702;
01472802;
01483304;</t>
  </si>
  <si>
    <t>PA Amendment sl v1 09-17-2024.docx</t>
  </si>
  <si>
    <t>Anchor 210030 GRYPHON PEEK DS ANCHOR W/OC 1 EA $316.00;
Anchor 210031 GRYPHON PEEK ANCHOR W/OC 1 EA $310.00;
Anchor 210309 SUPER THREADERTAB *PK/5 1 PK $2,141.00;
Anchor 210310 ROTCUFF THREADERTAB *EA 1 EA $388.00;
Anchor 210409 SUPER THREADERTAB *EA 1 EA $428.00;
Anchor 210704 LUPINE PANALOK LOOP ARTH #2ETH 1 EA $339.00;
Anchor 210708 LUPINE LOOP PLUS ANCHOR W/OC 1 EA $366.00;
Anchor 210709 LUPINELOOPPLUS ANCHOR W/OC DS 1 EA $377.00;
Anchor 210711 LUPINE BR W/ORTHCRD 1 EA $366.00;
Anchor 210712 LUPINE BR DS W/ORTHCRD 1 EA $377.00;
Anchor 210725 PANALOK #2 PAN CP-2 *EA 1 EA $410.00;
Anchor 210800 VERSALOK THREADER TAB *EA 1 EA $368.00;
Anchor 210808 VERSALOK PRE PACKED W/OC 1 EA $413.00;
Anchor 210811 GRYPHON T BR DS ANCH W/OC 1 EA $326.00;
Anchor 210812 GRYPHON T BR ANCHOR W/OC 1 EA $319.00;
Anchor 210813 GRYPHON P BR DS ANCHOR W/OC 1 EA $326.00;
Anchor 210814 GRYPHON P BR ANCHOR W/OC 1 EA $319.00;
Anchor 210818 VERSALOK PEEK WITH ORTHOCORD 1 EA $413.00;
Anchor 210820 GRYPHON BR W/ PROKNOT 1 EA $387.00;
Anchor 210821 GRYPHON PEEK W/PROKNOT 1 EA $370.00;
Anchor 212031 ROTCUFF QA+ #2 ETH CP-2 *EA 1 PK $398.00;
Anchor 212032 SUPER QA+ #2 ETH CP-2 *EA 1 EA $398.00;
Anchor 212033 MINI QA+ #2/0 ETH V-5 *EA 1 PK $382.00;
Anchor 212034 GII QA+ #2 ETH CP-2 *EA 1 EA $364.00;
Anchor 212035 MINI QA+ #2/O OCORD V-5 1 EA $397.00;
Anchor 212038 MINIQA+ # ORTHOCORD OS-2 1 EA $397.00;
Anchor 212041 MICROQA+W/#4OC(C1) 1 EA $383.00;
Anchor 212042 MICROQA+ W/#4OC P3 1 EA $383.00;
Anchor 212044 MICRIFXQA+ W/#4OC P3 1 EA $396.00;
Anchor 212045 MICRIFXQA+ W/#4OC C1 1 EA $396.00;
Anchor 212123 MINI INSERTER (SYRINGE) *EA 1 EA $510.00;
Anchor 212133 MINI QA+ #0 ETH OS-2 *EA 1 EA $382.00;
Anchor 212310 ROTCUFF EASY #2 ETH *EA 1 EA $425.00;
Anchor 212315 ROTCUFF EASY #2 ETH *PK/5 1 PK $2,123.00;
Anchor 212722 BIOKNOTLESS RAPIDE W/OC 1 EA $414.00;
Anchor 212723 BIOKNOTLESS RAPIDE W/PAN 1 EA $404.00;
FMS 283709 FULL RADIUS 5.0MM 5PK 1 PK $331.00;
FMS 283719 AGGRESIVE 5.0MM 5PK 1 PK $331.00;
FMS 283729 ULTRA AGGRESSIVE PLUS 5.0 5PK 1 PK $331.00;
FMS 283739 5.0MM MULTIBLADE PLUS 5PK 1 PK $331.00;
FMS 283858 XL 5.0MM ROUND BURR PLUS 5PK 1 PK $450.00;
FMS 283859 5.0MM ROUND BURR PLUS 5PK 1 PK $331.00;
FMS 283869 5.0 MM BARREL BURR PLUS 5PK 1 PK $331.00;
FMS 283878 XL 5MM RND TRNDO BURR PLUS 5PK 1 PK $450.00;
FMS 283879 5.0MM ROUND TRDO BURR PLUS 5PK 1 PK $331.00;
FMS 283889 BARREL TORNADO BURR 5.5MM 5PK 1 PK $331.00;
FMS 284156 4156 FOOT PED COVER 4WAY PK/100 -NS 1 PK $375.00;
FMS 284163 4163 FOOT PED COVER 2WAY PK/100 -NS 1 PK $375.00;
FMS 284504 IRRIGATION TUBESET 24PK 1 PK $1,026.00;
FMS 284508 INFLOW TUBING FMS VUE 24PK 1 PK $1,080.00;
FMS 284610 DISP PATIENT SET FMS 24PK 1 PK $1,026.00;
FMS 284649 REUSE PATIENT SET FMS 24PK 1 PK $1,242.00;
FMS 287305 7305 S FULL RADIUS 3.5 ST PK/5 -SH 1 PK $331.00;
FMS 287315 7315 S AGGRESSIVE 3.5 ST PK/5 -SH 1 PK $331.00;
FMS 287325 S ULTR AGGRESSIVE 3.5 ST 5PK 1 PK $331.00;
FMS 287345 7345 S MINFULRAD 3.5X80 ST PK/5 -SH 1 PK $331.00;
FMS 287375 7375 S MINULTAGGRESSIVE3.5X80 ST PK/5-SH 1 PK $331.00;
FMS 287432 OMNICUT 4.2 RES BLADE 5PK DUO+ 1 PK $525.00;
FMS 287433 OMNICUT 5.2 RES BLADE 5PK DUO+ 1 PK $525.00;
FMS 287505 7505 S FULL RADIUS 5.0 ST PK/5 -SH 1 PK $331.00;
FMS 287525 S ULTRAGGRESSIVE 5.0 ST 5PK 1 PK $331.00;
FMS 287535 7535 S MENISCUS 5.0 ST PK/5 -SH 1 PK $331.00;
FMS 287775 7775 B ROUND TORNADO 4.0 ST PK/5 -SH 1 PK $331.00;
FMS 287785 BARREL TORNADO 4.0 ST 5PK 1 PK $331.00;
FMS 287855 B ROUND 5.5 ST 5PK 1 PK $331.00;
FMS 287865 7865 B BARREL 5.5 ST PK/5 -SH 1 PK $331.00;
Hips 260002 HIP ACCESS KIT 1 EA $389.00;
Hips 260003 HIP CURVED BLADE 1 EA $215.00;
Hips 260009 HIP ACCESS KIT CURVE BLADE 1 EA $491.00;
Hips 260010 HIP STRAIGHT BLADE 1 EA $206.00;
Hips 260011 HIP ACCESS KIT STR BLADE 1 EA $476.00;
Hips 260012 HIP ACCESS KIT NO BLADE 1 EA $389.00;
Knee 210127 RIGIDFIX FEM2.7MM B/T/B XPIN 1 EA $383.00;
Knee 210133 RIGIDFIX FEM 3.3MM S/T XPIN 1 EA $383.00;
Knee 231818 MILAGRO ADVANCE SCREW 9X23MM 1 EA $363.00;
Knee 231819 MILAGRO ADVANCE SCREW 10X23MM 1 EA $363.00;
Knee 231820 MILAGRO INTSCR 9X23MM *EA 1 EA $353.00;
Knee 231821 MILAGRO ADVANCE SCREW 8X30MM 1 EA $363.00;
Knee 231822 MILAGRO ADVANCE SCREW 9X30MM 1 EA $363.00;
Knee 231823 MILAGRO ADVANCE SCREW 10X30MM 1 EA $363.00;
Knee 231824 MILAGRO ADVANCE SCREW 11X30MM 1 EA $363.00;
Knee 231825 MILAGRO INTSCR 9X30MM *EA 1 EA $353.00;
Knee 231826 MILAGRO ADVANCE SCREW 9X35MM 1 EA $363.00;
Knee 231827 MILAGRO ADVANCE SCREW 10X35MM 1 EA $363.00;
Knee 231828 MILAGRO ADVANCE SCREW 11X35MM 1 EA $363.00;
Knee 231829 MILAGRO ADVANCE SCREW 12X35MM 1 EA $363.00;
Knee 231830 MILAGRO INTSCR 9X35MM *EA 1 EA $353.00;
Knee 231831 MILAGRO ADVANCE SCREW 7X30MM 1 EA $363.00;
Knee 231832 MILAGRO ADVANCE SCREW 12X30MM 1 EA $363.00;
Knee 231835 MILAGRO INTSCR 10X23MM *EA 1 EA $353.00;
Knee 231840 MILAGRO INTSCR 10X30MM *EA 1 EA $353.00;
Knee 231845 MILAGRO INTSCR 10X35MM *EA 1 EA $353.00;
Knee 231850 MILAGRO INTSCR 11X30MM *EA 1 EA $353.00;
Knee 231855 MILAGRO INTSCR 11X35MM *EA 1 EA $353.00;
Knee 231856 MILAGRO ADV PEEK SCREW 7X23MM 1 EA $338.00;
Knee 231857 MILAGRO ADV PEEK SCREW 8X23MM 1 EA $338.00;
Knee 231858 MILAGRO ADV PEEK SCREW 9X23MM 1 EA $338.00;
Knee 231859 MILAGRO ADV PEEK SCREW 10X23MM 1 EA $338.00;
Knee 231860 MILAGRO INTSCR 12X30MM *EA 1 EA $353.00;
Knee 231865 MILAGRO INTSCR 12X35MM *EA 1 EA $353.00;
Knee 231866 MILAGRO ADV PEEK SCREW 7X30MM 1 EA $338.00;
Knee 231867 MILAGRO ADV PEEK SCREW 8X30MM 1 EA $338.00;
Knee 231868 MILAGRO ADV PEEK SCREW 9X30MM 1 EA $338.00;
Knee 231869 MILAGRO ADV PEEK SCREW 10X30MM 1 EA $338.00;
Knee 231870 MILAGRO ADV PEEK SCREW 11X30MM 1 EA $338.00;
Knee 231871 MILAGRO ADV PEEK SCREW 12X30MM 1 EA $338.00;
Knee 232000 RETROREAMER (6-12MM) 1 EA $375.00;
Knee 232009 CORTICAL FXATION FXD LOOP 15MM 1 EA $362.00;
Knee 232011 CORTICAL FXATION FXD LOOP 20MM 1 EA $362.00;
Knee 232014 CORTICAL FXATION FXD LOOP 25MM 1 EA $362.00;
Knee 232016 CORTICAL FXATION FXD LOOP 30MM 1 EA $362.00;
Knee 232017 CORTICAL FXATION FXD LOOP35MM 1 EA $362.00;
Vapr 225029 VAPR ARCTIC SUCTION ELECT DOME 1 EA $450.00;
Vapr 225030 VAPR ARCTIC ELECTRODE-CHISEL 1 EA $450.00;
Vapr 225031 COOLPULSE CURVE 1 EA $120.00;
Vapr 225201 VAPR 2.3MM SIDE -EA 1 EA $120.00;
Vapr 225202 VAPR 2.3MM END -EA 1 EA $120.00;
Vapr 225203 VAPR 2.3MM WEDGE 21 DEG -EA 1 EA $120.00;
Vapr 225211 VAPR 2.3MM SIDE SH -EA 1 EA $120.00;
Vapr 225213 VAPR 2.3MM WEDGE SH -EA 1 EA $120.00;
Vapr 225252 VAPR 2.3MM THERM END -EA 1 EA $120.00;
Vapr 225301 VAPR 3.5MM SIDE STR -EA 1 EA $120.00;
Vapr 225302 VAPR 3.5MM SIDE 21 DEG -EA 1 EA $120.00;
Vapr 225303 VAPR 3.5MM END STR -EA 1 EA $120.00;
Vapr 225304 VAPR 3.5MM END 21 DEG -EA 1 EA $120.00;
Vapr 225305 VAPR 3.5MM HOOK 90 DEG -EA 1 EA $120.00;
Vapr 225312 VAPR 3.5MM FLEX SIDE -EA 1 EA $120.00;
Vapr 225314 VAPR 3.5MM FLEX END -EA 1 EA $120.00;
Vapr 225370 VAPR S90 4.0MM W/INTEGR HDP -EA 1 EA $120.00;
Vapr 227202 VAPR 2.3MM END 1-PIEC ELECTRODE -EA 1 EA $242.00;
Vapr 227203 VAPR 2.3MM WEDGE 1-PIECE ELECTRODE -EA 1 EA $242.00;
Vapr 227204 VAPR PREMIERE 90 ELECTRODE -EA 1 EA $140.00;
Vapr 227211 VAPR2.3MM SIDE SHRT 1-PCE ELECTRODE -EA 1 EA $242.00;
Vapr 227213 VAPR2.3MM WEDGESHRT 1-PCE ELECTRODE -EA 1 EA $242.00;
Vapr 227252 VAPR TC 1-PIECE ELECTRODE - EA 1 EA $120.00;
Vapr 227301 VAPR3.5MM SIDEEFFECT 1-PCE ELECTRODE-EA 1 EA $120.00;
Vapr 227302 VAPR3.5MMSDEEFFECT21DEG1-PC ELECTRODE-EA 1 EA $120.00;
Vapr 227305 VAPR 3.5MM HOOK 1-PIECE ELECTRODE -EA 1 EA $120.00;
Vapr 227312 VAPR3.5MMFLEXSIDEEFFECT1-PCEELECTRODE-EA 1 EA $120.00;
Vapr 227355 S50 SM.DIA.ELECTRODE W/INTEG.HNDPIECE-EA 1 EA $272.00;
Vapr 227504 VAPR PREMIERE50 ELECTRODE -EA 1 EA $120.00;
Vapr 228146 VAPR COOLPULSE90 ELECTRODE 1 EA $115.00;
Vapr 228147 VAPR CLPLSE90 ELECTRODE W HAND CNTRLS 1 EA $115.00;
Vapr 228203 VAPR 2.3 WEDGE W/HAND CONTROLS 1 EA $259.00;
Vapr 228300 VAPR SIDE W/ HAND CONTROLS 1 EA $120.00;
Vapr 228305 VAPR HOOK W/ HAND CONTROLS 1 EA $120.00;
Vapr 228370 VAPR S90 W/ HAND CONTROLS 1 EA $120.00;
Vapr 228504 VAPR P50 W/ HAND CONTROLS 1 EA $120.00;
Visualization 242371 "Sony 80MD Printer Refill UPC-R81MD (8 Paper Rolls, 8 Ink Rolls)" 4 PK $1,236.00;
LIGAMENT DISPOSABLES - RETRO-REAMER 232000 RETROREAMER (6-12MM) 1 EA $455.00 ;
NON-SUCTION ELECTRODES 227252 VAPR TC 1-PIECE ELECTRODE - EA 1 EA $165.00 ;</t>
  </si>
  <si>
    <t>Prospective Basis</t>
  </si>
  <si>
    <t>Check end date. See bullet 2 of document.
Additional, include the Elgible participants UCN to the Individual and Ship to UCN column.</t>
  </si>
  <si>
    <t>001018471~00073573.073</t>
  </si>
  <si>
    <t>Product Agreement – JJHCS Master IDN Agreement</t>
  </si>
  <si>
    <t>MONARCH BRONCHOSCOPES</t>
  </si>
  <si>
    <t>IDN PA JK v2 September 2024</t>
  </si>
  <si>
    <t>Banner Gateway Meidcal Center;
Banner Boswell Medical Center;</t>
  </si>
  <si>
    <t>MBR-000211  MONARCH Bronchoscope;
MBR-000014  Biopsy Forceps - Smooth Cup;
MBR-000015  Cytology Brush;
MBR-000016  Navigation Patient Patches;
MBR-000017  Bronchoscope Patient Introducer Kit;
MBR-000218  Bronchoscope Fluidics Tubing;
MBR-000020  Bronchoscope Sheath Valve;</t>
  </si>
  <si>
    <t>Pricing for MONARCH Bronchoscopes and Consumables will be fixed for 
twenty-four (24) months from the PA Effective Date. All pricing is calculated exclusive of any applicable taxes, 
duties, or similar liabilities. Customer is responsible for payment of any applicable taxes, duties, or similar liabilities 
unless the Customer provides the Company with appropriate and valid exemption documentation.</t>
  </si>
  <si>
    <t>Eligible Participants, see page 6. Contract Period, see page 3, paragraph 14</t>
  </si>
  <si>
    <t>001018471~00073573.074</t>
  </si>
  <si>
    <t>Amendment To Master Integrated Delivery Network Agreement And Consolidated Service Center Agreement</t>
  </si>
  <si>
    <t>Amendment To Master Integrated Delivery Network Agreement and Consolidated Service Center Agreement</t>
  </si>
  <si>
    <t xml:space="preserve">$d8c042c0d173$F7314F1A13C04169B8B0F65542563E70.docx </t>
  </si>
  <si>
    <t>Document refers to MR906 itself.</t>
  </si>
  <si>
    <t>001018471~00073573.075</t>
  </si>
  <si>
    <t xml:space="preserve">$8d8b7b1b84bd$93867F58C26541CFAE948A7B66750ACA.docx </t>
  </si>
  <si>
    <t>001018471~00073573.076</t>
  </si>
  <si>
    <t>ETHICON NEUWAVE CAPITAL PURCHASE</t>
  </si>
  <si>
    <t>5300-05-218281 v4 Mkd NeuWave Capital Purchase IDN PA_122022024_FINAL_CLEAN.docx</t>
  </si>
  <si>
    <t>00001116 Banner - University Medical Center Phoenix 1021 E. Willetta St. Phoenix AZ 85006</t>
  </si>
  <si>
    <t>Equipment and Accesory Pricing</t>
  </si>
  <si>
    <t>NWC1US1N  NW Ablation System, US ;
 PD2MSURG Surgical PDM Mount Kit</t>
  </si>
  <si>
    <t xml:space="preserve"> Equipment Pricing. Pricing shall remain firm for the term of this PA. In order to support your patient care needs, if the 
Company is unable to deliver the Equipment within the later of 10 business days of the PA Effective Date 
and receipt of the Customer’s purchase order, the Company will at its cost provide a loaner unit without 
charge until the Equipment is delivered.</t>
  </si>
  <si>
    <t>No end date is explicitly stated rather a statemtent "expires one (1) Year from the Delivery Date (the “PA End Date”)"</t>
  </si>
  <si>
    <t>For end date. Please check the Master Agreement . Term and Termination. This PA begins on 1/7/2025(the “PA Effective 
Date”) and expires one (1) Year from the Delivery Date (the “PA End Date”), provided that the Master 
Agreement or a successor master agreement that incorporates this PA must be in effect at all times 
during the term of this PA or this PA will terminate in accordance with Section 2.1 of the Master 
Agreement. In addition, either party may terminate this PA earlier at any time by giving 30 days' notice to 
the other party. The PA Effective Date will be determined by the Company based upon price loading 
requirements. The Company will complete this section upon final execution of this PA.</t>
  </si>
  <si>
    <t>001018471~00073573.077</t>
  </si>
  <si>
    <t>ETHICON NEUWAVE PROBES</t>
  </si>
  <si>
    <t>00001116
00003738
00003760
00003765
00005697
00006771
00006777
00006816
00009709
00009887
00009892
00009894
00011325
00011521
00011605
00012138
00012273
00012588
00013551
00013960
00016684
00016748
00033481
00043283
00049729
00063110
00063112
00077466
00080180
00157106
00286160
00302598
00310558
00350808
00381222
00400531
00401248
00401563
00402033
00408344
00412201
00429009
01077018
01078336
01085593
01085994
01092676
01131340
01149423
01328050
01345702
01401638
01472802
01483304
01507003
01513039
01522061
01529037</t>
  </si>
  <si>
    <t xml:space="preserve">IDN PA TT PK v2 20241212_FC.docx </t>
  </si>
  <si>
    <t>00001116   BANNER UNIVERSITY MEDICAL CENTER;
00003738   COMMUNITY HOSPITAL;
00003760   BANNER DESERT MEDICAL CENTER;
00003765   BANNER BOSWELL MEDICAL CENTER;
00005697   BANNER UNIVERSITY MEDICAL CENTER;
00006771   BANNER MCKEE MEDICAL CENTER;
00006777   STERLING REGIONAL MEDICAL CENTER 615;
00006816   WYOMING MEDICAL CENTER;
00009709   OGALLALA COMMUNITY HOSPITAL;
00009887   NORTH COLORADO MEDICAL CENTER;
00009892   PLATTE COUNTY MEMORIAL HOSPITAL;
00009894   WASHAKIE MEDICAL CENTER;
00011325   CASA GRANDE MEDICAL CENTER;
00011521   BANNER CHURCHILL COMMUNITY HOSPITAL;
00011605   BANNER THUNDERBIRD MEDICAL CENTER;
00012138   BANNER PAYSON MEDICAL CENTER;
00012273   BANNER LASSEN MEDICAL CENTER;
00012588   WRAY COMMUNITY HOSPITAL;
00013551   PAGE HOSPITAL;
00013960   BANNER MESA MEDICAL CENTER;
00016684   EAST MORGAN COUNTY HOSPITAL 2400;
00016748   BANNER PHOENIX SURGERY CENTER;
00033481   BANNER BAYWOOD MEDICAL CENTER;
00043283   BANNER DEL E WEBB MEDICAL CENTERS FOR WOMENS HEALTH;
00049729   BANNER BAYWOOD SURGERY;
00063110   BANNER SURGERY CENTER;
00063112   BANNER MESA SURGERY CENTER;
00077466   BANNER UNION HILLS SURGERY CENTER;
00080180   LOVELAND SURGERY CENTER;
00157106   BANNER HEALTH ARIZONA;
00286160   BANNER UNIVERSITY MEDICAL CENTER;
00302598   ALVERNON SURGERY CENTER;
00310558   BANNER UNIVERSITY MEDICAL CENTER;
00350808   BANNER BAYWOOD HEART HOSPITAL;
00381222   GATEWAY SURGERY CENTER 690 N COFCO CENTER;
00400531   BANNER PEORIA SURGERY CENTER;
00401248   BANNER ESTRELLA MEDICAL CENTER;
00401563   PAGE HOSPITAL;
00402033   BANNER HEALTH WAREHOUSE;
00408344   BANNER SURGERY CENTER GREELEY;
00412201   SKYLINE SURGERY CENTER;
00429009   BANNER ESTRELLA SURGERY CENTER;
01077018   BANNER SUN CITY WEST SURGERY CENTER;
01078336   BANNER GATEWAY MEDICAL CENTER;
01085593   BANNER GATEWAY MEDICAL SURGERY CENTER;
01085994   WYOMING MEDICAL CENTER EAST CAMPUS;
01092676   NEW RIVER AMBULATORY SURGERY;
01131340   UNIV MEDCL CTRUNIV HLTH CARE-GREEN;
01149423   BANNER IRONWOOD MEDICAL CENTER;
01328050   BANNER GOLDFIELD MEDICAL CENTER;
01345702   BANNER CASA GRANDE MEDICAL;
01401638   BANNER FORT COLLINS MEDICAL CENTER;
01472802   BANNER SURGERY CENTER;
01483304   BANNER ENTICARE TEMPE SURGERY CENTER CLINIC;
01507003   BANNER OCOTILLO MEDICAL CENTER;
01513039   BANNER SURGERY CENTER;
01522061   ADVANCED SPINE AND PAIN SURGERY CENTERS LLC;
01529037   DESERT VISTA SURGICAL CENTER;</t>
  </si>
  <si>
    <t>Probe and Accessory Pricing</t>
  </si>
  <si>
    <t>LK15 NEUWAVE LK Probe, 15CM, 17GA;
LK20 NEUWAVE LK Probe, 20CM, 17GA;
LN15 NEUWAVE LN Probe, 15CM, 17GA;
LN20 NEUWAVE LN Probe, 20CM, 17GA;
PR15 NEUWAVE PR Probe, 15CM, 17GA;
PR20 NEUWAVE PR Probe, 20CM, 17GA;
NWSR25 NEUWAVE SR Probe, 25CM, 13GA;
LK15XT NEUWAVE LK XT Probe, 15CM, 15GA TO 17GA, Tapered;
LK20XT NEUWAVE LK XT Probe, 20CM, 15GA TO 17GA, Tapered;
PR15XT NEUWAVE PR XT Probe, 15CM, 15GA TO 17GA, Tapered;
PR20XT NEUWAVE PR XT Probe, 20CM, 15GA TO 17GA, Tapered;
PRS15 NEUWAVE Open Surgical PR Probe, 15CM, 15GA TO 17GA, Tapered (2.9M Cable);
PRS35* NEUWAVE Lap Surgical PR Probe, 35CM, 11GA TO 13GA, Tapered (2.9M Cable);
RCPK NeuWave System PTC Clip, 5 pack;</t>
  </si>
  <si>
    <t>001018471~00073573.078</t>
  </si>
  <si>
    <t>DE PUY SYNTHES CMF</t>
  </si>
  <si>
    <t xml:space="preserve">PA Amendment sg v2 1-31-25.docx </t>
  </si>
  <si>
    <t>component pricing</t>
  </si>
  <si>
    <t>001018471~00073573.079</t>
  </si>
  <si>
    <t>Notice to Update Sterilization &amp; Packaging Guidelines</t>
  </si>
  <si>
    <t>Guidelines_01.31.25.docx</t>
  </si>
  <si>
    <t>Banner Health Warehouse</t>
  </si>
  <si>
    <t xml:space="preserve">Since this is notice to </t>
  </si>
  <si>
    <t>001018471~00073573.080</t>
  </si>
  <si>
    <t>Notice Of Product Addition To Your Product Agreement</t>
  </si>
  <si>
    <t>Notice to Product Addition</t>
  </si>
  <si>
    <t>PA Notice SK V1 25Apr2025</t>
  </si>
  <si>
    <t>001018471~00073573.081</t>
  </si>
  <si>
    <t>Amendment To Product Agreement (Depuy Synthes Joint Reconstruction And Trauma)</t>
  </si>
  <si>
    <t xml:space="preserve">$bc07b29c69c3$FBCC0A72B6594926ADBBA049203BAE4C.docx </t>
  </si>
  <si>
    <t>001018471~00073573.082</t>
  </si>
  <si>
    <t>$0dbea8200b09$C49FA35BD48346679A4494827D55638A.docx</t>
  </si>
  <si>
    <t>001018471~00073573.084</t>
  </si>
  <si>
    <t xml:space="preserve">PA Amend SK V2 19Sep2025 </t>
  </si>
  <si>
    <t>001018471~00073573.085</t>
  </si>
  <si>
    <t>1st Amendment To Velys Robotic-Assisted Solution Equipment Rental Program Product Agreement</t>
  </si>
  <si>
    <t>DE PUY SYNTHES VELYS - ROBOTIC ASSISTED SOLUTION</t>
  </si>
  <si>
    <t>VRAS Rental PA_Amend v3 kag 10.02.25</t>
  </si>
  <si>
    <t>Rental agreement with Purchase option</t>
  </si>
  <si>
    <t>Related to 001018471~00073573.069. Check start date and Parent ID.</t>
  </si>
  <si>
    <t>001018471~00073573.086</t>
  </si>
  <si>
    <t>00233394</t>
  </si>
  <si>
    <t>DE PUY SYNTHES JOINT RECONSTRUCTION AND TRAUMA</t>
  </si>
  <si>
    <t>01513039;
00310558;
00033481;
00049729;
00003765;
01473651;
01328050;
00011325;
00043283;
00003760;
01472802;
00400531;
00412201;
01077018;
01078336;
01149423;
01131340;
00063112;
01483304;
00021388;
00381222;
00016748;
00429009;
01479772;
01506979;
01507003;
01507723;
01522061;
01401638;
01486333;
01530151;
00061110;
00077466;
00286160;
00001116;
00302598;
00256760;
01529037;
00355088;
00410891;
00031851;
00011521;
00012273;
00003738;
01085994;
00009709;
00008982;
00009894;
00006816;
01085595;
01345702;
00006771;
00402033;
00008180;
00008847;
00006434;
00006777;</t>
  </si>
  <si>
    <t>PA GC V1 08Oct2025</t>
  </si>
  <si>
    <t xml:space="preserve">1513039	ADVANCED SPINE AND PAIN SURGERY CENTERS; 
310558	BANNER BAYWOOD HEART HOSPITAL; 
33481	BANNER BAYWOOD MEDICAL CENTER;
49729	BANNER BAYWOOD SURGERY;
3765	BANNER BOSWELL MEDICAL CENTER;
1473651	BANNER CARDIOVASCULAR SURGERY CENTER;
1328050	BANNER CASA GRANDE MEDICAL;
11325	BANNER CASA GRANDE MEDICAL CENTER;
43283	BANNER DEL E WEBB MEDICAL CENTERS FOR WOMENS HEALTH;
3760	BANNER DESERT MEDICAL CENTER;
1472802	BANNER ENTICARE TEMPE SURGERY CENTER CLINIC;
400531	BANNER ESTRELLA MEDICAL CENTER;
412201	BANNER ESTRELLA SURGERY CENTER;
1077018	BANNER GATEWAY MEDICAL CENTER;
1078336	BANNER GATEWAY MEDICAL SURGERY CENTER;
1149423	BANNER GOLDFIELD MEDICAL CENTER;
1131340	BANNER IRONWOOD MEDICAL CENTER;
63112	BANNER MESA SURGERY CENTER;
1483304	BANNER OCOTILLO MEDICAL CENTER;
12138	BANNER PAYSON MEDICAL CENTER;
381222	BANNER PEORIA SURGERY CENTER;
16748	BANNER PHOENIX SURGERY CENTER;
429009	BANNER SUN CITY WEST SURGERY CENTER ;
1479772	BANNER SURGERY CENTER;
1506979	BANNER SURGERY CENTER;
1507003	BANNER SURGERY CENTER;
1507723	BANNER SURGERY CENTER;
1522061	BANNER SURGERY CENTER;
1401638	BANNER SURGERY CENTER;
1486333	BANNER SURGERY CENTER;
1530151	BANNER SURGERY CENTER;
63110	BANNER SURGERY CENTER;
11605	BANNER THUNDERBIRD MEDICAL CENTER;
77466	BANNER UNION HILLS SURGERY CENTER;
286160	BANNER UNIVERSITY MEDICAL CENTER;
1116	BANNER UNIVERSITY MEDICAL CENTER;
302598	BANNER UNIVERSITY MEDICAL CENTER;
5697	BANNER UNIVERSITY MEDICAL CENTER;
1256760	CHANDLER SURGERY CENTER;
1529037	DESERT VISTA SURGICAL CENTER;
355088	GATEWAY SURGERY CENTER;
410891	N SCOTTSDALE AMB SURGERY CENTER;
13551	PAGE HOSPITAL;
68185	SURGERY CENTER AT RIVER ROAD;
11521	BANNER CHURCHILL COMMUNITY HOSPITAL;
12273	BANNER LASSEN MEDICAL CENTER;
3738	COMMUNITY HOSPITAL;
1085994	NEW RIVER AMBULATORY SURGERY;
9709	OGALLALA COMMUNITY HOSPITAL;
9892	PLATTE COUNTY MEMORIAL HOSPITAL;
9894	WASHAKIE MEDICAL CENTER;
6816	WYOMING MEDICAL CENTER;
1085593	WYOMING MEDICAL CENTER EAST CAMPUS;
1345702	BANNER FORT COLLINS MEDICAL CENTER ;;
6771	BANNER MCKEE MEDICAL CENTER;
402033	BANNER SURGERY CENTER;
16684	EAST MORGAN COUNTY HOSPITAL;
80180	LOVELAND SURGERY CENTER;
9887	NORTH COLORADO MEDICAL CENTER;
408344	SKYLINE SURGERY CENTER;
6777	STERLING REGIONAL MEDICAL CENTER;
</t>
  </si>
  <si>
    <t>Individual Component Pricing, Tier Pricing</t>
  </si>
  <si>
    <t xml:space="preserve">OSC15975;
OSC2754;
OSC16143;
OSC357858;
OSC379571;
OSC378498;
OSC380546;
OSC377452;
OSC381865;
OSC371227;
OSC381917;
OSC369216;
OSC379865;
OSC382436;
OSC366416;
OSC366412;
OSC366415;
OSC366411;
OSC366413;
OSC366414;
OSC368806;
OSC371171;
OSC371173;
OSC365962;
OSC365964;
OSC378455;
OSC373502;
OSC374366;
OSC382186;
OSC382182;
OSC371199;
OSC371203;
OSC381980;
OSC381983;
OSC382067;
OSC382068;
OSC378462;
OSC378463;
OSC357876;
OSC001656;
OSC368217;
OSC368300;
OSC379124;
OSC382035;
OSC382034;
OSC382050;
OSC368704;
OSC379347;
OSC366971;
OSC368293;
OSC379348;
OSC369711;
OSC382141;
OSC382090;
OSC382279;
OSC382280;
OSC372055;
OSC382494;
OSC382343;
OSC382479;
OSC382529;
OSC382484;
OSC382486;
OSC382485;
OSC382493;
OSC372038;
OSC372046;
OSC382597;
OSC382596;
OSC15975;
OSC2754;
OSC16143;
OSC357858;
OSC379571;
OSC378498;
OSC380546;
OSC377452;
OSC381865;
OSC371227;
OSC381917;
OSC369216;
OSC379865;
OSC366416;
OSC366412;
OSC366415;
OSC366411;
OSC366413;
OSC366414;
OSC368806;
 OSC371171;
 OSC371173;
OSC365962;
OSC365964;
OSC378455;
OSC373502;
OSC374366;
OSC382186;
OSC382182;
OSC371199;
OSC371203;
OSC381980;
OSC381983;
OSC382067;
OSC382068;
OSC378462;
OSC378463;
OSC382391;
OSC382382;
OSC357876;
OSC1656;
OSC378959;
OSC382098;
OSC372234;
OSC368217;
OSC368300;
OSC379124;
OSC382035 ;
 OSC382034;
OSC382050;
OSC368704;
OSC379347;
OSC366971;
OSC368293;
OSC379348;
OSC369711;
OSC382141;
OSC382090;
OSC382279;
OSC382280;
OSC372055;
OSC382494;
OSC382343;
OSC382479;
OSC382529;
OSC382484;
OSC382486;
OSC382485;
OSC382493;
OSC372038;
OSC372046;
OSC382597;
OSC382596;
OSC15975;
OSC2754;
OSC16143;
OSC357858;
OSC379571;
OSC378498;
OSC380546;
OSC377452;
OSC381865;
OSC371227;
OSC381917;
OSC369216;
OSC379865;
OSC382436;
OSC366416;
OSC366412;
OSC366415;
OSC366411;
OSC366413;
OSC366414;
OSC368806 ;
 OSC371171;
 OSC371173;
 OSC365962;
OSC365964;
OSC378455;
OSC373502;
OSC374366;
OSC382186;
OSC382182;
OSC371199;
OSC371203;
OSC381980;
OSC381983;
OSC382067;
OSC382068;
OSC378462;
OSC378463;
OSC357876;
OSC1656;
OSC378959;
OSC382098;
OSC372234;
OSC368217;
OSC368300;
OSC379124;
OSC382035;
OSC382034;
OSC382050;
OSC368704;
OSC379347;
OSC366971;
OSC368293;
OSC379348;
OSC369711;
OSC382141;
OSC382090;
OSC382279;
OSC382280;
OSC372055;
OSC382494;
OSC382343;
OSC382479;
OSC382529;
OSC382484;
OSC382486;
OSC382485;
OSC382493;
OSC372038;
OSC372046;
OSC382597;
OSC382596;
HIPS - CUP POROUS;
HIPS - HEAD METAL;
HIPS - STEM BASIC;
HIPS - ACC ACETAB.;
HIPS - ACC APEX;
HIPS - LINER SELF;
HIPS - STEM BASIC;
HIPS - CUP BIMENTUMCERAMIC DELTA (NOT TS);
HIPS - HEAD UNIPOLAR;
HIPS - LINER BIMENTUM;
HIPS - LINER BIMENTUM POROUS-NO CEMENT BONE PRESERVING;
HIPS - HEAD METAL METAL PINNACLE DUAL MOBILITY;
HIPS - STEM POROUS-NOPOROUS-NO CEMENT DUAL FIXATION;
HIPS - CUP ALL;
HIPS - HEAD CERAMIC;
HIPS - LINER ALTRX;
HIPS - LINER LG MARATHON;
HIPS - STEM CEMENTEDPOROUS-NO CEMENT HIGH STABILITY;
HIPS - CUP GRIPTION;
HIPS - HEAD LG;
HIPS - SLEEVE MODULAR;
HIPS - STEM MODULAR;
HIPS - SPACER UNIPOLAR;
HIPS - ACC CENTRALIZER;
HIPS - BIMENTUM ACETAB.;
HIPS - CUP BIMENTUM;
HIPS - CUP DUOFIX;
HIPS - LINER CERAMIC;
PRIMARY KNEES - INSERT LCS RP AOX;
PRIMARY KNEES - INSERT LCS RP GVF;
PRIMARY KNEES - INSERT SIGMA HP UNI;
PRIMARY KNEES - TRAY SIGMA FB ALL;
PRIMARY KNEES - TRAY SIGMA HP UNI;
PRIMARY KNEES - FEMUR LCS POROUS 4034.26;
PRIMARY KNEES - TRAY ATTUNE RP CEMENTED;
PRIMARY KNEES - TRAY SIGMA FB COCR;
PRIMARY KNEES - TRAY SIGMA HP UNI;
PRIMARY KNEES - INSERT ATTUNE FB AOX;
PRIMARY KNEES - INSERT ATTUNE MS FB;
PRIMARY KNEES - FEMUR SIGMA POROUS 3640.81;
PRIMARY KNEES - INSERT SIGMA RP GVF;
PRIMARY KNEES - PATELLA SIGMA ALL POLY;
PRIMARY KNEES - TRAY ATTUNE FB ALL;
PRIMARY KNEES - TRAY ATTUNE FB CEMENTED;
PRIMARY KNEES - PATELLA ATTUNE AFFIXIUM DOME;
PRIMARY KNEES - PATELLA ATTUNE AFFIXIUM;
PRIMARY SHOULDERS - COLLAR GLOBAL UNITE;
PRIMARY SHOULDERS - HEAD GLOBAL ADVANTAGE;
PRIMARY SHOULDERS - METAGLENE DELTA XTEND;
PRIMARY SHOULDERS - RESURF HEAD GLOBAL CAP DUOFIX;
PRIMARY SHOULDERS - STEM GLOBAL AP NON_x0002_POROCOAT;
PRIMARY SHOULDERS - SCREWS INHANCE - CENTRAL;
PRIMARY SHOULDERS - STEM GLOBAL UNITE SHORT;
</t>
  </si>
  <si>
    <t>Company shall offer the Products to the Participants at the prices stated in Tier 3 of Schedule 
A. For each Year following the first Year, the Company shall offer the Products to the Participants at the 
Participants’ eligible Tier of Schedule A based upon NCP for the prior Year. To the extent a change in 
pricing is required, it will become effective on a prospective basis within 30 days following the end of the 
prior Year. The Tier 3 NCP requirement includes NCP of Participants accessing Tier 4. The construct 
prices are firm for the term of this PA. The component prices are firm for the term of this PA.</t>
  </si>
  <si>
    <t>Too many to enter, 1037 pages of product list</t>
  </si>
  <si>
    <t>Check Contract ID (Possibly 241633 according to previous examples)</t>
  </si>
  <si>
    <t>001018471~00083949.001</t>
  </si>
  <si>
    <t xml:space="preserve"> 00120534</t>
  </si>
  <si>
    <t>JJHCS Capital &amp; Digital Overlay Agreement</t>
  </si>
  <si>
    <t>Overlay Agreement</t>
  </si>
  <si>
    <t>00063110;
00063112;
00068185;
00077466;
00286160;
00302598;
00310558;
00355088;
00381222;
00400531;
00402033;
00408344;
00412201;
00429009;
01077018;
01078336;
01085593;
01131340;
01149423;
01157226;
01256760;
01328050;
01345702;
01401638;
01472802;
01473651;
01479772;
01483304;
01486333;
01506979;
01507723;</t>
  </si>
  <si>
    <t xml:space="preserve">Capital &amp; Dignity Overlay sg v1 2-15-22.docx </t>
  </si>
  <si>
    <t xml:space="preserve">1116	BANNER UNIVERSITY MEDICAL CENTER;	
3738	COMMUNITY HOSPITAL;	
3760	BANNER DESERT MEDICAL CENTER;	
6360	BANNER BOSWELL MEDICAL CENTER;	
8982	BANNER UNIVERSITY MEDICAL CENTER;	
11604	BANNER MCKEE MEDICAL CENTER;	
14226	STERLING REGIONAL MEDICAL CENTER 615;	
16848	WYOMING MEDICAL CENTER;	
19470	OGALLALA COMMUNITY HOSPITAL;	
22092	NORTH COLORADO MEDICAL CENTER;	
24714	PLATTE COUNTY MEMORIAL HOSPITAL;	
27336	WASHAKIE MEDICAL CENTER;	
29958	CASA GRANDE MEDICAL CENTER;	
32580	BANNER CHURCHILL COMMUNITY HOSPITAL;	
35202	BANNER THUNDERBIRD MEDICAL CENTER;	
37824	BANNER PAYSON MEDICAL CENTER;	
40446	BANNER LASSEN MEDICAL CENTER;	
43068	WRAY COMMUNITY HOSPITAL;	
45690	PAGE HOSPITAL;	
48312	BANNER MESA MEDICAL CENTER;	
50934	EAST MORGAN COUNTY HOSPITAL 2400;	
53556	BANNER PHOENIX SURGERY CENTER;	
56178	BANNER BAYWOOD MEDICAL CENTER;	
58800	BANNER DEL E WEBB MEDICAL CENTERS;	
61422	FOR WOMENS HEALTH;	
64044	BANNER BAYWOOD SURGERY;	
66666	BANNER SURGERY CENTER;	
69288	BANNER MESA SURGERY CENTER;	
71910	BANNER UNION HILLS SURGERY CENTER;	
74532	LOVELAND SURGERY CENTER;	
77154	BANNER HEALTH ARIZONA;	
79776	BANNER UNIVERSITY MEDICAL CENTER;	
82398	ALVERNON SURGERY CENTER;	
85020	BANNER UNIVERSITY MEDICAL CENTER;	
87642	BANNER BAYWOOD HEART HOSPITAL;	
90264	GATEWAY SURGERY CENTER 690 N COFCO CENTER;	
92886	BANNER PEORIA SURGERY CENTER;	
95508	BANNER ESTRELLA MEDICAL CENTER;	
98130	PAGE HOSPITAL;	
100752	BANNER HEALTH WAREHOUSE;	
103374	BANNER SURGERY CENTER GREELEY;	
105996	SKYLINE SURGERY CENTER;	
108618	BANNER ESTRELLA SURGERY CENTER;	
111240	BANNER SUN CITY WEST SURGERY CENTER;	
113862	BANNER GATEWAY MEDICAL CENTER;	
116484	BANNER GATEWAY MEDICAL SURGERY CENTER;	
119106	WYOMING MEDICAL CENTER EAST CAMPUS;	
121728	NEW RIVER AMBULATORY SURGERY;	
124350	UNIV MEDCL CTRUNIV HLTH CARE-GREEN;	
126972	BANNER IRONWOOD MEDICAL CENTER;	
129594	BANNER GOLDFIELD MEDICAL CENTER;	
132216	BANNER CASA GRANDE MEDICAL;	
134838	BANNER FORT COLLINS MEDICAL CENTER;	
137460	BANNER SURGERY CENTER;	
140082	BANNER ENTICARE TEMPE SURGERY CENTER CLINIC;	
142704	BANNER OCOTILLO MEDICAL CENTER;	
145326	BANNER SURGERY CENTER;	
147948	ADVANCED SPINE AND PAIN SURGERY CENTERS LLC;	
150570	BANNER SURGERY CENTER;	
</t>
  </si>
  <si>
    <t>Rebates, Price Concession</t>
  </si>
  <si>
    <t xml:space="preserve"> the Customer may be eligible for retrospective discounts or a discount 
at the time of sale on qualifying sales if certain conditions are met. </t>
  </si>
  <si>
    <t>001018471~00088973.001</t>
  </si>
  <si>
    <t>Pricing Letter Agreement (IDN)</t>
  </si>
  <si>
    <t>ETHICON  LINX</t>
  </si>
  <si>
    <t>Pricing Letter Agreement</t>
  </si>
  <si>
    <t xml:space="preserve">IDN PCL MV 3/30/2023 </t>
  </si>
  <si>
    <t>00001116 Banner University Medical 
Center Phoenix;
01345702 Banner Fort Collins Medical 
Center;</t>
  </si>
  <si>
    <t>Price Concession</t>
  </si>
  <si>
    <t>LXMC13 – LINX™13 Bead Device;
LXMC14 – LINX™14 Bead Device;
LXMC15 – LINX™15 Bead Device;
LXMC16 – LINX™16 Bead Device;
LXMC17 – LINX™17 Bead Device;
LST – LINX™ Esophagus Sizing Tool (Box of 5);</t>
  </si>
  <si>
    <t>001018471~00099298.001</t>
  </si>
  <si>
    <t xml:space="preserve"> 00208920</t>
  </si>
  <si>
    <t>00001116;
00003760;
00003765;
00005697;
00011325;
00011605;
00012138;
00016748;
00033481;
00043283;
00063110;
00063112;
00072925;
00286160;
00302598;
00310558;
00355088;
00400531;
01077018;
01078336;
01131340;
01149423;
01483304;
01507003;
01522061;
01529037;
00006771;
00006777;
00009887;
00016684;
00080180;
00402033;
00408344;
01345702;
00003738;
00006816;
00009892;
01085593;</t>
  </si>
  <si>
    <t>PCL CJF v1 12-19-2024</t>
  </si>
  <si>
    <t>00001116 BANNER UNIVERSITY MEDICAL CENTER PHOENIX;
00003760 BANNER DESERT MEDICAL CENTER;
00003765 BANNER BOSWELL MEDICAL CENTER;
00005697 BANNER UNIVERSITY MEDICAL CENTER TUCSON;
00011325 CASA GRANDE MEDICAL CENTER;
00011605 BANNER THUNDERBIRD MEDICAL CENTER;
00012138 BANNER PAYSON MEDICAL CENTER;
00016748 BANNER PHOENIX SURGERY CENTER LLC;
00033481 BANNER BAYWOOD MEDICAL CENTER;
00043283 BANNER DEL E WEBB MEDICAL CENTERS FOR WOMEN'S HEALTH;
00063110 BANNER SURGERY CENTER THUNDERBIRD;
00063112 BANNER MESA SURGERY CENTER;
00072925 UNIVERSITY OF ARIZONA;
00286160 BANNER UNIVERSITY MEDICAL CENTER ALVERNON SURGERY CENTER;
00302598 BANNER UNIVERSITY MEDICAL CENTER SOUTH;
00310558 BANNER BAYWOOD HEART HOSPITAL;
00355088 GATEWAY SURGERY CENTER;
00400531 BANNER ESTRELLA MEDICAL CENTER;
01077018 BANNER GATEWAY MEDICAL CENTER;
01078336 BANNER GATEWAY MEDICAL SURGERY CENTER;
01131340 BANNER IRONWOOD MEDICAL CENTER;
01149423 BANNER GOLDFIELD MEDICAL CENTER;
01483304 BANNER OCOTILLO MEIDCAL CENTER;
01507003 BANNER SURGERY CENTER CAMELBACK;
01522061 BANNER SURGERY CENTER DEER VALLEY;
01529037 DESERT VISTA SURGICAL CENTER;
00006771 BANNER MCKEE MEDICAL CENTER;
00006777 SKYLINE SURGERY CENTER;
00009887 STERLING REGIONAL MEDICAL CENTER;
00016684 NORTH COLORADO MEDICAL CENTER;
00080180 EAST MORGAN COUNTY HOSPITAL;
00402033 BANNER SURGERY CENTER GREELEY;
00408344 LOVELAND SURGERY CENTER;
01345702 BANNER FORT COLLINS MEDICAL CENTER;
00003738 COMMUNITY HOSPITAL;
00006816 WYOMING MEDICAL CENTER;
00009892 PLATTE COUNTY MEMORIAL HOSPITAL;
01085593 WYOMING MEDICAL CENTER EAST CAMPUS;</t>
  </si>
  <si>
    <t>Capitated Component Pricing</t>
  </si>
  <si>
    <t xml:space="preserve">HIPS - WES SINGLE USE INSTRUMENTS </t>
  </si>
  <si>
    <t>Not Litsted</t>
  </si>
  <si>
    <t>001018471~00100432.001</t>
  </si>
  <si>
    <t>215699</t>
  </si>
  <si>
    <t>Pricing Letter</t>
  </si>
  <si>
    <t>DE PUY SYNTHES MITEK SPORTS MEDICINE</t>
  </si>
  <si>
    <t>00401563;
00046219;
00033481;
00003765;
00011325;
00400531;
00412201;
01392169;
01358253;
01225595;
01383569;
00365372;
01131340;
01117666;
00012138;
00011605;
00077466;
01365449;
00009887;</t>
  </si>
  <si>
    <t>EI Dir/Indirect PPL v1 ls 20250225</t>
  </si>
  <si>
    <t>00401563 BANNER HEALTH WAREHOUSE;
00046219 BANNER ARIZONA MEDICAL CENTER;
00033481 BANNER BAYWOOD MEDICAL CENTER;
00003765 BANNER BOSWELL MEDICAL CENTER;
00011325 BANNER CASA GRANDE MEDICAL CENTER;
00400531 BANNER ESTRELLA MEDICAL CENTER;
00412201 BANNER ESTRELLA SURGERY CENTER;
01392169 BANNER HEALTH CENTER SURPRISE MEDICAL PLAZA;
01358253 BANNER HEALTH CLINIC;
01225595 BANNER HEALTH CLINIC IRONWOOD;
01383569 BANNER HEALTH CLINIC PRIMARY CARE;
00365372 BANNER HEALTH ORTHO CONSULTANTS;
01131340 BANNER IRONWOOD MEDICAL CENTER;
01117666 BANNER ORTHOPEDIC SURGERY SPECIALISTS;
00012138 BANNER PAYSON MEDICAL CENTER;
00011605 BANNER THUNDERBIRD MEDICAL CENTER;
00077466 BANNER UNION HILLS SURGERY CENTER;
01365449 BANNER UNIVERSITY MEDICAL CENTER RHEUMATOLOGY CENTER;
00009887 NORTH COLORADO MEDICAL CENTER;</t>
  </si>
  <si>
    <t>Quarterly Access Price</t>
  </si>
  <si>
    <t>001018471~00101330.001</t>
  </si>
  <si>
    <t>Pricing Confirmation Letter IDN</t>
  </si>
  <si>
    <t>Pricing Confirmation Letter</t>
  </si>
  <si>
    <t>00006777;
00006310;
00402033;
00049729;
01131340;
00011605;
00077466;
00011521;
01077018;
00003708;
00043283;
00016748;
00401563;
00031738;
00003318;
00033481;
00009381;
01177018;
01374074;
00016886;
00008498;
00012273;
00302676;
00008808;
00009892;
00008616;
00009887;
00046219;
00412201;
00402138;
00005697;
00315805;
00403968;
01078336;
00302676;
00008808;
00008498;
00003765;
00003708;
01144923;
00009381;
00012273;
00302676;
00008808;
00009892;
01147968;
00008616;</t>
  </si>
  <si>
    <t xml:space="preserve">PCL IDN Firm </t>
  </si>
  <si>
    <t>00006777 STERLING REGIONAL MEDICAL CENTER;
00006310 BANNER THUNDERBIRD SURGICENTER;
00402033 MTN VISTA ORTHO;
00049729 BANNER BAYWOOD SURGERY;
01131340 BANNER IRONWOOD MEDICAL CENTER;
00011605 BANNER THUNDERBIRD MEDICAL CENTER;
00077466 BANNER UNION HILLS SURGERY CENTER;
00011521 BANNER CHURCHILL COMMUNITY HOSPITAL;
01077018 BANNER GATEWAY MEDICAL CENTER;
00003708 BANNER DESERT MEDICAL CENTER;
00043283 BANNER DEL E WEBB MEDICAL CENTER;
00016748 BANNER PHOENIX SURGERY CENTER LLC;
00401563 BANNER HEALTH DBA ENTECH;
00031738 MCKEE MEDICAL CENTER;
00003318 COMMUNITY HOSPITAL HOME CARE;
00033481 BANNER BAYWOOD MEDICAL CENTER;
00009381 BANNER UNIVERSITY MEDICAL CENTER PHOENIX;
01177018 BANNER MD ANDERSON CANCER CENTER;
01374074 BANNER FAMILY PHARMACY DEL E WEBB;
00016886 OGALLALA COMMUNITY HOSPITAL;
00008498 EAST MORGAN COUNTY HOSPITAL;
00012273 UNIVERSITY OF ARIZONA CANCER CENTER NORTH CAMPUS;
00302676 PAGE HOSPITAL;
00008808 PLATTE COUNTY MEMORIAL HOSPITAL;
00009892 NORTH COLORADO MEDICAL CENTER;
00008616 BANNER ARIZONA MEDICAL CENTER;
00009887 BANNER ESTRELLA SURGERY CENTER;
00046219 TANANA VALLEY MEDICAL CLINIC;
00412201 BANNER UNIVERSITY MEDICAL CENTER OUTPATIENT PHCY;
00402138 BANNER BAYWOOD HEART HOSPITAL;
00005697 BANNER HEALTH ARIZONA;
00315805 CANYON SPRINGS SURGERY CENTER;
00403968 NORTH COLORADO SURGERY CENTER;
01078336 BANNER UNIVERSITY MEDICAL CENTER TUCSON;
00302676 NEW RIVER SURGICAL ARTS CENTER;
00008808 BANNER FAMILY PHARMACY;
00008498 BANNER BOSWELL MEDICAL CENTER;
00003765 FOUNDATION HEALTH LLC;
00003708 BANNER DESERT SURGERY CENTER;
01144923 BANNER GOLDFIELD MEIDCAL CENTER;
00009381 BANNER MESA MEDICAL CENTER;
00012273 UNIVERSITY MEDICAL CENTER;
00302676 BANNER LASSEN MEDICAL CENTER;
00008808 NORTH COUNTRY HEALTHCARE INC;
00009892 UNIVERSITY OF ARIZONA;
01147968 WASHAKIE MEDICAL CENTER;
00008616 ROCKY MOUNTAIN ASSOCIATES IN ORTHOPEDIC MEDICINE;</t>
  </si>
  <si>
    <t>Discounted Pricing</t>
  </si>
  <si>
    <t>EVT110 CERENOVUS ASPIRATION TUBING SE;
GS9080SD GS 90, 80 CM, STRAIGHT, DISTAL;
GS9090SD GS 90, 90 CM, STRAIGHT, DISTAL;
GS9095SD GS 90, 95 CM, STRAIGHT, DISTAL;
NIC71115U 115CM CERGULIDE 71 CATHETER;
NIC71125U 125CM CERGULIDE 71 CATHETER;
NIC71132U 132CM CERGULIDE 71 CATHETER;
NIC71137U 137CM CERGULIDE 71 CATHETER;
SBC92130UG SBC 92 130 CM US;
SBC92114UG SBC 92 114 CM US;
SBC92135UG SBC 92 135 CM US;
SBC92122UG SBC 92 122 CM US;
MDH1 MECHANICAL DETACHMENT HANDLE;
BG879SU EMBOGUARD 87, 95 CM;
BG878SU EMBOGUARD 87, 85 CM;
ET3095Z EMBO TRAP II 5 MM X 37 MM;
ET3095 EMBO TRAP III 6.5 MM X 45 MM;
ENF40300 ENTERPRISE2 4MMX23MM NO TIP;
ENF40161 ENTERPRISE2 4MMX16MM;
ENF40312 ENTERPRISE2 4MMX39MM NO TIP;
ENF40311 ENTERPRISE2 4MMX39MM;
ENF40302 ENTERPRISE2 4MMX30MM;
ENF40300 ENTERPRISE2 4MMX23MM NO TIP;
55625490 ENVOY 5F, HH 90CM;
55626000 ENVOY 5F, STR 100CM;
55625800 ENVOY 5F, MPD 100CM;
55625600 ENVOY 5F, MPC 100CM;
55625490 ENVOY 5F, HH 100CM;
55625690 ENVOY 5F, MPC 90CM;
55626090 ENVOY 5F, STR 90CM;
55626000 ENVOY 5F, CBL BURKE 100CM;
55625890 ENVOY 5F, MPD 90CM;
67025408 ENVOY 6F, XB HH-1 100CM;
67025400 ENVOY 6F, HH-1 100CM;
67025090B ENVOY 6F, XB CBL BURKE 90CM;
67026090B ENVOY 6F, STR 90CM;
67025008 ENVOY 6F, SIM2 100CM;
67025808 ENVOY 6F, XB MPD 100CM;
67025890B ENVOY 6F, XB MPD 90CM;
67026090 ENVOY 6F, STR 90CM;
67025490 ENVOY 6F, HH-1 90CM;
67025890 ENVOY 6F, MPD 90CM;
67025290 ENVOY 6F, SIM2 90CM;
67025008 ENVOY 6F, XB SIM2 100CM;
67025090B ENVOY 6F, XB SIM2 90CM;
67025000 ENVOY 6F, CBL BURKE 100CM;
67025008 ENVOY 6F, XB MPC 100CM;
67025808 ENVOY 6F, XB MPC 90CM;
67025080 ENVOY 6F, MPD 100CM;
67026008 ENVOY 6F, XB STR 100CM;
67026000 ENVOY 6F, STR 100CM;
67025090 ENVOY 6F, CBL BURKE 90CM;
67025490B ENVOY 6F, XB HH-1 90CM;
67025690 ENVOY 6F, MPC 90CM;
77825400 ENVOY 7F, 100 CM, H1;
77825800 ENVOY, 7F, 90 CM, MPD;
77825490 ENVOY, 7F, 90 CM, H1;
77824890 ENVOY, 7F, 90 CM, CBL;
77825590 ENVOY, 7F, 90 CM, MPC;
77824800 ENVOY, 7F, 100 CM, CBL;
77825200 ENVOY, 7F, 100 CM, SIMMONS 2;
77825500 ENVOY, 7F, 100 CM, MPC;
77825890 ENVOY, 7F, 90 CM, MPD;
77825000 ENVOY, 7F, 100 CM, STRAIGHT;
77825080 ENVOY, 7F, 90 CM, STRAIGHT;
67125805DB ENVOY DA XB, 6F, 105CM, MPD;
67125805DB ENVOY DA XB, 6F, 105CM, STRAIG;
67125895DB ENVOY DA XB, 6F, 95 CM, MPC;
67125955DB ENVOY DA XB, 6F, 95CM, MPC;
67125805DB ENVOY DA XB, 6F, 105CM, MPC;
67125895DB ENVOY DA XB, 6F, 95CM, STRAIGHT;
SCR120721 FREEFORM 7MM X 21 CM;
SCR120610 FREEFORM 6MM X 10 CM;
SCR120824 FREEFORM 8MM X 24 CM;
SCR120306 FREEFORM 3MM X 6 CM;
SCR121030 FREEFORM 10MM X 30 CM;
SCR120412 FREEFORM 4MM X 12 CM;
SCR123509 FREEFORM 3.5MM X 9 CM;
SCR120815 FREEFORM 8MM X 15 CM;
SCR120615 FREEFORM 6MM X 15 CM;
SCR120407 FREEFORM 4MM X 7 CM;
SCR122505 FREEFORM 2.5MM X 5 CM;
SCR121230 FREEFORM 12MM X 30 CM;
SCR120308 FREEFORM 3MM X 8 CM;
SCR123575 FREEFORM 3.5MM X 7.5 CM;
SCR120510 FREEFORM 5MM X 10 CM;
SCR120620 FREEFORM 6MM X 20 CM;
SCR120515 FREEFORM 5MM X 15 CM;
SCR120715 FREEFORM 7MM X 15 CM;
SCR120925 FREEFORM 9MM X 25 CM;
MCR092060 FREEFORM Mini 2MM X 6CM;
MCR091040 FREEFORM Mini 1MM X 4CM;
MCR093040 FREEFORM Mini 3MM X 4CM;
MCR092555 FREEFORM Mini 2.5MM X 5.5CM;
MCR092030 FREEFORM Mini 2MM X 3CM;
MCR091530 FREEFORM Mini 1.5MM X 3CM;
MCR093060 FREEFORM Mini 3MM X 6CM;
MCR091525 FREEFORM Mini 1.5MM X 2.5CM;
MCR091520 FREEFORM Mini 1.5MM X 2CM;
MCR092040 FREEFORM Mini 2MM X 4CM;
MCR091010 FREEFORM Mini 1MM X 1CM;
XCR121025 FREEFORM XSOFT X5FT 5MM X 10 CM;
XCR120202 FREEFORM XSOFT X5FT 2MM X 2 CM;
XCR122525 FREEFORM XSOFT X5FT 2.5MM X 5 CM;
SHD180733 HELIFORM XL 7MM X 33 CM;
SHD180935 HELIFORM XL 9MM X 35 CM;
SHD180415 HELIFORM XL 4MM X 15 CM;
SHD181242 HELIFORM XL 12MM X 42 CM;
SHD182060 HELIFORM XL 20MM X 60 CM;
SHD180312 HELIFORM XL 3MM X 12 CM;
SHD180835 HELIFORM XL 8MM X 35 CM;
SHD181650 HELIFORM XL 16MM X 50 CM;
SHD180425 HELIFORM XL 4MM X 25 CM;
SHD181040 HELIFORM XL 10MM X 40 CM;
SHD181885 HELIFORM XL 18MM X 55 CM;
XHE120204 HELIFORM XTRASOFT XL X5FT 2MM X 4 CM;
XHE120202 HELIFORM XTRASOFT XL X5FT 2MM X 2 CM;
601414 NEUROSCOUT 14, SOFT;
601415 NEUROSCOUT 14, SOFT XL;
601413 NEUROSCOUT 14, STD;
60651X PROWLER-10 150CM DUAL MARKER;
60651 PROWLER-10 150CM;
60651X PROWLER-10 Shaped PRESHAPED PROWLER10 TIP 2MRK;
60651X PROWLER-10 Shaped PRESHAPED PROWLER10 45TIP 2MRK;
606171 PROWLER-14 170CM;
60651X PROWLER-14 Shaped PRESHAPED PROWLER14 TIP 2MRK;
60651X PROWLER-14 Shaped PRESHAPED PROWLER14 90TIP 2MRK;
MC21655ZU PROWLER EX 160CM 5CM DISTAL 2 MB STR TIP;
6062310M PROWLER PLUS PSHP PROWLER PLUS 135CM MAX;
6062310 PROWLER PLUS CATH;
6062511X PROWLER PLUS 150/45CM DUAL MRK;
6062910 PROWLER PLUS 110CM;
6062511 PROWLER PLUS 45CM TIP, 150CM;
6062310F PROWLER PLUS PSHP PROWLER PLUS 135CM MP;
6062510X PROWLER PLUS PSHP PROWLER PLUS 200CM TIP 900;
6062510MX PROWLER PLUS PSHP PROWLER PLUS 200CM TIP 450;
6062510 PROWLER PLUS PSHP PROWLER PLUS 200CM TIP 450;
MC17555ZU PROWLER SELECT LPES Shaped MC 0165", 150 cm, straight, US;
MC17552U PROWLER SELECT LPES Shaped MC 0165", 150 cm, 90 tip, US;
6065257X PROWLER SELECT PLUS PROWLER SELECT PLUS 170/15 CM;
6065257 PROWLER SELECT PLUS PROWLER SELECT PLUS 150/15 CM;
601251 RAPID TRANSIT 150CM;
FCX180510 UNIFORM XL 5MM X 10 CM;
FCX180830 UNIFORM XL 8MM X 30 CM;
FCX180915 UNIFORM XL 9MM X 15.3 CM;
FCX181034 UNIFORM XL 10MM X 34 CM;
FCX181118 UNIFORM XL 11MM X 18.9 CM;
FCX182050 UNIFORM XL 20MM X 50 CM;
FCX180612 UNIFORM XL 6MM X 12.2 CM;
FCX180714 UNIFORM XL 7MM X 14 CM;
FCX181343 UNIFORM XL 9MM X 34 CM;
FCX180933 UNIFORM XL 9MM X 33 CM;
FCX181137 UNIFORM XL 11MM X 37 CM;
CG25T CG 125CM + TUBING SET;
CG32T CG 132CM + TUBING SET;
PAC12 ETIII 5x22mm + PX160;
PAC15 ETIII 6.5x45mm + PX160;
PAC17 ETIII 5x37mm + PX160;
2CB0CG2 CEREBASE 80CM + CG 132CMTS;
2C90CGS CEREBASE 90CM + CG 125CMTS;
2C90CG2 CEREBASE 90CM + CG 132CMTS;
2C95CGS CEREBASE 95CM + CG 125CMTS;
2CB0CGS CEREBASE 80CM + CG 125CMTS;
2C95CG2 CEREBASE 95CM + CG 132CMTS;</t>
  </si>
  <si>
    <t>Pricing could be "Discounted Pricing" (?)</t>
  </si>
  <si>
    <t>001018471~00105801.001</t>
  </si>
  <si>
    <t>25050160</t>
  </si>
  <si>
    <t>Ep Buyback Program Agreement</t>
  </si>
  <si>
    <t>Electrophysiology</t>
  </si>
  <si>
    <t>BIOSENSE WEBSTER</t>
  </si>
  <si>
    <t>Buyback Program Agreement</t>
  </si>
  <si>
    <t>00001116;
00003760;
00003765;
00005697;
00006816;
00009887;
00011605;
00033481;
000400531;
001345702;
001499994;</t>
  </si>
  <si>
    <t xml:space="preserve">BWI_BUYBACK_IDN_25050160_5-15-2025 </t>
  </si>
  <si>
    <t>00001116 BANNER UNIVERSITY MEDICAL CENTER PHOENIX;
00003760 BANNER DESERT MEDICAL CENTER;
00003765 BANNER BOSWELL MEDICAL CENTER;
00005697 BANER UNIVERSITY MEDICAL CENTER TUCSON;
00006816 WYOMING MEDICAL CENTER;
00009887 NORTH COLORADO MEDICAL CENTER;
00011605 BANNER THUNDERBIRD MEDICAL CENTER;
00033481 BANNER BAYWOOD MEDICAL CENTER;
000400531 BANNER ESTRELLA MEDICAL CENTER;
001345702 BANNER FORT COLLINS MEDICAL CENTER;
001499994 BANNER CARDIOVASCULAR WEST VALLEY;</t>
  </si>
  <si>
    <t xml:space="preserve">11510825	AcuNav CRYSTAL™ Ultrasound Catheter, 9F x 90cm, For Use on Siemens System;
11657484	AcuNav CRYSTAL™ Ultrasound Catheter, 9F x 90m, For Use on GE System;
11510826	SOUNDSTAR CRYSTAL™ Ultrasound Catheter, 9F x 90cm, For Use on Siemens System;
11657485	SOUNDSTAR CRYSTAL™ Ultrasound Catheter, 9F x 90cm, For Use on GE System;
</t>
  </si>
  <si>
    <t>001018471~00105801.002</t>
  </si>
  <si>
    <t>Amendment #1 To Ep Buyback Program Agreement</t>
  </si>
  <si>
    <t>Amendment to Buyback Program Agreement</t>
  </si>
  <si>
    <t>7BD84729-2930-4F65-B089-CCB91669B239</t>
  </si>
  <si>
    <t xml:space="preserve">11510825	AcuNav CRYSTAL™ Ultrasound Catheter, 9F x 90cm, For Use on Siemens System;
11657484	AcuNav CRYSTAL™ Ultrasound Catheter, 9F x 90m, For Use on GE System;
11510826	SOUNDSTAR CRYSTAL™ Ultrasound Catheter, 9F x 90cm, For Use on Siemens System;
11657485	SOUNDSTAR CRYSTAL™ Ultrasound Catheter, 9F x 90cm, For Use on GE System;
FG12081  NUVISION™ NAV Ultrasound Catheter;
FG12080 NUVISION™ Ultrasound Catheter;
</t>
  </si>
  <si>
    <t>Product: RFG12080 FG12080 NUVISION™ Ultrasound Catheter will only be added by December 15, 2025</t>
  </si>
  <si>
    <t>001018471~00105802.001</t>
  </si>
  <si>
    <t>Sterilmed Ep Platinum Tip Recycling Program Participation Agreement (IDN)</t>
  </si>
  <si>
    <t>ETHICON STERILMED</t>
  </si>
  <si>
    <t>Participation Agreement (IDN)</t>
  </si>
  <si>
    <t xml:space="preserve">00001116;
00003760;
00003765;
00005697;
00011605;
0033481;
1499994;
00009887;
1345702;
00006816;
0400531;
</t>
  </si>
  <si>
    <t>IDN_EPTIP_BWI_25040114_4-10-2025</t>
  </si>
  <si>
    <t>00001116 BANNER UNIVERSITY MEDICAL CENTER PHOENIX;
00003760 BANNER DESERT MEDICAL CENTER;
00003765 BANNER BOSWELL MEDICAL CENTER;
00005697 BANNER UNIVERSITY MEDICAL CENTER TUCSON;
00011605 BANNER THUNDERBIRD MEDICAL CENTER;
0033481 BANNER BAYWOOD MEDICAL CENTER;
1499994 BANNER CARDIOVASCULAR WEST VALLEY;
00009887 BANNER NORTH COLORADO MEDICAL CENTER;
1345702 BANNER FORT COLLINS;
00006816 BANNER WYOMING MEDICAL CENTER;
0400531 BANNER ESTRELLA MEDICAL CENTER;</t>
  </si>
  <si>
    <t xml:space="preserve"> Either party may terminate this agreement at any time</t>
  </si>
  <si>
    <t>SterilMed is Under Ethicon and subsequently under Core Surgery</t>
  </si>
  <si>
    <t>https://jnj.sharepoint.com/teams/ContractIQ/Shared Documents/General/2025/Contracts in Scope/BAPTIST_HEALTH_SOUTH_FLORIDA/</t>
  </si>
  <si>
    <t>000002941~00093717.001</t>
  </si>
  <si>
    <t>MMARQU68</t>
  </si>
  <si>
    <t>MC1185</t>
  </si>
  <si>
    <t>Amendment #2 Schedule Mnt: Participant Consignment Schedule Mentor Worldwide, Breast Products</t>
  </si>
  <si>
    <t>BREAST PRODUCTS</t>
  </si>
  <si>
    <t>Baptist Health South Florida, Inc.</t>
  </si>
  <si>
    <t>Florida not-for-profit corporation</t>
  </si>
  <si>
    <t>JJHCS CSGN Renewal 3-27-23</t>
  </si>
  <si>
    <t>00002941 BOCA RATON REGIONAL HOSPITAL</t>
  </si>
  <si>
    <t>ARTOURA PLUS SM TE HP, Memory Gel Implants, Memory Xtra  Breast Implant, Smooth Mod High Xtra</t>
  </si>
  <si>
    <t>001018845~00056208.001</t>
  </si>
  <si>
    <t>MR715</t>
  </si>
  <si>
    <t>Master IDN Agreement</t>
  </si>
  <si>
    <t>Master Agreement</t>
  </si>
  <si>
    <t xml:space="preserve">Renewal Master Agreement 11-16-2017.docx </t>
  </si>
  <si>
    <t>Discount pricing, Rebate and Price Concession</t>
  </si>
  <si>
    <t xml:space="preserve"> pricing (including any discount at the time of sale (a "Discount") and any retrospective payment (a "Rebate"), 
(each a "Price Concession")) for purchases under a PA. Only products and Services covered by a PA 
("Products") are eligible for Price Concessions. From time to time, the Company and the Customer may 
enter into one or more additional Pas, but neither party is required or obligated to do so</t>
  </si>
  <si>
    <t>Reconsider BU and Product Line as agreement might be covering other BUs too.</t>
  </si>
  <si>
    <t>001018845~00056208.025</t>
  </si>
  <si>
    <t>Master IDN Agreement (MR715) And Associated Asp Product Agreement[S]</t>
  </si>
  <si>
    <t>Notice to Master Agreement</t>
  </si>
  <si>
    <t>Contract ID: Which Contract ID is being modified by this notice?
Version: It is not possible for notices / amendments to be version 0
Effective Date: When did the change (acquisition) in this notice letter take effect?
All other details: Inherit details from Version 0</t>
  </si>
  <si>
    <t>001018845~00056208.043</t>
  </si>
  <si>
    <t>Product Agreement (Depuy Synthes Mitek Sports Medicine)_x000D_</t>
  </si>
  <si>
    <t>MITEK SPORTS MEDICINE</t>
  </si>
  <si>
    <t>PA psh v4 20210824</t>
  </si>
  <si>
    <t>0002932 South Miami Hospital 6200 SW 73rd St South Miami FL 33143
00002935 Baptist Hospital of Miami 8900 N Kendall Dr Miami FL 33176
00002941 Boca Raton Regional Hospital 800 Meadows Rd Boca Raton FL 33486
00004115 Doctors Hospital 5000 University Dr Coral Gables FL 33146
00004913 Bethesda Hospital Inc 2815 S Seacrest Blvd Boynton Beach FL 33435
00009280 Homestead Hospital 975 Baptist Way Homestead FL 33033
01018845 Baptist Health South Florida 8900 N Kendall Dr Miami FL 33176
01157066 West Kendall Baptist Hospital 9555 SW 162nd Ave Miami FL 33196
01202055 Bethesda West Hospital  9655 Boynton Beach Blvd Boynton Beach FL 33472
00066331 BAPTIST HEALTH SURGERY CENTER AT NORTH POINT 200 NORTHPOINT PKWY WEST PALM BEACH FL 33407_x000D_</t>
  </si>
  <si>
    <t>Net Pricing and Performance Requirement</t>
  </si>
  <si>
    <t>Implants and Instrumentation: Anchors, Knees, Hips</t>
  </si>
  <si>
    <t>Net Pricing: The Products listed on Schedule A1 will not change throughout the term of 
this PA. The price noted for each Product listed on Schedule A1 is the net invoice price for the item and
any time of sale discount listed in Schedule A1 will not be applied to this pricing.
Performance Requirements. The Participants will be entitled to the Discounts stated in
Schedule A so long as Net Purchases meets or exceeds $200,000 Each Year.</t>
  </si>
  <si>
    <t>Parent ID: Refer to second paragraph
Contract ID: Please share source of 1358981. Contract IDs for PA's usually begin with 5xxxxxx or 6xxxxxx
Period: Have we tried tracing from suceeding amendment docs? Please check if details match with 001018845~00056208.046. If yes, 616874 must be the ContractID</t>
  </si>
  <si>
    <t>001018845~00056208.046</t>
  </si>
  <si>
    <t>Member Add Letter</t>
  </si>
  <si>
    <t>00066331</t>
  </si>
  <si>
    <t xml:space="preserve">Member Add BTS v1 10.5.2021.docx </t>
  </si>
  <si>
    <t>0002932 South Miami Hospital 6200 SW 73rd St South Miami FL 33143
00002935 Baptist Hospital of Miami 8900 N Kendall Dr Miami FL 33176
00002941 Boca Raton Regional Hospital 800 Meadows Rd Boca Raton FL 33486
00004115 Doctors Hospital 5000 University Dr Coral Gables FL 33146
00004913 Bethesda Hospital Inc 2815 S Seacrest Blvd Boynton Beach FL 33435
00009280 Homestead Hospital 975 Baptist Way Homestead FL 33033
01018845 Baptist Health South Florida 8900 N Kendall Dr Miami FL 33176
01157066 West Kendall Baptist Hospital 9555 SW 162nd Ave Miami FL 33196
01202055 Bethesda West Hospital  9655 Boynton Beach Blvd Boynton Beach FL 33472</t>
  </si>
  <si>
    <t>Version: It is not possible for member add letter to be version 0</t>
  </si>
  <si>
    <t>001018845~00056208.051</t>
  </si>
  <si>
    <t>Amendment #1 To Master IDN Agreement</t>
  </si>
  <si>
    <t>Amendment to Master Agreement</t>
  </si>
  <si>
    <t xml:space="preserve">Master Agreement Amendment Final 1-27-2022.docx </t>
  </si>
  <si>
    <t>Business Unit: Align with the same records with the same Contract ID.
Version: Please check if this record is referring to the same documents in 001 and 025. If yes, they should have the same Contract ID and details inherited.</t>
  </si>
  <si>
    <t>001018845~00056208.053</t>
  </si>
  <si>
    <t>JOINT RECONSTRUCTION</t>
  </si>
  <si>
    <t>IDN PA SO 116032 2.28.2022 Final.docx</t>
  </si>
  <si>
    <t>00002935 BAPTIST HOSPITAL OF MIAMI 
00004913 BETHESDA HOSPITAL INC
01202055 BETHESDA WEST HOSPITAL
00002941 BOCA RATON REGIONAL HOSPITAL
01352819 CONSOLIDATED SERVICES DISTRIBUTION CENTER 
00004115 DOCTORS HOSPITAL
00010321 FISHERMANS HOSPITAL INC
00009280 HOMESTEAD HOSPITAL 
00009283 MARINERS HOSPITAL
00080825 MEDICAL ARTS SURGERY CENTER
00002932 SOUTH MIAMI HOSPITAL
01157066 WEST KENDALL BAPTIST HOSPITAL</t>
  </si>
  <si>
    <t>Capitated construct pricing,  Applicable component pricing, Discount pricing</t>
  </si>
  <si>
    <t>Hips - Primary , Hips - Revision, Hips - Disposables, Hips - Instruments, Knees - Primary, Knees - Revision 
LPS - Knees, Knees - Disposables, Knees - Instruments, Shoulders - Primary, Shoulders - Revision, Shoulders - Disposables, Shoulders - Instruments</t>
  </si>
  <si>
    <t>This Discount Percentage Table applies to all items not otherwise covered by Capitated Construct or Component Pricing.</t>
  </si>
  <si>
    <t>Contract ID: Please check if this record is referring to the same documents in 057. If yes, please apple the same Contract ID and details inherited.</t>
  </si>
  <si>
    <t>001018845~00056208.055</t>
  </si>
  <si>
    <t xml:space="preserve">Member Add BTS v1 5.23.2022.docx </t>
  </si>
  <si>
    <t>0002932 South Miami Hospital 6200 SW 73rd St South Miami FL 33143
00002935 Baptist Hospital of Miami 8900 N Kendall Dr Miami FL 33176
00002941 Boca Raton Regional Hospital 800 Meadows Rd Boca Raton FL 33486
00004115 Doctors Hospital 5000 University Dr Coral Gables FL 33146
00004913 Bethesda Hospital Inc 2815 S Seacrest Blvd Boynton Beach FL 33435
00009280 Homestead Hospital 975 Baptist Way Homestead FL 33033
01018845 Baptist Health South Florida 8900 N Kendall Dr Miami FL 33176
01157066 West Kendall Baptist Hospital 9555 SW 162nd Ave Miami FL 33196
01202055 Bethesda West Hospital  9655 Boynton Beach Blvd Boynton Beach FL 33472
01514288 - BAPTIST HEALTH SOUTH FLORIDA  SURGERY AT PLANTATION</t>
  </si>
  <si>
    <t>Version: It is not possible for member add letter to be version 0. This should follow after 046
Eligible Participants: Should inherit existing eligible participants from last version.
Effective Date: Please recheck as I am seeing a different date.</t>
  </si>
  <si>
    <t>001018845~00056208.057</t>
  </si>
  <si>
    <t>PA Amend_SO 136627 9.12.22.docx</t>
  </si>
  <si>
    <t>capitated construct pricing,  applicable component pricing, Discount pricing</t>
  </si>
  <si>
    <t>Contract details should be inherited from last version. Please check 053.</t>
  </si>
  <si>
    <t>000002932~00090096.001</t>
  </si>
  <si>
    <t>Amendment #1 Schedule Mnt: Participant Consignment Schedule (Mentor Worldwide, Breast Products)</t>
  </si>
  <si>
    <t>00002932</t>
  </si>
  <si>
    <t>Hospital # 322181 - JJHCS CSGN Amendment 12-20-22</t>
  </si>
  <si>
    <t xml:space="preserve">00002932 - South Miami Hospital </t>
  </si>
  <si>
    <t>001018845~00056208.062</t>
  </si>
  <si>
    <t>TRAUMA</t>
  </si>
  <si>
    <t xml:space="preserve">00002932 - SOUTH MIAMI HOSPITAL
00002935 - BAPTIST HOSPITAL OF MIAMI
00002941 - BOCA RATON REGIONAL HOSPITAL
00004115 - DOCTORS HOSPITAL
00004913 - BETHESDA HOSPITAL INC
00009280 - HOMESTEAD HOSPITAL
00009283 - MARINERS HOSPITAL
01157066 - West Kendall Baptist Hospital
01202055 - BETHESDA WEST HOSPITAL
01352819 - CONSOLIDATED SERVICES DISTRIBUTION CENTER
01454552 - BETHESDA HEALTH PHYSICIAN GROUP VASCULAR SURGERY
01493711 - BAPTIST HEALTH SOUTH FLORIDA PLANTATION INFUSION PHARMACY
01514288 - BAPTIST HEALTH SOUTH FLORIDA SURGERY AT PLANTATION </t>
  </si>
  <si>
    <t xml:space="preserve">314.687	2.0CRUC SCRDRV BLD SP HLD SLV RSB MQC-LG
314.686	2.0 CRUC SCRDRV BLD SPG HLD SLV RSRB MQC
710.050.97S	CHRONOS BETA-TCP WDG 10 DEG/RECTANGUL-S
209.510	7.0 CANNULATED SCREW FULLY THREADED/110
209.090	7.0MM CANNULATED SCREW 32MM THREAD/90MM
209.045	7.0MM CANNULATED SCREW 32MM THREAD/45MM
209.470	7.0 CANNULATED SCREW FULLY THREADED/70
209.070	7.0MM CANNULATED SCREW 32MM THREAD/70MM
209.635	7.3 CANNULATED SCREW FULLY THREADED/35
209.720	7.3 CANNULATED SCREW FULLY THREADED/120
409.695	7.3 TI CANNULATED SCREW FULLY THRD/95
409.895	7.3 TI CANNULATED SCREW 32 THREAD/95
408.915	7.3 TI CANNULATED SCREW 16 THREAD/115
208.950	7.3MM CANNULATED SCREW 16MM THREAD/150MM
409.890	7.3 TI CANNULATED SCREW 32 THREAD/90
209.760	7.3 CANNULATED SCREW FULLY THREADED/160
208.840	7.3MM CANNULATED SCREW 16MM THREAD/40MM
409.725	7.3 TI CANNULATED SCREW FULLY THRD/125
409.940	7.3 TI CANNULATED SCREW 32 THREAD/140
409.730	7.3 TI CANNULATED SCREW FULLY THRD/130
209.955S	7.3 CANNULATED SCREW 32 THREAD/155-SILE
209.925	7.3MM CANNULATED SCREW 32MM THREAD/125MM
408.464	6.5 TI CANNULATED SCREW FULLY THRD 40
208.448	6.5MM CANNULATED SCREW 32MM THREAD 130MM
208.433	6.5MM CANNULATED SCREW 32MM THREAD 55MM
208.479	6.5 CANNULATED SCREW FULLY THREADED 115
408.462	6.5 TI CANNULATED SCREW FULLY THRD 30
408.415	6.5 TI CANNULATED SCREW 16 THREAD 100
208.406	6.5MM CANNULATED SCREW 16MM THREAD 55MM
208.470	6.5 CANNULATED SCREW FULLY THREADED 70
414.530	4.5 TI CANN SCREW PARTIALLY THRD/30
414.536	4.5 TI CANN SCREW PARTIALLY THRD/36
414.526	4.5 TI CANN SCREW PARTIALLY THRD/26
414.748	4.5 TI CANNULATED SCREW FULLY THRD/48
311.59	CANN TAP FOR 4.5 CANN SCREWS/180
312.30	3.5MM/2.5MM INSERT DRILL SLEEVE
312.692	MULTIPLE WIRE GUIDE
319.30	4.5MM PARALLEL DRILL GUIDE
03.227.038	COMP SLEEVE ATTACHMENT FOR 6.5 HCS
319.26	1.75MM CLEANING BRUSH
319.32	4.5MM/2.OMM DRILL SLEEVE
319.292	1.1MM CLEANING STYLET
314.05	CANNULATED 4.0MM HEXAGONAL SCREWDRIVER
319.35	1.6MM CLEANING STYLET
312.08	8.5MM/2.8MM WIRE SLEEVE
214.726	4.5 CANNULATED SCREW FULLY THREADED/26
205.234	3.5 CANNULATED SCREW FULLY THREADED/34
205.240	3.5 CANNULATED SCREW FULLY THREADED/40
205.246	3.5 CANNULATED SCREW FULLY THREADED/46
205.232	3.5 CANNULATED SCREW FULLY THREADED/32
03.240.002	CANNULATED SD SCREWDRIVER SHAFT/T15
02.240.238	3.7 CANN CONICAL SCREW 25 THREAD/38
02.240.250	3.7 CANN CONICAL SCREW 25 THREAD/50
02.240.042	3.7MM CANNULATED LOCKING SCREW 42MM
207.622	4.0MM CANNULATED SCREW SHORT THREAD/22MM
207.626	4.0MM CANNULATED SCREW SHORT THREAD/26MM
407.622	4.0 TI CANNULATED SCREW SHORT THREAD/22
407.764	4.0 TI CANNULATED SCREW- LONG THREAD 64
207.742	4.0MM CANNULATED SCREW LONG THREAD/42MM
207.664	4.0MM CANNULATED SCREW-SHORT THREAD 64MM
207.724	4.0MM CANNULATED SCREW LONG THREAD/24MM
407.768	4.0 TI CANNULATED SCREW- LONG THREAD 68
402.740	3.0 TI CANNULATED SCREW LONG THREAD/40
402.612	3.0 TI CANNULATED SCREW SHORT THREAD/12
211.846	2.4MM CANNULATED SCREW SHORT THREAD 24MM
211.849	2.4MM CANNULATED SCREW SHORT THREAD 30MM
211.812	2.4MM CANNULATED SCREW LONG THREAD 12MM
211.841	2.4MM CANNULATED SCREW SHORT THREAD 17MM
304.220	4.5 CANN SCR INSTR &amp; IMPL SET GC
310.69	4.5MM CANNULATED DRILL BIT/JC 233MM
292.721	1.6 THRD GD WIRE-SPADE PT BOTH ENDS 150
04.227.090S	6.5 TI HDLESS COMP SCR/16 THRD/90-S
04.227.245	6.5 TI HDLESS COMP SCRE32 THREAD/45
04.227.035	6.5 TI HDLESS COMP SCRE16 THREAD/35
04.227.335S	6.5 TI HDLESS COMP SCR/32 THRD/135-S
04.227.125	6.5 TI HDLESS COMP SCRE16 THREAD/125
02.227.085S	6.5 HDLESS COMPRESSION SCR/16 THRD/85-S
04.227.130	6.5 TI HDLESS COMP SCRE16 THREAD/130
02.227.035S	6.5 HDLESS COMPRESSION SCR/16 THRD/35-S
04.227.140S	6.5 TI HDLESS COMP SCR/16 THRD/140-S
02.227.060S	6.5 HDLESS COMPRESSION SCR/16 THRD/60-S
02.227.285S	6.5 HDLESS COMPRESSION SCR/32 THRD/85-S
04.226.622	4.5 TI HDLESS COMP SCRESHORT THREAD/22
04.226.730	4.5 TI HDLESS COMP SCRELONG THREAD/30
04.226.650	4.5 TI HDLESS COMP SCRESHORT THREAD/50
04.226.644	4.5 TI HDLESS COMP SCRESHORT THREAD/44
04.226.736	4.5 TI HDLESS COMP SCRELONG THREAD/36
02.226.746S	4.5 HDLESS COMP SCR/LONG THRD/46-S
04.226.752S	4.5 TI HDLESS COMP SCR/LONG THRD/52-S
02.226.632S	4.5 HDLESS COMP SCR/SHORT THRD/32-S
04.226.632	4.5 TI HDLESS COMP SCRESHORT THREAD/32
02.226.626S	4.5 HDLESS COMP SCR/SHORT THRD/26-S
02.226.336S	2.4 HDLESS COMP SCR 36/LONG THREAD-S
02.226.323S	2.4 HDLESS COMP SCR 23/LONG THREAD-S
02.226.227S	2.4 HDLESS COMP SCR 27/SHORT THREAD-S
02.226.222S	2.4 HDLESS COMP SCR 22/SHORT THREAD-S
02.230.113S	1.5 HEADLESS COMPRESSION SCREW 13-SILE
02.226.622	4.5 HDLESS COMP SCRESHORT THREAD/22
02.226.760	4.5 HDLESS COMP SCRELONG THREAD/60
02.226.670	4.5 HDLESS COMP SCRESHORT THREAD/70
02.226.675	4.5 HDLESS COMP SCRESHORT THREAD/75
02.226.660	4.5 HDLESS COMP SCRESHORT THREAD/60
02.226.011	3.0 HDLESS COMP SCR-SHORT THREAD 11
02.226.032	3.0 HDLESS COMP SCR-SHORT THREAD 32
04.226.034	3.0 TI HDLESS COMP SCR-SHORT THREAD 34
03.226.000	COMP SLEEVE FOR 3.0 HDLESS COMP SCR
04.226.219S	2.4 TI HDLSS COMP SCR 19/SHORT THREAD-S
02.226.317	2.4 HDLESS COMP SCR-LONG THREAD 17
02.226.222	2.4 HDLESS COMP SCR-SHORT THREAD 22
04.226.226S	2.4 TI HDLSS COMP SCR 26/SHORT THREAD-S
02.226.209	2.4 HDLESS COMP SCR-SHORT THREAD 9
04.226.326	2.4 TI HDLESS COMP SCR-LONG THREAD 26
02.226.327	2.4 HDLESS COMP SCR-LONG THREAD 27
02.226.227	2.4 HDLESS COMP SCR-SHORT THREAD 27
02.230.117	1.5MM HEADLESS COMPRESSION SCREW 17MM
02.230.110	1.5MM HEADLESS COMPRESSION SCREW 10MM
293.48L	4.5MM STEINMANN PIN 275MM
293.49	4.5MM STEINMANN PIN 225MM
293.52	5.0MM STEINMANN PIN 200MM
393.69	OPEN CLAMP
394.793	LG EXFIX 11 CRVD CRBN FBR ROD-135/MR-CON
294.54	5.0 SCHANZ SCR BLUNTED TROCAR POINT 150
293.93	4.5 STEINMANN PIN  CENTRAL THREAD 300
393.736	3/4 RING 165MM ID
390.003	LG EXFIX ROD ATTCHMT/MLT PIN CLMP/MR-CON
390.026	MEDIUM PIN CLAMP-4 POSITION
61.312.006	MAXFRAME(TM) FULL RINGS 150/180/210
61.312.013	MAXFRAME FOOT PL SHRT 120,150,180,210
294.777SHA	4.0 SELF-DRILL SCHZ SCR 125/HA COATING-S
294.30SHA	4.0/3.0 SCHZ SCR 20 THRD/80/HA COATING-S
03.311.051	WIRE BOLT/OFFSET
03.311.250	STANDOFF 50MM LONG
03.311.311	TI HALF RING/110MM DIAMETER
03.311.891	CARBON FIBER FEM ARCH PL 180 DIA/90 DEG
03.311.012	LOCKING HINGE
03.311.033	SMOOTH WIRE/2.0MM DIAMETER 400MM LONG
03.311.054	WIRE BOLT OFFSET/SHORT
03.311.418	LINEAR DISTRACTOR 180 LONG 145 TRAVEL
03.311.816	CARBON FIBER HALF RING 160MM DIAMETER
395.67	4.0MM CARBON FIBER ROD 200MM
395.62	4.0MM CARBON FIBER ROD 100MM
395.65	4.0MM CARBON FIBER ROD 160MM
395.56	4.0MM/2.5MM CLAMP
395.57	4.0MM/4.0MM CLAMP
394.99	PROTECTIVE CAPS  4.0MM BARS &amp; RODS-10PK
03.304.322S	LOW-PRO WRIST FIX KIT 220 ROD/SLF-DRLG-S
690.349.13	CASE BRACKETS F/ SHORTER SCHANZ SCR-4PK
395.921	6.0MM/5.0MM THREADED DRILL SLEEVE-SHORT
394.44	ENDPIECE WITH DOUBLE JOINT
395.46	HOLDING SLEEVE 85 FOR MEDIUM DISTRACTOR
395.911	DRILL SLEEVE HANDLE
03.313.861	MAXFRAME MULTI PARALL PIN MNT POST 5 HGH
03.313.886	MAXFRAME(TM) RETENTION BAND
03.313.700S	3.2MM DRILL BIT LONG/CALIBRATED/STERILE
03.313.703S	5.0MM DRILL BIT LONG/CALIBRATED/STERILE
03.313.734	5.0MM TROCAR EXTRA LONG
02.152.455SHA	4.0 BLUNTED PT SCHZ SCR 55 THRD/150/HA S
02.152.430SHA	4.0 BLUNTED PT SCHZ SCR 30 THRD/150/HA S
02.172.625S	6.0MM BLUNTED POINT SCHANZ SCREW 25MM TH
02.172.540S	5.0MM BLUNTED POINT SCHANZ SCREW 40MM TH
239.23S	90 DEG ADULT OSTEOTOMY PL 65/10-STERILE
239.62	90 DEG ADULT OSTEOTOMY PLATE 60MM/20MM
237.42S	95 DEG CONDYLAR PL 14 HOLES/60/235-SILE
239.32S	100 DEG ADULT OSTEOTOMY PL 60/10-STERILE
237.66S	95 DEG CONDYLAR PL 16 HOLES/80/267-SILE
239.62S	90 DEG ADULT OSTEOTOMY PL 60/20-STERILE
239.88S	130 DEG ADULT OSTEOTOMY PLATE 90-STERILE
239.30S	100 DEG ADULT OSTEOTOMY PL 50/10-STERILE
239.55S	120 DEG ADULT OSTEOTOMY PLATE 75-STERILE
238.49S	130 DEG ANGD BLADE PL 4 HOLES/95/60-SILE
238.47	130 DEG ANGLED BLADE PLATE 4 HOLES/85/60
280.350	DHS/DCS LAG SCREW 12.7 THREAD/135
281.190	135 DEG DHS PL-STD BARREL 18 HOLES/302
281.640	140 DEG DHS PL-SHORT BARREL 4 HOLES/78
281.150S	135 DEG DHS PL-STD BARREL 5 HOLES/94-S
281.200S	140 DEG DHS PL-STD BARREL 10 HOLES/174-S
280.950S	DHS/DCS LAG SCR 12.7 THREAD/95-S
281.160S	135 DEG DHS PL-STD BARREL 6 HOLES/110-S
281.220	140 DEG DHS PL-STD BARREL 2 HOLES/46
281.260S	140 DEG DHS PL-STD BARREL 6 HOLES/110-S
281.620S	140 DEG DHS PL-SHORT BARREL 2 HOLES/46-S
281.012S	130 DEG DHS PL-STD BARREL 12 HOLES/206-S
281.550	135 DEG DHS PL-SHORT BARREL 5 HOLES/94
281.505	130 DEG DHS PL-SHORT BARREL 5 HOLES/94
280.715S	DHS/DCS 1-STP LAG SCR 14 DIA THRD/115M-S
280.655S	DHS/DCS 1-STEP LAG SCR 14 DIA. THRD/55-S
280.251	DHS/DCS ONE-STEP LAG SCR 12.7 THRD/50
280.315	DHS/DCS ONE-STEP LAG SCR 12.7 THRD/115
280.270S	DHS/DCS ONE-STEP LAG SCR 12.7 THRD/70-S
280.295S	DHS/DCS ONE-STEP LAG SCR 12.7 THRD/95-S
280.680	DHS/DCS 1-STEP LAG SCR 14 DIA. THRD /80
282.611S	135 DEG LCP DHHS  SIDEPL-STD BRL 3H-S
282.613S	135 DEG LCP DHHS  SIDEPL-STD BRL 5H-S
282.639S	140 DEG LCP DHHS  SIDEPL-STD BRL 16H-S
282.604S	130 DEG LCP DHHS  SIDEPL-STD BRL 6H-S
282.632S	140 DEG LCP DHHS  SIDEPL-STD BRL 4H-S
282.631S	140 DEG LCP DHHS  SIDEPL-STD BRL 3H-S
282.660S	150 DEG LCP DHHS  SIDEPL-STD BRL 18H-S
282.650	150 DEG LCP DHHS  SIDEPL-STD BRL 2 H
282.612S	135 DEG LCP DHHS  SIDEPL-STD BRL 4H-S
304.257	DHS/DCS BASIC SET GRAPHIC CASE
338.18	DHS/DCS CENTERING SLEEVE SHORT
338.313	SOLID COUPLING SCREW FOR REMOVAL ONLY
338.302	DHS/DCS ONE-STEP INSERTION WRENCH
338.005	130 DEG DHS ANGLE GUIDE
04.033.133S	11 / TI CANN FRN / PF 320 / LEFT - SILE
04.033.171S	11 / TI CANN FRN / GT 400 / LEFT - SILE
04.033.138S	11 / TI CANN FRN / PF 380 / RIGHT - SILE
04.033.173S	11 / TI CANN FRN / GT 420 / LEFT - SILE
04.033.963S	9  / TI CANN FRN / GT 320 / LEFT - SILE
04.033.131S	11 / TI CANN FRN / PF 300 / LEFT - SILE
04.033.179S	11 / TI CANN FRN / GT 480 / LEFT - SILE
04.033.468S	14 / TI CANN FRN / GT 380 / RIGHT - SILE
04.033.961S	9  / TI CANN FRN / GT 300 / LEFT - SILE
04.033.975S	9  / TI CANN FRN / GT 440 / LEFT - SILE
04.046.665TS	RECON SCR FOR IM NL  6.5/ 65/ XL40/ -S
04.046.695TS	RECON SCR FOR IM NL  6.5/ 95/ XL40/ -S
04.046.720TS	RECON SCR   6.5/ 120/ XL40/ -S
352.252S	13.0 REAMR HD-S REAMR/IRRIGATR/ASPIRATOR
04.025.428S	4.0 TI ANGUL STABLE LCKNG SCR T25 38 -S
04.025.448S	4.0 TI ANGUL STABLE LCKNG SCR T25 58 -S
04.025.542S	5.0 TI ANGUL STABLE LCKNG SCR T25 52 -S
04.025.464S	4.0 TI ANGUL STABLE LCKNG SCR T25 74 -S
04.025.552S	5.0 TI ANGUL STABLE LCKNG SCR T25 62 -S
03.025.030	2.9MM/5.0MM HAND REAMER FOR 4.0MM ASLS
04.025.520S	5.0 TI ANGUL STABLE LCKNG SCR T25 30 -S
04.025.575S	5.0 TI ANGUL STABLE LCKNG SCR T25 85 -S
04.025.416S	4.0 TI ANGUL STABLE LCKNG SCR T25 26 -S
04.005.530S	5.0 TI LCKNG SCREW T25 SD 40 F/IM NAIL-S
04.005.634S	6.0 TI LCKNG SCREW T25 SD 44 F/IM NAIL-S
04.005.662	6.0 TI LCKNG SCR T25 SD 72 FOR IM NAILS
04.005.638	6.0 TI LCKNG SCR T25 SD 48 FOR IM NAILS
04.005.542S	5.0 TI LCKNG SCREW T25 SD 52 F/IM NAIL-S
04.005.442	4.0 TI LCKNG SCR T25 SD 52 FOR IM NAILS
04.005.548	5.0 TI LCKNG SCR T25 SD 58 FOR IM NAILS
04.005.570S	5.0 TI LCKNG SCREW T25 SD 80 F/IM NAIL-S
04.005.412	4.0 TI LCKNG SCR T25 SD 22 FOR IM NAILS
04.005.560S	5.0 TI LCKNG SCREW T25 SD 70 F/IM NAIL-S
04.005.618	6.0 TI LCKNG SCR T25 SD 28 FOR IM NAILS
04.013.420S	10 TI CANN RETRO FEMORAL NAIL-EX/200-S
04.013.524S	11 TI CANN RETRO FEMORAL NAIL-EX/220-S
04.013.956S	15 TI CANN RETRO/ANTEGRADE FEM NL/380-S
04.013.648S	12 TI CANN RETRO/ANTEGRADE FEM NL/340-S
04.001.638S	11 TI CANN HUMERAL NAIL-EX/290-SILE
03.010.444	8 HEX SCREWDRIVER CANNULATED INTER-LOCK
04.004.237S	8 TI CANNULATED TIBIAL NAIL-EX/285-SILE
04.004.767S	13 TI CANNULATED TIBIAL NAIL-EX/435-SILE
04.004.264S	8 TI CANNULATED TIBIAL NAIL-EX/420-SILE
03.010.436	14.5 PROTECTION SLV STR FOR 12-13 NAILS
04.004.355S	9 TI CANNULATED TIBIAL NAIL-EX/375-SILE
04.004.764S	13 TI CANNULATED TIBIAL NAIL-EX/420-SILE
04.013.044S	TI SPIRAL BLD 60-S F/TI RETRO FEM NL-EX
04.013.047S	TI SPIRAL BLD 75-S F/TI RETRO FEM NL-EX
04.003.027S	6.5 TI RECON SCREW  T25 SD 85-STERILE
04.015.562S	5.0 TI DUAL CORE LCKNG SCR T25 SD 72 -S
04.004.001S	TI END CAP T40 SD 5 EXT-S F/TI TIB NL
04.003.009	16 TI END CAP T40 SD 20 EXT FOR FEM NL
04.003.003S	12 TI END CAP T40 SD 15 EXT-S/FEM NL-EX
04.004.009S	TI END CAP TIB NL T40 SD GRAY/5 EXT-S
04.013.049S	TI SPIRAL BLD 85-S F/TI RETRO FEM NL-EX
04.015.525S	5.0 TI DUAL CORE LCKNG SCR T25 SD 35-S
04.003.000	TI END CAP T40 SD 0 EXT FOR FEM NAIL-EX
04.001.000S	TI ENCP T25 SD 0 EXT- S/HUM NL SPRL BLD
04.003.753S	14 TI LFN RECON NAIL-EX/360/LT-SILE
04.003.277S	9 TI LFN RECON NAIL-EX/480/LT-SILE
04.003.868S	15 TI LFN RECON NAIL-EX/440/RT-SILE
04.003.453S	11 TI LFN RECON NAIL-EX/360/LT-SILE
04.003.977S	16 TI LFN RECON NAIL-EX/480/LT-SILE
04.003.960S	16 TI LFN RECON NAIL-EX/400/RT-SILE
04.003.364S	10 TI LFN RECON NAIL-EX/420/RT-SILE
04.003.664S	13 TI LFN RECON NAIL-EX/420/RT-SILE
458.999	5.0 TI LOCKING SCREW 100- FOR IM NAILS
458.995S	5.0 TI LCKNG SCREW 95- FOR IM NAILS-SILE
04.034.649S	12 TI CANN TIB NAIL-EX PROX BEND 345-S
352.130	13.0MM MEDULLARY REAMER HEAD
352.140	14.0MM MEDULLARY REAMER HEAD
60.116.174	AUXILIARY TRAY DIVIDER/1 HIGH 12 PACK
60.116.139	OPENING TRAY FOR RETRO/ ANTEGRADE FEM NL
69.013.300	GC F/RETRO/ANTEGRADE FEM NL INST SET
355.37	THRD XTRCTION HOOK FOR 10-11 NLTRA LONG
03.010.488	RAD INSRT H&amp;LE FOR EXPERT ALFN/100
03.010.091	STD AIMING ARM FOR TI CANN HUMERAL NL-EX
03.010.150	SD/HD SCRDRIVER T25 3.5 HEX/SELF-RETAIN
355.49	INSRT H&amp;LE FOR 10-12 UNIV FEMORAL NAILS
356.312	12MM TREPHINE
03.010.477	5.0 HEX SCREWDRIVER SFT  6 HEX COUPLING
351.95	9.0MM HAND REAMER 450MM
03.010.093	REAMING ROD PUSH ROD WITH BALL HANDLE
351.71	3.0 REAMING ROD 950 WITH OFFSET BALL TIP
03.010.501	12.0 PROTEC SLV FOR EXPERT TIBIA NL/QC
399.43	HAMMER 700 GRAMS
355.51	INSRT H&amp;LE FOR 16-19 UNIV FEMORAL NAILS
357.391	RADIOGRAPHIC RULER F/TFN
357.430	TAP/REAMER FOR TFN SCR
358.697	SPIRAL BLD COUPLING SCR FOR TI HUM NL
357.412	CANNULATED REVERSE AWL
360.240	IM NAIL REDUCTION TOOL 7.5 SFT  CRVD TIP
357.385	HELICAL BLADE MEASURING DEVICE
03.008.009	AIM ARM FOR TI CANN HINDFOOT ARTHRO NL
356.49	INSERTER-EXTRACTOR FOR TI TIB &amp; HUM NL
03.010.417	13.0 PERC WIRE GUIDE FOR FEMORAL NAILS
321.21	HEXAGONAL SOCKET-11MM WIDTH ACROSS FLATS
351.89	BROACH FOR TI FEMORAL NAILS
03.045.090	MONOBLOC FLEXIBLE REAMER 9 - STD - DD
03.045.360	MONOBLOC FLEXIBLE REAMER 16 - LONG - DD
356.97	3.2 THREE-FLTD DRILL BIT QC/215/80 CALIB
315.40S	4.0 THREE-FLUTED DRILL BIT QC/195-SILE
03.010.100	3.2 3-FLTD RAD DRILL BIT/NEEDLE PT/145
355.042S	2.5 GUIDE ROD W/ SMOOTH TIP 950-STERILE
03.025.082	2.9/3.2 3-FLTD DRILL BIT 150 4.0 ASLS
04.019.034	4.5MM TI MULTILOC SCREW LENGTH 34MM
04.019.195S	8.5 TI MULTILOC HUM NL LFT/CANN/195-S
04.016.225S	7 TI MULTILOC HUMERAL NAIL RT/CANN/225-S
04.018.210S	8.5 TI MULTILOC HUMERAL NL RT/CANN/210-S
04.019.024S	4.5 TI MULTILOC SCREW LENGTH 24-STERILE
03.019.027	PROTEC SLV FOR 03.019.003 &amp; 03.019.004
04.019.000S	TI MULTILOC END CAP MULTILOC NL/0 EXT-S
04.019.255S	8.5 TI MULTILOC HUM NL LFT/CANN/255-S
03.019.005	HANDLE WITH QUICK COUPLING LENGTH 150MM
04.017.195S	7 TI MULTILOC HUMERAL NL LFT/CANN/195-S
04.017.255S	7 TI MULTILOC HUMERAL NL LFT/CANN/255-S
04.019.020S	4.5 TI MULTILOC SCREW LENGTH 20-STERILE
04.019.285S	8.5 TI MULTILOC HUM NL LFT/CANN/285-S
456.344S	10/125 DG TI CAN TROCH FIXATN NL 440/R-S
456.345S	10/125 DG TI CAN TROCH FIXATN NL 440/L-S
456.465S	12/125 DG TI CAN TROCH FIXATN NL 440/L-S
456.390S	11/125 DG TI CAN TROCH FIXATN NL 300/R-S
456.463S	12/125 DG TI CAN TROCH FIXATN NL 420/L-S
456.641S	14/130 DG TI CAN TROCH FIXATN NL 400/L-S
456.303S	11.0MM TI HELICAL BLADE 90MM-STERILE
456.335S	10/125 DG TI CAN TROCH FIXATN NL 340/L-S
456.467S	12/125 DG TI CAN TROCH FIXATN NL 460/L-S
456.647S	14/130 DG TI CAN TROCH FIXATN NL 460/L-S
456.308S	11.0MM TI HELICAL BLADE 115MM-STERILE
456.505S	12/135 DG TI CAN TROCH FIXATN NL 440/L-S
456.393S	11/125 DG TI CAN TROCH FIXATN NL 320/L-S
456.307	11.0MM TI HELICAL BLADE 110MM
456.304	11.0MM TI HELICAL BLADE 95MM
60.037.023	TFNA - LOCKING TRAY
04.037.067S	10/130 DEG TI CANN TFNA 460/LEFT - SILE
04.037.019S	10/125 DEG TI CANN TFNA 280/LEFT - SILE
04.037.257S	12/130 DEG TI CANN TFNA 360/LEFT-STERILE
04.037.058S	10/130 DEG TI CANN TFNA 380/RIGHT - SILE
04.037.193S	11/135 DEG TI CANN TFNA 420/LEFT - SILE
04.037.180S	11/135 DEG TI CANN TFNA 300/RIGHT - SILE
04.037.196S	11/135 DEG TI CANN TFNA 460/RIGHT - SILE
04.038.370	TFNA FENESTRATED HELICAL BLADE 70MM
04.037.122S	11/125 DEG TI CANN TFNA 320/RIGHT - SILE
04.038.310	TFNA HELICAL BLADE 110MM
04.037.239S	12/125 DEG TI CANN TFNA 480/LEFT-STERILE
04.038.185S	TFNA FENESTRATED SCREW 85MM - STERILE
04.038.075	TFNA SCREW 75MM
04.037.039S	10/125 DEG TI CANN TFNA 480/LEFT - SILE
04.037.143S	11/130 DEG TI CANN TFNA 200 - STERILE
04.037.151S	11/130 DEG TI CANN TFNA 300/LEFT - SILE
04.038.380	TFNA FENESTRATED HELICAL BLADE 80MM
03.037.036	DEPTH GAUGE FOR TROCHANTERIC NAILING SYS
04.037.928S	9/125 DEG TI CANN TFNA 380/RIGHT - SILE
04.038.170	TFNA FENESTRATED SCREW 70MM
04.038.185	TFNA FENESTRATED SCREW 85MM
04.037.038S	10/125 DEG TI CANN TFNA 480/RIGHT - SILE
04.037.237S	12/125 DEG TI CANN TFNA 460/LEFT-STERILE
04.038.375S	TFNA FENESTRATED HELICAL BLADE 75 - SILE
04.037.056S	10/130 DEG TI CANN TFNA 360/RIGHT - SILE
03.037.104	16MM CANN PERCUTANEOUS HOLLOW DRILL BIT
04.037.161S	11/130 DEG TI CANN TFNA 400/LEFT - SILE
04.037.262S	12/130 DEG TI CANN TFNA 420/RIGHT-SILE
04.037.234S	12/125 DEG TI CANN TFNA 440/RIGHT - SILE
04.037.048S	10/130 DEG TI CANN TFNA 280/RIGHT - SILE
04.038.275S	TFNA HELICAL BLADE 75MM STERILE
04.037.953S	9/130 DEG TI CANN TFNA 320/LEFT - SILE
04.037.464S	14/130 DEG TI CANN TFNA 440/RIGHT-SILE
04.037.916S	9/125 DEG TI CANN TFNA 260/RIGHT - SILE
SE-2020-10	SPEEDSHIFT COMP IMPL KIT 20X20X20 OFST10
SG-1	SPEED COMPRESSION IMPLANT SIZING GUIDE
SE-1312	SPEED COMPRESSION IMPLANT KIT 13X12X12MM
SE-1108	SPEED COMPRESSION IMPLANT KIT 11X08X08MM
04.120.602	3.5 TI LCKNG ATTACH PL 4.5 LCP PL/8 HOLE
04.120.606	TI CONNECTING SCR F/LCKNG ATTACH PL/SD
03.607.513	CABLE CUTTER
03.221.012S	CABLE PASSING TUBE-STERILE
04.161.290S	3.5 TI CURVED BROAD LCP PL/30 HOLE-SILE
04.161.222S	3.5 TI CURVED NARROW LCP PL/22 HOLE-SILE
04.161.284S	3.5 TI CURVED BROAD LCP PL/24 HOLE-SILE
04.161.210S	3.5 TI CURVED NARROW LCP PL/10 HOLE-SILE
02.161.284	3.5MM CURVED BROAD LCP PLATE/24 HOLE
04.031.969S	10 TI ADOL LAT ENTRY FEM NL/280/LT-S
04.031.960S	9 TI ADOL LAT ENTRY FEM NL-EX/400/RT-S
04.031.974S	10 TI ADOL LAT ENTRY FEM NL/340/RT-S
03.010.227	AIMING ARM FOR ADOLESCENT LFN NAIL-EX
60.031.002.30	SCREW RACK FOR ADOLESCENT LFN-EX IMPLS
04.031.002	TI END CAP T40 SD 10 EXT FOR ADOL LFN-EX
03.108.007	MEDIZATION GUIDE FOR 3.5 &amp; 5.0 LCP PLS
02.108.325	PEDIATRIC LCP(TM) HIP PLATE 5.0MM 150
02.108.411	PEDIATRIC LCP COND PL 3.5/90/5 HOLES
02.108.301S	PEDIATRIC LCP HIP PL 2.7/110/2 HOLES-S
02.108.315	PEDIATRIC LCP(TM) HIP PLATE 3.5MM 150
02.108.321S	PEDIATRIC LCP(TM) HIP PL 5.0 110-SILE
02.207.608	7.3 CANNULATED SCFE SCREW 10 THREAD/85
02.207.600	7.3 CANNULATED SCFE SCREW 10 THREAD/45
235.680	90 DEG ADOLESCENT OSTEOTOMY PLATE 40/10
236.103S	100 DEG TODDLER OSTEOTOMY PL 38/4-SILE
236.102S	100 DEG TODDLER OSTEOTOMY PL 32/4-SILE
236.400S	115 DEG BIFURCATED PLATE 30/5 - STERILE
283.44S	130 DEG ANGD BLADE PL 4 HOLES/70/60-SILE
283.60S	130 DEG ANGD BLADE PL 6 HOLES/50/104-S
283.62S	130 DEG ANGD BLADE PL 6 HOLES/60/104-S
359.209	SMALL F-TOOL
02.110.005S	LCP DIA-META VOL DSTL RAD PL 5H SFT/RT-S
400.199	1.8MM TI LCP BUTTRESS PIN 30MM
200.196	1.8MM LCP BUTTRESS PIN 24MM
242.459	LCP VOLAR DRP XTR-ARTICULAR/RT-LG
02.110.105	LCP DIA-META VOLAR DSTL RAD PL 5H SFT/LT
02.110.011S	LCP DIA-META VOLAR DRP 11H SFT/RT-S
400.197	1.8MM TI LCP BUTTRESS PIN 26MM
212.820	2.4 LOCKING SCREW SLF-TPNG  SD RECESS 20
412.807	2.4 TI LOCKING SCR SLF-TPNG  SD RECESS 7
412.808	2.4 TI LOCKING SCR SLF-TPNG  SD RECESS 8
402.892	2.7 TI CORTEX SCR SLF-TPNG  T8 SD REC 32
201.758	2.4 CORTEX SCREW SLF-TPNG  T8 SD REC 8
201.759	2.4 CORTEX SCREW SLF-TPNG  T8 SD REC 9
201.762	2.4 CORTEX SCREW SLF-TPNG  T8 SD REC 12
201.766	2.4 CORTEX SCREW SLF-TPNG  T8 SD REC 16
401.790	2.4 TI CORTEX SCR SLF-TPNG  T8 SD REC-40
202.971	2.7 CORTEX SCREW SLF-TPNG  T8 SD REC 70
249.928	2.4MM LC-DCP PLATE 8 HOLES/67MM
201.640	2.4MM CORTEX SCREW SELF-TAPPING 10MM
201.656	2.4MM CORTEX SCREW SELF-TAPPING 26MM
201.644	2.4MM CORTEX SCREW SELF-TAPPING 14MM
399.197	HOHMANN RETRACTOR 8MM NARROW TIP 215MM
02.111.210S	6.5MM MIDFOOT FUSION BOLT 110MM-STERILE
02.111.205	6.5MM MIDFOOT FUSION BOLT 105MM
04.111.160S	6.5 TI MIDFOOT FUSION BOLT 60-STERILE
04.111.185S	6.5 TI MIDFOOT FUSION BOLT 85-STERILE
04.111.230S	6.5 TI MIDFOOT FUSION BOLT 130-STERILE
02.100.021	2.4MM/2.7MM LOCKING CUBOID PLATE-LEFT
249.690S	2.4/2.7 LCKNG HIND/MIDFOOT PL 5 H/31-S
249.691S	2.4/2.7 LCKNG HIND/MIDFOOT PL 8 H/45-S
04.111.180S	6.5 TI MIDFOOT FUSION BOLT 80-STERILE
60.116.561	LABEL PACK F/5.0 SCRS &amp; INSTR F/MOD GC
60.116.059	2.7 SCR BLOCK F/SCR MOD SHELL F/MOD GC
60.116.201	AUX BIN/FULL LGTH/1/2 HEIGHT MOD SHELL
60.116.078	2.4HCS FLPUP SCR RCK SCR MOD SHL MOD GC
03.108.037	DIRECT MEASURING DEVICE 2.0 KIRSH WIRES
61.110.022	LRG FRAGMENT LCP SCREW SET GRAPHIC CASE
690.919	TRAY FOR MINIMALLY INVASIVE PL INSERTION
03.213.020S	EXTRACTION SCREW FOR 3.7 SCREWS-STERILE
03.111.030	SHAFT FOR TREPHINE ATTACHMENTS
60.004.306	FLEXIBLE REAMER SET GRAPHIC CASE/LONG
60.120.709	SCR RACK 65-95 LNTH 3.5 LCK &amp; CONCL SCR
60.221.010	GC ORTHO CABLE INSTR SET PISTL GRIP
690.409	3.5 SCR RCK 3.5/4.0 COMBIND CANN SCR SET
690.465	LABEL SHEET FOR TI LRG FRAG LCP SCR CASE
61.116.004	GRAPHIC CASE/2/3 LNTH 4 BAY/F/MOD GC SYS
319.391	SHARP HOOK-SMALL TAPER
61.110.020	SMALL FRAG LCP SCREW SET GRAPHIC CASE
61.019.004	SCR RACK FOR MULTILOC HUMERAL NLING SYS
03.221.184	SIZING TMPL F/VA PROX FEMUR PL 322/RIGHT
03.221.188	SIZING TMPL F/VA PROX FEMUR PL 392/RIGHT
292.11	1.0 KIRSCHNER WIRE TROCAR PNT 285-10PK
292.52	1.25 K WIRE, TRCR PTS BOTH ENDS 150-10PK
03.111.002	5.0 CANN DRILL BIT LRG QC/300/200 CALIB
226.09	4.5MM BROAD DCP PLATE 9 HOLES/151MM
240.57	LATERAL TIB HD BUTTRESS PL 7 H/149-LFT
240.005	4.5MM PROXIMAL TIBIA PLATE 4 HOLES/LEFT
422.07	TI SEMI-TUBULAR PLATE 7 HOLES 119MM
217.095	6.5 CANCELLOUS BONE SCREW 32 THREAD/95
414.846	4.5MM TI CORTEX SCREW SELF-TAPPING 46MM
416.050	6.5 TI CANCELLOUS  SCREW 16 THREAD/50
414.034	4.5MM TI CORTEX SCREW 34MM
417.135	6.5 TI CANCELLOUS  SCREW 32 THREAD/135
214.032	4.5MM CORTEX SCREW 32MM
214.824	4.5MM CORTEX SCREW SELF-TAPPING 24MM
214.862	4.5MM CORTEX SCREW SELF-TAPPING 62MM
214.856	4.5MM CORTEX SCREW SELF-TAPPING 56MM
217.055	6.5 CANCELLOUS BONE SCREW 32 THREAD/55
216.105	6.5 CANCELLOUS BONE SCREW 16 THREAD/105
214.056	4.5MM CORTEX SCREW 56MM
414.876	4.5MM TI CORTEX SCREW SELF-TAPPING 76MM
216.035	6.5 CANCELLOUS BONE SCREW 16 THREAD/35
218.075	6.5 CANCELLOUS BONE SCREW FULLY THRD/75
218.019	6.5 CANCELLOUS  SCREW  4.0 CORE DIA/110
418.065	6.5 TI CANCELLOUS  SCREW FULLY THRD/65
214.062	4.5MM CORTEX SCREW 62MM
224.506	4.5 MED DISTAL TIBIA PL 6 HOLES/125-RT
222.259S	LCP(TM) DSTL FEMUR PL 13 HOLES/316 LFT-S
422.349	TI DISTAL FEMUR LISS PL 13 HOLES/316-LFT
02.124.030S	LCP DISTAL FEMUR PL 15 HOLE/356 RT-SILE
224.701	4.5MM NARROW LCP PLATE 20 HOLES/368MM
224.621	4.5MM NARROW LCP PLATE 12 HOLES/224MM
229.451	4.5 LCP(TM) STR RECON PL 15 HOLES/284
424.611	4.5MM TI NARROW LCP? PLATE 11 HOLES/206M
426.762S	4.5MM TI CURVED BROAD LCP(TM) PLATE 26 H
424.521	4.5MM TI NARROW LCP? PLATE 2 HOLES/44MM
426.641	4.5MM TI BROAD LCP? PLATE 14 HOLES/260MM
212.205	5.0 LCKNG SCREW SLF-TPNG  T25 SD REC 22
413.336	5.0 TI LOCKING HEAD SCREW STPING 36
412.214	5.0 TI LCKNG SCR SLF-TPNG  T25 SD REC 40
413.328	5.0 TI LOCKING HEAD SCREW STPING 28
412.212	5.0 TI LCKNG SCR SLF-TPNG  T25 SD REC 36
212.222	5.0 LCKNG SCREW SLF-TPNG  T25 SD REC 65
02.221.462	5.0 PERIPROSTHETIC LCKNG SCR STPING 12
02.204.038	4.0 LCKNG SCREW SLF-TPNG  T25 SD REC 38
412.209S	5.0 TI LCKNG SCR SLF-TPNG T25 SD 30-SILE
422.578	5.0MM TI SCREW NUT
02.205.075	5.0MM CANNULATED LOCKING SCREW 75MM
02.205.030	5.0MM CANNULATED LOCKING SCREW 30MM
04.205.270	5.0MM TI CANNULATED CONICAL SCREW 70MM
04.205.240	5.0MM TI CANNULATED CONICAL SCREW 40MM
02.207.490	7.3 CANN CONICAL SCREW PARTIALLY THRD 90
02.205.070	5.0MM CANNULATED LOCKING SCREW 70MM
423.414	3.5 TI LCP METAPHYSEAL PLATE 14 HOLES
224.763	4.5/3.5 LCP METAPHYSEAL PLATE 18 HOLES
424.757	4.5/3.5 TI LCP METAPHYSEAL PL 12 HOLES
423.412	3.5 TI LCP METAPHYSEAL PLATE 12 HOLES
222.659	4.5 LCP CONDYLAR PL 8 HOLES/206-LEFT
240.039S	4.5 LCP PROXIMAL TIBIA PL 6H/118/LFT-S
439.939	3.5 TI LCP PROXIMAL TIB PL 8 H/133-LFT
440.036	4.5 TI LCP PROXIMAL TIBIA PL 4 H/82-RT
439.935S	3.5 TI LCP(TM) PROX TIBIA PL 4H/81/LFT-S
440.038S	4.5 TI LCP(TM) PROX TIBIA PL 6H/118/RT-S
439.937S	3.5 TI LCP(TM) PROX TIB PL 6H/107/LFT-S
440.036S	4.5 TI LCP(TM) PROX TIBIA PL 4H/82/RT-S
422.225	TI LCP PROXIMAL LAT TIBIA PL 9 H/220-LFT
04.104.008S	3.5 TI LCP XTR-ARTC DHP 8H/RT 194-S
02.104.028	3.5 LCP X-ARTC DSTL HUM PL 8H/LT 194 LG
239.971S	3.5 LCP MED PROX TIB PL 20H/L 301-S
239.991	4.5 LCP MED PROX TIB PL 10H/LFT 214
439.955S	3.5 TI LCP MED PROX TIB PL 4H/LT 93-S
439.966	3.5 TI LCP MED PROX TIB PL 16H/RT 249
439.996S	4.5 TI LCP MED PRX TIB PL 16H/RT 322-S
239.992S	4.5 LCP MED PROX TIB PL 12H/RT 250-S
239.954S	3.5 LCP MED PROXIMAL TIB PL 4H/R 93-S
239.994	4.5 LCP MED PROXIMAL TIB PL 14H/RT 286
239.959S	3.5 LCP MED PROXIMAL TIB PL 8H/L 145-S
439.956S	3.5 TI LCP MED PROX TIB PL 6H/RT 119-S
242.120	4.5 LCP PROXIMAL FEMUR HOOK PL 2 H/133
242.124S	4.5 LCP PROX FEMUR HOOK PL 10 H/277-S
242.128S	4.5 LCP(TM) PROX FEM HOOK PL 18 H/421-S
239.934	3.5 LCP PROXIMAL TIBIA PL 4 H/81-RT
239.935	3.5 LCP PROXIMAL TIBIA PL 4 H/81-LFT
212.331	3.5 CONICAL SCREW SLF-TPNG FULLY THRD 95
239.943S	3.5 LCP PROXIMAL TIB PL 12H/185/LFT-S
239.938S	3.5 LCP PROXIMAL TIBIA PL 8H/133/RT-S
212.317	3.5 CONICAL SCREW SLF-TPNG FULLY THRD 40
212.329	3.5 CONICAL SCREW SLF-TPNG FULLY THRD 85
239.941S	3.5 LCP PROXIMAL TIB PL 10H/159/LFT-S
02.120.701	3.5 LCP POSOMED PROXIMAL TIBIA PL 1H/69
02.120.706	3.5 LCP POSOMED PROXIMAL TIBIA PL 6H/131
02.124.220S	3.5 LCP PRX TIB PL LOW BND 14H/206/RT-S
04.124.200S	3.5 TI LCP PRX TIB PL LOW BND 4H/76/RT-S
690.420	TI LRG FRAG LCP IMPL SET GRAPHIC CASE
690.369	LISS PROXIMAL TIBIA GRAPHIC CASE
60.226.060	4.5 HDLESS COMPRESSION SCR GRAPHIC CASE
60.120.341	NOVOCASE LID FOR TI LCP DSTL FEM PL GC
60.227.060	6.5 HDLESS COMPRESSION SCR GRAPHIC CASE
690.392	3.5 LCP MED PROX TIB PL SET GC
311.66	TAP 6.5 CANCELLOUS  SCRS 197/150 CALIB
399.37	PERIOSTEAL ELVTR 14 STR BLD-ROUND EDGE
325.041	CLAMPING FT 328.040 LCP 3.5 &amp; LC-DCP 3.5
399.22	HOHMANN RETRACTOR 43MM NARROW TIP
328.042	CLMP FT BRD 328.040 LCP 4.5/5.0/LCDCP4.5
333.070	80DEG/70DEG/30DEG TRIANGUL POSITION PL
309.150	HOLLOW REAMER-COMPLETE FOR 1.5MM SCREWS
03.100.106	CANN 4.0MM HEX SCREWDRIVER SHAFT 200MM
324.215	2.5 PERC WIRE GUIDE F/5.0 LCKNG SCREWS
399.20	HOHMANN RETRACTOR 8 SHORT NARROW TIP 220
332.21	IMPACTOR
397.96	STRAIGHT CHISEL 4MM
399.81	OSTEOTOME 5MM/150MM
03.120.012	PERIARTIC AIM ARM 4.5 LCP COND PL 18H
319.39	SHARP HOOK
324.053	CLEANING INST/3.5 HEX FOR 5.0 LCKNG SCRS
398.65	FORCEPS FOR BROKEN SCREW REMOVAL
321.16	COMBINATION WRENCH-11 WIDTH ACROSS FLATS
398.756	BONE HOOK-SHAPE ARM 206MM
324.037	2.0MM K-WIRE MEASURING DEVICE FOR LISS
398.819	PL HOLDING FORCEPS  SWIVEL FOOT 150
248.08	3.5MM DCP PLATE 8 HOLES/97MM
404.830	3.5MM TI CORTEX SCREW SELF-TAPPING 30MM
207.944	4.0 CANCELLOUS  SCR 5.0 HD-PART THRDD/44
206.065	4.0 CANCELLOUS BONE SCREW FULLY THRD/65
204.880	3.5MM CORTEX SCREW SELF-TAPPING 80MM
04.200.014	3.5 TI SD CORTEX SCREW SELF-TAPPING 14
04.200.024	3.5 TI SD CORTEX SCREW SELF-TAPPING 24
04.200.050	3.5 TI SD CORTEX SCREW SELF-TAPPING 50
406.045	4.0 TI CANCELLOUS  SCREW FULLY THRD/45
204.038	3.5MM CORTEX SCREW 38MM
04.200.060	3.5 TI SD CORTEX SCREW SELF-TAPPING 60
204.018	3.5MM CORTEX SCREW 18MM
204.232	3.5MM SHAFT SCREW 32MM
404.834	3.5MM TI CORTEX SCREW SELF-TAPPING 34MM
204.240	3.5MM SHAFT SCREW 40MM
206.475	4.0MM CORTEX SCREW SELF-TAPPING 75MM
406.456	4.0MM TI CORTEX SCREW SELF-TAPPING/56MM
406.458	4.0MM TI CORTEX SCREW SELF-TAPPING/58MM
441.442	3.5 TI LCP(TM) ANTLAT DSTL TIB PL 7 H/RT
241.457S	3.5 LCP(TM) ANTLAT DSTL TIB PL 21H/LFT-S
441.441	3.5 TI LCP(TM) ANTLAT DSTL TIB PL 5 H/LT
241.455S	3.5 LCP(TM) ANTLAT DSTL TIB PL 19H/LFT-S
241.444S	3.5 LCP(TM) ANTLAT DSTL TIB PL 9H/RT-S
238.711	3.5 LCP MED DSTL TIB PL O TAB 14 H-LFT
241.287	3.5 LCP MED DISTAL HUM PL 7 HOLES-LFT
441.265	3.5 TI LCP POSOLAT DSTL HUM PL 5H-LFT
441.283	3.5 TI LCP MED DSTL HUM PL 3 HOLES-LFT
441.289	3.5 TI LCP MED DSTL HUM PL 9 HOLES-LFT
402.216	2.7 TI LCKNG SCR SLF-TPNG  T8 SD REC-16
402.240	2.7 TI LCKNG SCR SLF-TPNG  T8 SD REC-40
241.283S	3.5 LCP MED DIST HUM PL 3 HOLES/LFT/58-S
241.304S	3.5 LCP(TM) MED DSTL HUM PL 14 H RT-S
402.214	2.7 TI LCKNG SCR SLF-TPNG  T8 SD REC-14
441.263	3.5 TI LCP POSOLAT DSTL HUM PL 3H-LFT
402.218	2.7 TI LCKNG SCR SLF-TPNG  T8 SD REC-18
441.923	3.5 TI LCP PROX HUM PL-LG 10H SFT/232
03.113.020	2.8MM PERCUTANEOUS THREADED DRILL GUIDE
02.123.024	3.5 LCP PERIARTIC PROX HUM PL 6 H/163/RT
04.123.029S	3.5TI LCP PERARTIC PR HUM PL 10H/235/L-S
02.123.026S	3.5 LCP PERIARTIC PRX HUM PL 8H/199 RT-S
02.123.029S	3.5 LCP PERIART PRX HUM PL 10H/235/LT-S
02.123.040S	3.5 LCP PERIARTIC PRX HUM PL 3H/109/RT-S
02.123.031S	3.5 LCP PERIART PRX HUM PL 12H/271/LT-S
241.618	LOCKING CALCANEAL PLATE MINI-RIGHT
02.113.103	3.5MM LCP HOOK PLATE 3 HOLE
399.085	PATELLA FORCEPS-SOFT RATCHET
241.683	2.4 LCP RADIAL HEAD RIM PL 3 HOLES-LFT
441.691	2.4 TI LCP RADIAL HEAD NECK PL 3 HOLES
02.110.840S	LCP VOLAR COLM DRP 7H HD/4H SFT/RT-S
04.111.901S	2.7 TI LCP ULNA OSTEO PL/8 HOLES-SILE
03.111.901	DRILL TEMPL 2.7 LCP ULNA OSTEO PL 2.5
201.762TS	2.4 CORTEX SCREW SLF-TPNG  T8 SD 12 SILE
401.770TS	2.4 TI CORTEX SCR SLF-TPNG  T8 SD 20 -S
214.925	4.5MM CORTEX SCREW SELF-TAPPING 125MM
214.145	4.5MM CORTEX SCREW 145MM
214.135	4.5MM CORTEX SCREW 135MM
204.745	3.5 PELVIC CORTEX SCREW SELF-TAPPING 145
214.920	4.5MM CORTEX SCREW SELF-TAPPING 120MM
245.15	3.5MM RECONSTRUCTION PLATE 5 HOLES/58MM
214.940	4.5MM CORTEX SCREW SELF-TAPPING 140MM
229.43	4.5 RECONSTRUCTION PLATE 13 HOLES/205
296.759	6.0MM HEXAGONAL NUTS-2PK
204.670	3.5 PELVIC CORTEX SCREW SELF-TAPPING 70
245.906	3.5 LOW PRO CRVD RECON PL 88 RAD 6 HOLES
245.882	3.5 LOW PRO CRVD RECON PL 108 RAD 12 H
245.031	3.5 LOW PRO RECONSTRUCTION PL 11 HOLES
02.100.104	3.5 LOCKING LOW PROFILE RECON PL 4 HOLES
02.100.218	3.5 WIDE ANG LOW PRO RECON PL 18 HOLES
02.100.302	3.5MM SPRING PLATE/2 HOLES
02.100.367	3.5 LCKNG LOW PRO RECON J-PL 16 H LFT
03.100.109	ALUMINUM HOHMANN RETRACTOR 18MM WIDTH
03.100.120	SPIKED ROUND DISK
03.100.118	CURVED CHISEL BLADE 25MM
690.429	LID FOR 3.5MM LOW PROFILE PELVIC SYSTEM
03.100.044	PERIOSTEAL ELVTR 20  STR BLD 200 HNDL
04.210.120TS	2.4 TI VA LOCKING SCREW SD 20 STERILE
02.200.028	3.5 SD CORTEX SCREW SELF-TAPPING 28
206.035	4.0 CANCELLOUS BONE SCREW FULLY THRD/35
207.022	4.0 CANCELLOUS  SCREW PARTIALLY THRD/22
207.028	4.0 CANCELLOUS  SCREW PARTIALLY THRD/28
02.200.020	3.5 SD CORTEX SCREW SELF-TAPPING 20
206.050	4.0 CANCELLOUS BONE SCREW FULLY THRD/50
212.134	3.5 LOCKING SCREW SLF-TPNG  SD RECESS 44
212.103	3.5 LCKNG SCREW SLF-TPNG W/SD(TM) REC 14
202.211	2.7 LCKNG SCREW SLF-TPNG  T8 SD REC 11
202.218	2.7 LCKNG SCREW SLF-TPNG  T8 SD REC 18
412.109	3.5 TI LCKNG SCR SLF-TPNG  SD RECESS 26
412.118S	3.5 TI LCKNG SCR SLF-TPNG W/SD REC/42-S
412.128	3.5 TI LCKNG SCR SLF-TPNG  SD RECESS 80
412.120S	3.5 TI LCKNG SCR SLF-TPNG W/SD REC/48-S
412.125	3.5 TI LCKNG SCR SLF-TPNG  SD RECESS 65
223.631	3.5MM LCP PLATE 13 HOLES 176MM
241.041	3.5 LCP T-PL 3H HD/ 4H SFT/63-OBLIQUE RT
223.681	3.5MM LCP PLATE 20 HOLES 267MM
241.181	3.5 LCP T-PL 3H HEAD/ 8H SHAFT/97-RT ANG
441.031	3.5 TI LCP T-PL 3H HD/ 3H SFT/52-OBL RT
441.331	TI LCP ONE-THIRD TUB PL COLLAR 3 H/33
441.071	3.5 TI LCP T-PL 3H HD/ 7H SFT/96-OBL RT
423.541	3.5MM TI LCP PLATE 4 HOLES 59MM
441.081	3.5 TI LCP T-PL 3H HD/ 8H SFT/107-OBL RT
445.071	3.5 TI LCP RECON PL 7 HOLES/98
441.931	3.5 TI LCP T-PL 3H HD/ 3H SFT/52-OBL LT
445.131	3.5 TI LCP RECON PL 13 HOLES/182
445.221	3.5 TI LCP RECON PL 22 HOLES/308
441.087S	3.5 TI LCP CLAV HK PL 5H LT-18 HK DPTH-S
441.106S	3.5 TI LCP CLAV HK PL 7H RT-18 HK DPTH-S
02.112.095	3.5 LCP SUP CLAV PL LAT EXTN/8H/LT/130
02.112.011	3.5 LCP SUP ANT CLAV PL LAT EXT 4H/LT/81
04.112.006	3.5 TI LCP SP ANT CLAV PL LAT EX 3H/R/69
04.112.019	3.5 TI LCP SP/AN CLAV PL LAT EX 7H/L/123
04.112.045	2.7/3.5 TI VA LAT ANT CLAV PL/7 HOLE/77
02.112.026	3.5 LCP SUP ANT CLAVICLE PLATE 6H/RT/94
02.112.047	2.7/3.5 VA LAT ANT CLAV PL/10 HOLE/101
04.112.084	3.5 TI LCP SUP CLAV PL/8 HOLES/RT/115
04.112.082S	3.5 TI LCP SUPERIOR CLAV PL/7H/RT/100-S
02.112.095S	3.5 LCP SUP CLAV PL LAT EXTN/8H/LT/130-S
02.112.131S	2.7/3.5LCP PSLAT DSTL FIB PL 15H/L/233-S
314.687	2.0CRUC SCRDRV BLD SP HLD SLV RSB MQC-LG
314.686	2.0 CRUC SCRDRV BLD SPG HLD SLV RSRB MQC
710.050.97S	CHRONOS BETA-TCP WDG 10 DEG/RECTANGUL-S
209.510	7.0 CANNULATED SCREW FULLY </t>
  </si>
  <si>
    <t>Subject to the terms and conditions of this PA, as of the PA Effective Date, the
Company shall offer the Products to the Participants prices stated on Schedule A. Refer to the List Price
definition in Section 7 below for any increases to List Price. The component pricing is firm for the term of
this agreement.</t>
  </si>
  <si>
    <t>MR715 is the Parent ID.
ContractID: Please check 075</t>
  </si>
  <si>
    <t>001018845~00056208.063</t>
  </si>
  <si>
    <t>#2 Amendment To Product Agreement</t>
  </si>
  <si>
    <t>PA Amendment CTM v1 20230227.docx</t>
  </si>
  <si>
    <t>001018845~00056208.065</t>
  </si>
  <si>
    <t>001018845~00056208.069</t>
  </si>
  <si>
    <t>#6 Amendment To Product Agreement</t>
  </si>
  <si>
    <t>PA Amend Extend mcd v3 8.7.23</t>
  </si>
  <si>
    <t>Net Pricing: The Products listed on Schedule A1 will not change throughout the term of 
this PA. The price noted for each Product listed on Schedule A1 is the net invoice price for the item and
any time of sale discount listed in Schedule A1 will not be applied to this pricing.</t>
  </si>
  <si>
    <t>001018845~00056208.070</t>
  </si>
  <si>
    <t>#3 Amendment To Product Agreement</t>
  </si>
  <si>
    <t>Amend PA DAO v1 09132023</t>
  </si>
  <si>
    <t>001018845~00056208.073</t>
  </si>
  <si>
    <t>Product Agreement (Ethicon Neuwave Probes)</t>
  </si>
  <si>
    <t>NEUWAVE PROBES</t>
  </si>
  <si>
    <t xml:space="preserve">00002932
00002935
00002941
00004115
00004913
00009280
01157066
</t>
  </si>
  <si>
    <t>PA RMW 20231206 v1</t>
  </si>
  <si>
    <t>00002932 - SOUTH MIAMI HOSPITAL
00002935 - BAPTIST HOSPITAL OF MIAMI
00002941 - BOCA RATON REGIONAL HOSPITAL
00004115 - DOCTORS HOSPITAL
00004913 - BETHESDA HOSPITAL INC
00009280 - HOMESTEAD HOSPITAL
01157066 - West Kendall Baptist Hospital</t>
  </si>
  <si>
    <t>NEUWAVE LN, PR, SR, NWSR, LK Probe and NEUWAVE System PTC Clip, 5 pack Accessories</t>
  </si>
  <si>
    <t>This PA includes pricing for Probes (the "Probes") and related
accessories (the "Accessories") shown in Table 1. As of the PA Effective Date, the Company shall offer the
Customer the pricing listed for Tier 1 in Table 1. The Tier 1 pricing shall remain firm for the first Year of this
PA. If the Customer achieves at least $27,846.00 NCP of Probes in Year 1 of this PA, the Tier 1 pricing will
be maintained for Year 2 of this PA. If the Customer does not achieve at least $27,846.00 NCP of Probes
in Year 1, the Company will move the Customer to the Access pricing in Table 1 for Year 2 of this PA. The
Company may at its discretion add or remove Products from this PA.</t>
  </si>
  <si>
    <t>001018845~00056208.074</t>
  </si>
  <si>
    <t>Product Agreement (Depuy Synthes Spine)</t>
  </si>
  <si>
    <t>SPINE</t>
  </si>
  <si>
    <t>00002935
00004913
01202055
00002941
01352819
00004115
00010321
00009280
00009283
00080825
00002932
01157066</t>
  </si>
  <si>
    <t xml:space="preserve">PA DAO V#1 01172024 </t>
  </si>
  <si>
    <t>01514288 - BAPTIST HEALTH SOUTH FLORIDA SURGERY AT PLANTATION
00002935 - BAPTIST HOSPITAL OF MIAMI
00004913 - BETHESDA HOSPITAL INC
01202055 - BETHESDA WEST HOSPITAL
00002941 - BOCA RATON REGIONAL HOSPITAL
00004115 - DOCTORS HOSPITAL
00009280 - HOMESTEAD HOSPITAL
00009283 - MARINERS HOSPITAL
00002932 - SOUTH MIAMI HOSPITAL
01157066 - WEST KENDALL BAPTIST HOSPITAL</t>
  </si>
  <si>
    <t>102201010	1 LEVEL PLATE, 10MM
102201030	1 LEVEL PLATE, 30MM
102201028	1 LEVEL PLATE, 28MM
102201026	1 LEVEL PLATE, 26MM
102201024	1 LEVEL PLATE, 24MM
102201022	1 LEVEL PLATE, 22MM
102201020	1 LEVEL PLATE, 20MM
102201018	1 LEVEL PLATE, 18MM
102201016	1 LEVEL PLATE, 16MM
102201014	1 LEVEL PLATE, 14MM
102201012	1 LEVEL PLATE, 12MM
102202024	2 LEVEL PLATE, 24MM
102202044	2 LEVEL PLATE, 44MM
102202042	2 LEVEL PLATE, 42MM
102202040	2 LEVEL PLATE, 40MM
102202038	2 LEVEL PLATE, 38MM
102202036	2 LEVEL PLATE, 36MM
102202034	2 LEVEL PLATE, 34MM
102202032	2 LEVEL PLATE, 32MM
102202030	2 LEVEL PLATE, 30MM
102202028	2 LEVEL PLATE, 28MM
102202026	2 LEVEL PLATE, 26MM
102203042	3 LEVEL PLATE, 42MM
102203066	3 LEVEL PLATE, 66MM
102203063	3 LEVEL PLATE, 63MM
102203060	3 LEVEL PLATE, 60MM
102203057	3 LEVEL PLATE, 57MM
102203054	3 LEVEL PLATE, 54MM
102203051	3 LEVEL PLATE, 51MM
102203048	3 LEVEL PLATE, 48MM
102203045	3 LEVEL PLATE, 45MM
102204060	4 LEVEL PLATE, 60MM
102204088	4 LEVEL PLATE, 88MM
102204084	4 LEVEL PLATE, 84MM
102204080	4 LEVEL PLATE, 80MM
102204076	4 LEVEL PLATE, 76MM
102204072	4 LEVEL PLATE, 72MM
102204068	4 LEVEL PLATE, 68MM
102204064	4 LEVEL PLATE, 64MM
102205075	5 LEVEL PLATE, 75MM
102205105	5 LEVEL PLATE, 105MM
102205100	5 LEVEL PLATE, 100MM
102205095	5 LEVEL PLATE, 95MM
102205090	5 LEVEL PLATE, 90MM
102205085	5 LEVEL PLATE, 85MM
102205080	5 LEVEL PLATE, 80MM
102252020	VARIABLE SELF TAPPING, 3.5X20
102262022	CNSTRNED SELF TAPPING, 3.5X22
102262020	CNSTRNED SELF TAPPING, 3.5X20
102252022	VARIABLE SELF TAPPING, 3.5X22
102254012	VARIABLE SELF TAPPING, 4.0X12
102262018	CNSTRNED SELF TAPPING, 3.5X18
102262017	CNSTRNED SELF TAPPING, 3.5X17
102262016	CNSTRNED SELF TAPPING, 3.5X16
102262015	CNSTRNED SELF TAPPING, 3.5X15
102262014	CNSTRNED SELF TAPPING, 3.5X14
102262013	CNSTRNED SELF TAPPING, 3.5X13
102262012	CNSTRNED SELF TAPPING, 3.5X12
102262011	CNSTRNED SELF TAPPING, 3.5X11
102262010	CNSTRNED SELF TAPPING, 3.5X10
102252018	VARIABLE SELF TAPPING, 3.5X18
102252017	VARIABLE SELF TAPPING, 3.5X17
102252016	VARIABLE SELF TAPPING, 3.5X16
102252015	VARIABLE SELF TAPPING, 3.5X15
102252014	VARIABLE SELF TAPPING, 3.5X14
102252013	VARIABLE SELF TAPPING, 3.5X13
102252012	VARIABLE SELF TAPPING, 3.5X12
102252011	VARIABLE SELF TAPPING, 3.5X11
102252010	VARIABLE SELF TAPPING, 3.5X10
102250018	VARIABLE SELF DRILLING 3.5X18
102250017	VARIABLE SELF DRILLING 3.5X17
102250016	VARIABLE SELF DRILLING 3.5X16
102250015	VARIABLE SELF DRILLING 3.5X15
102250014	VARIABLE SELF DRILLING 3.5X14
102250013	VARIABLE SELF DRILLING 3.5X13
102250012	VARIABLE SELF DRILLING 3.5X12
102250011	VARIABLE SELF DRILLING 3.5X11
102250010	VARIABLE SELF DRILLING 3.5X10
102264018	CNSTRNED SELF TAPPING, 4.0X18
102264016	CNSTRNED SELF TAPPING, 4.0X16
102264014	CNSTRNED SELF TAPPING, 4.0X14
102264012	CNSTRNED SELF TAPPING, 4.0X12
102254018	VARIABLE SELF TAPPING, 4.0X18
102254016	VARIABLE SELF TAPPING, 4.0X16
102254014	VARIABLE SELF TAPPING, 4.0X14
202220010S	MODULAR DRILL, 10MM
202230018S	MODULAR DRILL 18MM
202230016S	MODULAR DRILL 16MM
202230014S	MODULAR DRILL 14MM
202230012S	MODULAR DRILL 12MM
202230010S	MODULAR DRILL 10MM
202220018S	MODULAR DRILL, 18MM
202220016S	MODULAR DRILL, 16MM
202220014S	MODULAR DRILL, 14MM
202220012S	MODULAR DRILL, 12MM
202221010S	TAP, 10MM
202231018S	TAP 18MM
202231016S	TAP 16MM
202231014S	TAP 14MM
202231012S	TAP 12MM
202231010S	TAP 10MM
202221018S	TAP, 18MM
202221016S	TAP, 16MM
202221014S	TAP, 14MM
202221012S	TAP, 12MM
202250100S	TEMP PIN, PUSH
202250200S	TEMP PIN, THREADED
03.600.011	3.0MM DRILL BIT WITH STOP 18MM
387.275	3.0MM DRILL BIT F/BI-CORTICAL SCREWS
324.16	3.0MM DRILL BIT WITH STOP 16MM
324.14	3.0MM DRILL BIT WITH STOP 14MM
324.12	3.0MM DRILL BIT WITH STOP 12MM
325.12	TAP F/4.0MM TI CORTEX EXPANSIONHEAD SCRW
387.61	TAP F/4.35MM TI CANC EXPANSIONHEAD SCRW
387.277	TAP F/4.0MM TI CANC EXPANSIONHEAD SCRW
387.276	TAP F/4.0MM TI CORTEX EXPANSIONHEAD SCRW
325.14	TAP F/4.35MM TI CANC EXPANSIONHEAD SCREW
387.34	CONICAL EXTRACTION SCREW
387.595	FIXATIONPIN F/CSLP F/TEMP-USE
186801012	SKY 1 LEVEL PLTE 12MM TI
186801030S	SKY 1 LEVEL PLTE 30MM TI
186801028S	SKY 1 LEVEL PLTE 28MM TI
186801026S	SKY 1 LEVEL PLTE 26MM TI
186801024S	SKY 1 LEVEL PLTE 24MM TI
186801022S	SKY 1 LEVEL PLTE 22MM TI
186801020S	SKY 1 LEVEL PLTE 20MM TI
186801018S	SKY 1 LEVEL PLTE 18MM TI
186801016S	SKY 1 LEVEL PLTE 16MM TI
186801014S	SKY 1 LEVEL PLTE 14MM TI
186801012S	SKY 1 LEVEL PLTE 12MM TI
186801030	SKY 1 LEVEL PLTE 30MM TI
186801028	SKY 1 LEVEL PLTE 28MM TI
186801026	SKY 1 LEVEL PLTE 26MM TI
186801024	SKY 1 LEVEL PLTE 24MM TI
186801022	SKY 1 LEVEL PLTE 22MM TI
186801020	SKY 1 LEVEL PLTE 20MM TI
186801018	SKY 1 LEVEL PLTE 18MM TI
186801016	SKY 1 LEVEL PLTE 16MM TI
186801014	SKY 1 LEVEL PLTE 14MM TI
186802024	SKY 2 LEVEL PLTE 24MM TI
186802044S	SKY 2 LEVEL PLTE 44MM TI
186802042S	SKY 2 LEVEL PLTE 42MM TI
186802040S	SKY 2 LEVEL PLTE 40MM TI
186802038S	SKY 2 LEVEL PLTE 38MM TI
186802036S	SKY 2 LEVEL PLTE 36MM TI
186802034S	SKY 2 LEVEL PLTE 34MM TI
186802032S	SKY 2 LEVEL PLTE 32MM TI
186802030S	SKY 2 LEVEL PLTE 30MM TI
186802028S	SKY 2 LEVEL PLTE 28MM TI
186802044	SKY 2 LEVEL PLTE 44MM TI
186802042	SKY 2 LEVEL PLTE 42MM TI
186802040	SKY 2 LEVEL PLTE 40MM TI
186802038	SKY 2 LEVEL PLTE 38MM TI
186802036	SKY 2 LEVEL PLTE 36MM TI
186802034	SKY 2 LEVEL PLTE 34MM TI
186802032	SKY 2 LEVEL PLTE 32MM TI
186802030	SKY 2 LEVEL PLTE 30MM TI
186802028	SKY 2 LEVEL PLTE 28MM TI
186802026	SKY 2 LEVEL PLTE 26MM TI
186803036	SKY 3 LEVEL PLTE 36MM TI
186803066S	SKY 3 LEVEL PLTE 66MM TI
186803063S	SKY 3 LEVEL PLTE 63MM TI
186803060S	SKY 3 LEVEL PLTE 60MM TI
186803057S	SKY 3 LEVEL PLTE 57MM TI
186803054S	SKY 3 LEVEL PLTE 54MM TI
186803051S	SKY 3 LEVEL PLTE 51MM TI
186803048S	SKY 3 LEVEL PLTE 48MM TI
186803045S	SKY 3 LEVEL PLTE 45MM TI
186803042S	SKY 3 LEVEL PLTE 42MM TI
186803066	SKY 3 LEVEL PLTE 66MM TI
186803063	SKY 3 LEVEL PLTE 63MM TI
186803060	SKY 3 LEVEL PLTE 60MM TI
186803057	SKY 3 LEVEL PLTE 57MM TI
186803054	SKY 3 LEVEL PLTE 54MM TI
186803051	SKY 3 LEVEL PLTE 51MM TI
186803048	SKY 3 LEVEL PLTE 48MM TI
186803045	SKY 3 LEVEL PLTE 45MM TI
186803042	SKY 3 LEVEL PLTE 42MM TI
186803039	SKY 3 LEVEL PLTE 39MM TI
186804056	SKY 4 LEVEL PLTE 56 MM TI
186804076S	SKY 4 LEVEL PLTE 76MM TI
186804072S	SKY 4 LEVEL PLTE 72MM TI
186804068S	SKY 4 LEVEL PLTE 68MM TI
186804064S	SKY 4 LEVEL PLTE 64MM TI
186804088	SKY 4 LEVEL PLTE 88MM TI
186804084	SKY 4 LEVEL PLTE 84MM TI
186804080	SKY 4 LEVEL PLTE 80MM TI
186804076	SKY 4 LEVEL PLTE 76MM TI
186804072	SKY 4 LEVEL PLTE 72MM TI
186804068	SKY 4 LEVEL PLTE 68MM TI
186804064	SKY 4 LEVEL PLTE 64MM TI
186804060	SKY 4 LEVEL PLTE 60 MM TI
186805065	SKY 5 LEVEL PLTE 65 MM TI
186805080S	SKY 5 LEVEL PLTE 80MM TI
186805075S	SKY 5 LEVEL PLTE 75MM TI
186805105	SKY 5 LEVEL PLTE 105MM TI
186805100	SKY 5 LEVEL PLTE 100MM TI
186805095	SKY 5 LEVEL PLTE 95MM TI
186805090	SKY 5 LEVEL PLTE 90MM TI
186805085	SKY 5 LEVEL PLTE 85MM TI
186805080	SKY 5 LEVEL PLTE 80MM TI
186805075	SKY 5 LEVEL PLTE 75MM TI
186805070	SKY 5 LEVEL PLTE 70 MM TI
186850020	SKY VARIABLE S-D SCW 20MM TI
186862020	SKY CONST S-T SCW 20MM TI
186852026	SKY VARIABLE S-T SCW 26MM TI
186852024	SKY VARIABLE S-T SCW 24MM TI
186852022	SKY VARIABLE S-T SCW 22MM TI
186852020	SKY VARIABLE S-T SCW 20MM TI
186854012	SKY VARIABLE LRG-D SCW 12MM TI
186862018S	SKY CONST S-T SCW 18MM TI
186862016S	SKY CONST S-T SCW 16MM TI
186862014S	SKY CONST S-T SCW 14MM TI
186862012S	SKY CONST S-T SCW 12MM TI
186860018S	SKY CONST S-D SCW 18MM TI
186860016S	SKY CONST S-D SCW 16MM TI
186860014S	SKY CONST S-D SCW 14MM TI
186860012S	SKY CONST S-D SCW 12MM TI
186852018S	SKY VARIABLE S-T SCW 18MM TI
186852016S	SKY VARIABLE S-T SCW 16MM TI
186852014S	SKY VARIABLE S-T SCW 14MM TI
186852012S	SKY VARIABLE S-T SCW 12MM TI
186850018S	SKY VARIABLE S-D SCW 18MM TI
186850016S	SKY VARIABLE S-D SCW 16MM TI
186850014S	SKY VARIABLE S-D SCW 14MM TI
186850012S	SKY VARIABLE S-D SCW 12MM TI
186864018S	SKY CONST LRG-D SCW 18MM TI
186864016S	SKY CONST LRG-D SCW 16MM TI
186864014S	SKY CONST LRG-D SCW 14MM TI
186864012S	SKY CONST LRG-D SCW 12MM TI
186854018S	SKY VARIABLE LRG-D SCW 18MM TI
186854016S	SKY VARIABLE LRG-D SCW 16MM TI
186854014S	SKY VARIABLE LRG-D SCW 14MM TI
186854012S	SKY VARIABLE LRG-D SCW 12MM TI
186862018	SKY CONST S-T SCW 18MM TI
186862017	SKY CONST S-T SCW 17MM TI
186862016	SKY CONST S-T SCW 16MM TI
186862015	SKY CONST S-T SCW 15MM TI
186862014	SKY CONST S-T SCW 14MM TI
186862013	SKY CONST S-T SCW 13MM TI
186862012	SKY CONST S-T SCW 12MM TI
186862010	SKY CONST S-T SCW 10MM TI
186860018	SKY CONST S-D SCW 18MM TI
186860017	SKY CONST S-D SCW 17MM TI
186860016	SKY CONST S-D SCW 16MM TI
186860015	SKY CONST S-D SCW 15MM TI
186860014	SKY CONST S-D SCW 14MM TI
186860013	SKY CONST S-D SCW 13MM TI
186860012	SKY CONST S-D SCW 12MM TI
186852019	SKY VARIABLE S-T SCW 19MM TI
186852018	SKY VARIABLE S-T SCW 18MM TI
186852017	SKY VARIABLE S-T SCW 17MM TI
186852016	SKY VARIABLE S-T SCW 16MM TI
186852015	SKY VARIABLE S-T SCW 15MM TI
186852014	SKY VARIABLE S-T SCW 14MM TI
186852013	SKY VARIABLE S-T SCW 13MM TI
186852012	SKY VARIABLE S-T SCW 12MM TI
186852011	SKY VARIABLE S-T SCW 11MM TI
186852010	SKY VARIABLE S-T SCW 10MM TI
186850018	SKY VARIABLE S-D SCW 18MM TI
186850017	SKY VARIABLE S-D SCW 17MM TI
186850016	SKY VARIABLE S-D SCW 16MM TI
186850015	SKY VARIABLE S-D SCW 15MM TI
186850014	SKY VARIABLE S-D SCW 14MM TI
186850013	SKY VARIABLE S-D SCW 13MM TI
186850012	SKY VARIABLE S-D SCW 12MM TI
186864018	SKY CONST LRG-D SCW 18MM TI
186864016	SKY CONST LRG-D SCW 16MM TI
186864014	SKY CONST LRG-D SCW 14MM TI
186864012	SKY CONST LRG-D SCW 12MM TI
186854018	SKY VARIABLE LRG-D SCW 18MM TI
186854016	SKY VARIABLE LRG-D SCW 16MM TI
186854014	SKY VARIABLE LRG-D SCW 14MM TI
286820012	SKY 12MM DRILL FLAT CHUCK
286820116	SKY 16MM DRILL JACOBS CHUCK
286820114	SKY 14MM DRILL JACOBS CHUCK
286820112	SKY 12MM DRILL JACOBS CHUCK
286820016	SKY 16MM DRILL FLATT CHUCK
286820014	SKY 14MM DRILL FLAT CHUCK
274903012	COMPRESSION PIN 12MM
274903016	COMPRESSION PIN 16MM
274903014	COMPRESSION PIN 14MM
286820300	SKY TAP SHAFT
286830600	SMALL X15 TAPERED DRIVER
286830700	MEDIUM  X15 TAPERED DRIVER
286850100	SKY STRAIGHT TEMP FIX PIN
286850300	SELF DRILLING TEMP FIX PIN
286850200	SKY THREADED TEMP FIX PIN
189721013	UNIPLATE ONE LEVEL PLATE, 13MM
189721028	UNIPLATE ONE LEVEL PLATE, 28MM
189721026	UNIPLATE ONE LEVEL PLATE, 26MM
189721024	UNIPLATE ONE LEVEL PLATE, 24MM
189721022	UNIPLATE ONE LEVEL PLATE, 22MM
189721020	UNIPLATE ONE LEVEL PLATE, 20MM
189721018	UNIPLATEONE LEVEL PLATE, 18MM
189721016	UNIPLATE ONE LEVEL PLATE, 16MM
189721014	UNIPLATE ONE LEVEL PLATE, 14MM
189722026	UNIPLATE TWO LEVEL PLATE, 26MM
189722040	UNIPLATE TWO LEVEL PLATE, 40MM
189722038	UNIPLATE TWO LEVEL PLATE, 38MM
189722036	UNIPLATE TWO LEVEL PLATE, 36MM
189722034	UNIPLATE TWO LEVEL PLATE, 34MM
189722032	UNIPLATE TWO LEVEL PLATE, 32MM
189722030	UNIPLATE TWO LEVEL PLATE, 30MM
189722028	UNIPLATE TWO LEVEL PLATE, 28MM
189723045	THREE LEVEL UNIPLATE III 45MM
189723066	UNIPLATE THREE LEVEL PLATE, 66
189723063	UNIPLATE THREE LEVEL PLATE, 63
189723060	UNIPLATE THREE LEVEL PLATE, 60
189723057	UNIPLATE THREE LEVEL PLATE, 57
189723054	UNIPLATE THREE LEVEL PLATE, 54
189723051	UNIPLATE THREE LEVEL PLATE, 51
189723048	UNIPLATE THREE LEVEL PLATE, 48
189706112	UNIPLATE LRG DIA, 12MM
189706118	UNIPLATE LRG DIA, 18MM
189706116	UNIPLATE LRG DIA, 16MM
189706114	UNIPLATE LRG DIA, 14MM
189706026	UNIPLATE SELF-TAP SCREW 26MM
189706126	UNIPLATE LARGE DIAMETER 26MM
189706010	UNIPLATE SELF-TAP SCREW 10MM
189707016	UNIPLATE SELFDRLLING SCW,16MM
189707015	UNIPLATE SELFDRLLING SCW,15MM
189707014	UNIPLATE SELFDRLLING SCW,14MM
189707013	UNIPLATE SELFDRLLING SCW,13MM
189707012	UNIPLATE SELFDRLLING SCW,12MM
189707010	UNIPLATE SELF-DRILL SCREW 10MM
189706018	UNIPLATE SELFTAPPING SCW,18MM
189706016	UNIPLATE SELFTAPPING SCW,16MM
189706015	UNIPLATE SELFTAPPING SCW,15MM
189706014	UNIPLATE SELFTAPPING SCW,14MM
189706013	UNIPLATE SELFTAPPING SCW,13MM
189706012	UNIPLATE SELFTAPPING SCW,12MM
289701012	UNIPLATE 12MM DRILL
289701016	UNIPLATE 16MM DRILL
289701014	UNIPLATE 14MM DRILL
289750000	UNIPLATE MARKING PIN
289705012	UNIPLATE 12MM TAP SHAFT
04.613.012	TI VECTRA(TM) PLATE 1 LEVEL/12MM
450.557	TI VECTRA-T(TM) PLATE 1 LEVEL/26MM
450.556	TI VECTRA-T(TM) PLATE 1 LEVEL/24MM
450.555	TI VECTRA-T(TM) PLATE 1 LEVEL/22MM
450.554	TI VECTRA-T(TM) PLATE 1 LEVEL/20MM
450.553	TI VECTRA-T(TM) PLATE 1 LEVEL/18MM
450.552	TI VECTRA-T(TM) PLATE 1 LEVEL/16MM
450.551	TI VECTRA-T(TM) PLATE 1 LEVEL/14MM
04.613.164	TI VECTRA-ONE PLATE 1 LEVEL/24MM
04.613.162	TI VECTRA-ONE PLATE 1 LEVEL/22MM
04.613.160	TI VECTRA-ONE PLATE 1 LEVEL/20MM
04.613.158	TI VECTRA-ONE PLATE 1 LEVEL/18MM
04.613.156	TI VECTRA-ONE PLATE 1 LEVEL/16MM
04.613.154	TI VECTRA-ONE PLATE 1 LEVEL/14MM
04.613.152	TI VECTRA-ONE PLATE 1 LEVEL/12MM
04.613.150	TI VECTRA-ONE PLATE 1 LEVEL/10MM
04.613.026	TI VECTRA(TM) PLATE 1 LEVEL/26MM
04.613.024	TI VECTRA(TM) PLATE 1 LEVEL/24MM
04.613.022	TI VECTRA(TM) PLATE 1 LEVEL/22MM
04.613.020	TI VECTRA(TM) PLATE 1 LEVEL/20MM
04.613.018	TI VECTRA(TM) PLATE 1 LEVEL/18MM
04.613.016	TI VECTRA(TM) PLATE 1 LEVEL/16MM
04.613.014	TI VECTRA(TM) PLATE 1 LEVEL/14MM
04.613.126	TI VECTRA(TM) PLATE 2 LEVEL/26MM
450.570	TI VECTRA-T(TM) PLATE 2 LEVEL/46MM
450.569	TI VECTRA-T(TM) PLATE 2 LEVEL/44MM
450.568	TI VECTRA-T(TM) PLATE 2 LEVEL/42MM
450.567	TI VECTRA-T(TM) PLATE 2 LEVEL/40MM
450.566	TI VECTRA-T(TM) PLATE 2 LEVEL/38MM
450.565	TI VECTRA-T(TM) PLATE 2 LEVEL/36MM
450.564	TI VECTRA-T(TM) PLATE 2 LEVEL/34MM
450.563	TI VECTRA-T(TM) PLATE 2 LEVEL/32MM
450.562	TI VECTRA-T(TM) PLATE 2 LEVEL/30MM
450.561	TI VECTRA-T(TM) PLATE 2 LEVEL/28MM
04.613.190	TI VECTRA-ONE PLATE 2 LEVEL/40MM
04.613.188	TI VECTRA-ONE PLATE 2 LEVEL/38MM
04.613.186	TI VECTRA-ONE PLATE 2 LEVEL/36MM
04.613.184	TI VECTRA-ONE PLATE 2 LEVEL/34MM
04.613.182	TI VECTRA-ONE PLATE 2 LEVEL/32MM
04.613.180	TI VECTRA-ONE PLATE 2 LEVEL/30MM
04.613.178	TI VECTRA-ONE PLATE 2 LEVEL/28MM
04.613.176	TI VECTRA-ONE PLATE 2 LEVEL/26MM
04.613.146	TI VECTRA(TM) PLATE 2 LEVEL/46MM
04.613.144	TI VECTRA(TM) PLATE 2 LEVEL/44MM
04.613.142	TI VECTRA(TM) PLATE 2 LEVEL/42MM
04.613.140	TI VECTRA(TM) PLATE 2 LEVEL/40MM
04.613.138	TI VECTRA(TM) PLATE 2 LEVEL/38MM
04.613.136	TI VECTRA(TM) PLATE 2 LEVEL/36MM
04.613.134	TI VECTRA(TM) PLATE 2 LEVEL/34MM
04.613.132	TI VECTRA(TM) PLATE 2 LEVEL/32MM
04.613.130	TI VECTRA(TM) PLATE 2 LEVEL/30MM
04.613.128	TI VECTRA(TM) PLATE 2 LEVEL/28MM
04.613.239	TI VECTRA PLATE 3 LEVEL/39MM
450.579	TI VECTRA-T(TM) PLATE 3 LEVEL/69MM
450.578	TI VECTRA-T(TM) PLATE 3 LEVEL/66MM
450.577	TI VECTRA-T(TM) PLATE 3 LEVEL/63MM
450.576	TI VECTRA-T(TM) PLATE 3 LEVEL/60MM
450.575	TI VECTRA-T(TM) PLATE 3 LEVEL/57MM
450.574	TI VECTRA-T(TM) PLATE 3 LEVEL/54MM
450.573	TI VECTRA-T(TM) PLATE 3 LEVEL/51MM
450.572	TI VECTRA-T(TM) PLATE 3 LEVEL/48MM
450.571	TI VECTRA-T(TM) PLATE 3 LEVEL/45MM
04.613.269	TI VECTRA(TM) PLATE 3 LEVEL/69MM
04.613.266	TI VECTRA(TM) PLATE 3 LEVEL/66MM
04.613.263	TI VECTRA(TM) PLATE 3 LEVEL/63MM
04.613.260	TI VECTRA(TM) PLATE 3 LEVEL/60MM
04.613.257	TI VECTRA(TM) PLATE 3 LEVEL/57MM
04.613.254	TI VECTRA(TM) PLATE 3 LEVEL/54MM
04.613.251	TI VECTRA(TM) PLATE 3 LEVEL/51MM
04.613.248	TI VECTRA(TM) PLATE 3 LEVEL/48MM
04.613.245	TI VECTRA(TM) PLATE 3 LEVEL/45MM
04.613.242	TI VECTRA PLATE 3 LEVEL/42MM
04.613.360	TI VECTRA(TM) PLATE 4 LEVEL/60MM
450.591	TI VECTRA-T(TM) PLATE 4 LEVEL/100MM
450.590	TI VECTRA-T(TM) PLATE 4 LEVEL/96MM
450.589	TI VECTRA-T(TM) PLATE 4 LEVEL/92MM
450.588	TI VECTRA-T(TM) PLATE 4 LEVEL/88MM
450.587	TI VECTRA-T(TM) PLATE 4 LEVEL/84MM
450.586	TI VECTRA-T(TM) PLATE 4 LEVEL/80MM
450.585	TI VECTRA-T(TM) PLATE 4 LEVEL/76MM
450.584	TI VECTRA-T(TM) PLATE 4 LEVEL/72MM
450.583	TI VECTRA-T(TM) PLATE 4 LEVEL/68MM
450.582	TI VECTRA-T(TM) PLATE 4 LEVEL/64MM
450.581	TI VECTRA-T(TM) PLATE 4 LEVEL/60MM
04.613.400	TI VECTRA(TM) PLATE 4 LEVEL/100MM
04.613.396	TI VECTRA(TM) PLATE 4 LEVEL/96MM
04.613.392	TI VECTRA(TM) PLATE 4 LEVEL/92MM
04.613.388	TI VECTRA(TM) PLATE 4 LEVEL/88MM
04.613.384	TI VECTRA(TM) PLATE 4 LEVEL/84MM
04.613.380	TI VECTRA(TM) PLATE 4 LEVEL/80MM
04.613.376	TI VECTRA(TM) PLATE 4 LEVEL/76MM
04.613.372	TI VECTRA(TM) PLATE 4 LEVEL/72MM
04.613.368	TI VECTRA(TM) PLATE 4 LEVEL/68MM
04.613.364	TI VECTRA(TM) PLATE 4 LEVEL/64MM
04.613.520	4.0 TI CERV SLF RTN SCR SLF-DRLG/VA 20MM
04.614.674	4.5 TI CRV SLF RTN CRTX SCR/SLF-TP/VA 24
04.614.672	4.5 TI CRV SLF RTN CRTX SCR/SLF-TP/VA 22
04.614.624	4.0 TI CRV SLF RTN CRTX SCR/SLF-TP/VA 24
04.614.622	4.0 TI CRV SLF RTN CRTX SCR/SLF-TP/VA 22
04.613.870	4.5 TI CERV SLF RTN SCR SLF-TPNG/FA 20MM
04.613.820	4.0 TI CERV SLF RTN SCR SLF-TPNG/FA 20MM
04.613.770	4.5 TI CERV SLF RTN SCR SLF-DRLG/FA 20MM
04.613.720	4.0 TI CERV SLF RTN SCR SLF-DRLG/FA 20MM
04.613.670	4.5 TI CERV SLF RTN SCR SLF-TPNG/VA 20MM
04.613.620	4.0 TI CERV SLF RTN SCR SLF-TPNG/VA 20MM
04.613.570	4.5 TI CERV SLF RTN SCR SLF-DRLG/VA 20MM
04.613.512	4.0 TI CERV SLF RTN SCR SLF-DRLG/VA 12MM
04.613.869	4.5 TI CERV SLF RTN SCR SLF-TPNG/FA 19MM
04.613.868	4.5 TI CERV SLF RTN SCR SLF-TPNG/FA 18MM
04.613.867	4.5 TI CERV SLF RTN SCR SLF-TPNG/FA 17MM
04.613.866	4.5 TI CERV SLF RTN SCR SLF-TPNG/FA 16MM
04.613.865	4.5 TI CERV SLF RTN SCR SLF-TPNG/FA 15MM
04.613.864	4.5 TI CERV SLF RTN SCR SLF-TPNG/FA 14MM
04.613.862	4.5 TI CERV SLF RTN SCR SLF-TPNG/FA 12MM
04.613.819	4.0 TI CERV SLF RTN SCR SLF-TPNG/FA 19MM
04.613.818	4.0 TI CERV SLF RTN SCR SLF-TPNG/FA 18MM
04.613.817	4.0 TI CERV SLF RTN SCR SLF-TPNG/FA 17MM
04.613.816	4.0 TI CERV SLF RTN SCR SLF-TPNG/FA 16MM
04.613.815	4.0 TI CERV SLF RTN SCR SLF-TPNG/FA 15MM
04.613.814	4.0 TI CERV SLF RTN SCR SLF-TPNG/FA 14MM
04.613.813	4.0 TI CERV SLF RTN SCR SLF-TPNG/FA 13MM
04.613.812	4.0 TI CERV SLF RTN SCR SLF-TPNG/FA 12MM
04.613.769	4.5 TI CERV SLF RTN SCR SLF-DRLG/FA 19MM
04.613.768	4.5 TI CERV SLF RTN SCR SLF-DRLG/FA 18MM
04.613.767	4.5 TI CERV SLF RTN SCR SLF-DRLG/FA 17MM
04.613.766	4.5 TI CERV SLF RTN SCR SLF-DRLG/FA 16MM
04.613.765	4.5 TI CERV SLF RTN SCR SLF-DRLG/FA 15MM
04.613.764	4.5 TI CERV SLF RTN SCR SLF-DRLG/FA 14MM
04.613.762	4.5 TI CERV SLF RTN SCR SLF-DRLG/FA 12MM
04.613.719	4.0 TI CERV SLF RTN SCR SLF-DRLG/FA 19MM
04.613.718	4.0 TI CERV SLF RTN SCR SLF-DRLG/FA 18MM
04.613.717	4.0 TI CERV SLF RTN SCR SLF-DRLG/FA 17MM
04.613.716	4.0 TI CERV SLF RTN SCR SLF-DRLG/FA 16MM
04.613.715	4.0 TI CERV SLF RTN SCR SLF-DRLG/FA 15MM
04.613.714	4.0 TI CERV SLF RTN SCR SLF-DRLG/FA 14MM
04.613.713	4.0 TI CERV SLF RTN SCR SLF-DRLG/FA 13MM
04.613.712	4.0 TI CERV SLF RTN SCR SLF-DRLG/FA 12MM
04.613.669	4.5 TI CERV SLF RTN SCR SLF-TPNG/VA 19MM
04.613.668	4.5 TI CERV SLF RTN SCR SLF-TPNG/VA 18MM
04.613.667	4.5 TI CERV SLF RTN SCR SLF-TPNG/VA 17MM
04.613.666	4.5 TI CERV SLF RTN SCR SLF-TPNG/VA 16MM
04.613.665	4.5 TI CERV SLF RTN SCR SLF-TPNG/VA 15MM
04.613.664	4.5 TI CERV SLF RTN SCR SLF-TPNG/VA 14MM
04.613.663	4.5 TI CERV SLF RTN SCR SLF-TPNG/VA 13MM
04.613.662	4.5 TI CERV SLF RTN SCR SLF-TPNG/VA 12MM
04.613.619	4.0 TI CERV SLF RTN SCR SLF-TPNG/VA 19MM
04.613.618	4.0 TI CERV SLF RTN SCR SLF-TPNG/VA 18MM
04.613.617	4.0 TI CERV SLF RTN SCR SLF-TPNG/VA 17MM
04.613.616	4.0 TI CERV SLF RTN SCR SLF-TPNG/VA 16MM
04.613.615	4.0 TI CERV SLF RTN SCR SLF-TPNG/VA 15MM
04.613.614	4.0 TI CERV SLF RTN SCR SLF-TPNG/VA 14MM
04.613.613	4.0 TI CERV SLF RTN SCR SLF-TPNG/VA 13MM
04.613.612	4.0 TI CERV SLF RTN SCR SLF-TPNG/VA 12MM
04.613.569	4.5 TI CERV SLF RTN SCR SLF-DRLG/VA 19MM
04.613.568	4.5 TI CERV SLF RTN SCR SLF-DRLG/VA 18MM
04.613.566	4.5 TI CERV SLF RTN SCR SLF-DRLG/VA 16MM
04.613.565	4.5 TI CERV SLF RTN SCR SLF-DRLG/VA 15MM
04.613.564	4.5 TI CERV SLF RTN SCR SLF-DRLG/VA 14MM
04.613.563	4.5 TI CERV SLF RTN SCR SLF-DRLG/VA 13MM
04.613.562	4.5 TI CERV SLF RTN SCR SLF-DRLG/VA 12MM
04.613.519	4.0 TI CERV SLF RTN SCR SLF-DRLG/VA 19MM
04.613.518	4.0 TI CERV SLF RTN SCR SLF-DRLG/VA 18MM
04.613.517	4.0 TI CERV SLF RTN SCR SLF-DRLG/VA 17MM
04.613.516	4.0 TI CERV SLF RTN SCR SLF-DRLG/VA 16MM
04.613.515	4.0 TI CERV SLF RTN SCR SLF-DRLG/VA 15MM
04.613.514	4.0 TI CERV SLF RTN SCR SLF-DRLG/VA 14MM
04.613.513	4.0 TI CERV SLF RTN SCR SLF-DRLG/VA 13MM
03.613.112	2.5MM DRILL BIT WITH STOP 12MM SHORT
324.159	2.5MM DRILL BIT WITH STOP 20MM
324.158	2.5MM DRILL BIT WITH STOP 19MM
324.157	2.5MM DRILL BIT WITH STOP 18MM
324.156	2.5MM DRILL BIT WITH STOP 17MM
324.155	2.5MM DRILL BIT WITH STOP 16MM
324.154	2.5MM DRILL BIT WITH STOP 15MM
324.153	2.5MM DRILL BIT WITH STOP 14MM
324.152	2.5MM DRILL BIT WITH STOP 13MM
324.151	2.5MM DRILL BIT WITH STOP 12MM
324.145	3.0MM DRILL BIT WITH STOP 16MM
324.143	3.0MM DRILL BIT WITH STOP 14MM
03.613.224	2.5MM DRILL BIT WITH STOP 24MM
03.613.222	2.5MM DRILL BIT WITH STOP 22MM
03.613.124	2.5MM DRILL BIT WITH STOP 24MM SHORT
03.613.122	2.5MM DRILL BIT WITH STOP 22MM SHORT
03.613.120	2.5MM DRILL BIT WITH STOP 20MM SHORT
03.613.119	2.5MM DRILL BIT WITH STOP 19MM SHORT
03.613.118	2.5MM DRILL BIT WITH STOP 18MM SHORT
03.613.117	2.5MM DRILL BIT WITH STOP 17MM SHORT
03.613.116	2.5MM DRILL BIT WITH STOP 16MM SHORT
03.613.115	2.5MM DRILL BIT WITH STOP 15MM SHORT
03.613.114	2.5MM DRILL BIT WITH STOP 14MM SHORT
03.613.113	2.5MM DRILL BIT WITH STOP 13MM SHORT
311.402	TAP FOR 4.0MM CANC BONE SCREWS 220MM
311.404	TAP FOR 4.5MM CANC BONE SCREWS 220MM
03.613.026	TEMPORARY FIXATION PIN
324.101	TEMPORARY FIXATION PIN
04.617.706S	ZERO-P NTRL PLT SIZE 6 - ASEMBLY TOOL-ST
04.617.712S	ZERO-P NAT PLT SIZE 12- ASSEMBLY TOOL-ST
04.617.711S	ZERO-P NAT PLT SIZE 11- ASSEMBLY TOOL-ST
04.617.710S	ZERO-P NAT PLT SIZE 10- ASSEMBLY TOOL-ST
04.617.709S	ZERO-P NTRL PLT SIZE 9 - ASEMBLY TOOL-ST
04.617.708S	ZERO-P NTRL PLT SIZE 8 - ASEMBLY TOOL-ST
04.617.707S	ZERO-P NTRL PLT SIZE 7 - ASEMBLY TOOL-ST
04.647.832	3.7 TI CERV SPINE SCREW SLF-DRLG/VA 12MM
04.617.816.02S	3.0MM TI CERV SPINE LKNG SCR 16MM-ST 2PK
04.617.814.02S	3.0MM TI CERV SPINE LKNG SCR 14MM-ST 2PK
04.617.812.02S	3.0MM TI CERV SPINE LKNG SCR 12MM-ST 2PK
04.617.816	3.0MM TI CERV SPINE LKNG SCR 16MM
04.617.814	3.0MM TI CERV SPINE LKNG SCR 14MM
04.617.812	3.0MM TI CERV SPINE LKNG SCR 12MM
04.647.878S	3.7 TI CERV SPN SCR SLF-TPNG VA 18MM-STR
04.647.878	3.7 TI CERV SPINE SCREW SLF-TPNG/VA 18MM
04.647.876S	3.7 TI CERV SPN SCR SLF-TPNG VA 16MM-STR
04.647.876	3.7 TI CERV SPINE SCREW SLF-TPNG/VA 16MM
04.647.874S	3.7 TI CERV SPN SCR SLF-TPNG VA 14MM-STR
04.647.874	3.7 TI CERV SPINE SCREW SLF-TPNG/VA 14MM
04.647.872S	3.7 TI CERV SPN SCR SLF-TPNG VA 12MM-STR
04.647.872	3.7 TI CERV SPINE SCREW SLF-TPNG/VA 12MM
04.647.836S	3.7 TI CERV SPN SCR SLF-DRLG VA 16MM-STR
04.647.836	3.7 TI CERV SPINE SCREW SLF-DRLG/VA 16MM
04.647.834S	3.7 TI CERV SPN SCR SLF-DRLG VA 14MM-STR
04.647.834	3.7 TI CERV SPINE SCREW SLF-DRLG/VA 14MM
03.617.912	2.0MM DRILL BIT WITH 12MM STOP QC
03.617.975S	2.0 DRL BIT QC-STRL FOR CONICAL EXTR SCR
03.617.916	2.0MM DRILL BIT WITH 16MM STOP QC
03.617.914	2.0MM DRILL BIT WITH 14MM STOP QC
03.617.014S	ZERO-P NATURAL ASSEMBLY TOOL STERILE
03.617.902	SCRDRIVER SHAFT T8 SELF-HOLDING
03.617.904	SCREW INSERTER T8 SELF-RETAINING/QC
04.647.110S	ZERO-P VA IMP 10MM HT PARALLEL-ST
04.617.239S	ZERO-P IMP 9MM HT CONVEX/LG-STERILE
04.617.238S	ZERO-P IMP 8MM HT CONVEX/LG-STERILE
04.617.237S	ZERO-P IMP 7MM HT CONVEX/LG-STERILE
04.617.236S	ZERO-P IMP 6MM HT CONVEX/LG-STERILE
04.617.235S	ZERO-P IMP 5MM HT CONVEX/LG-STERILE
04.617.231S	ZERO-P IMP 11MM HT CONVEX/LG-STERILE
04.617.230S	ZERO-P IMP 10MM HT CONVEX/LG-STERILE
04.617.229S	ZERO-P IMP 9MM HT LORDOTIC/LG-ST
04.617.228S	ZERO-P IMP 8MM HT LORDOTIC/LG-ST
04.617.227S	ZERO-P IMP 7MM HT LORDOTIC/LG-ST
04.617.226S	ZERO-P IMP 6MM HT LORDOTIC/LG-ST
04.617.225S	ZERO-P IMP 5MM HT LORDOTIC/LG-ST
04.617.222S	ZERO-P IMP 12MM HT LORDOTIC/LG-ST
04.617.221S	ZERO-P IMP 11MM HT LORDOTIC/LG-ST
04.617.220S	ZERO-P IMP 10MM HT LORDOTIC/LG-ST
04.617.219S	ZERO-P IMP 9MM HT PARALLEL/LG-ST
04.617.218S	ZERO-P IMP 8MM HT PARALLEL/LG-ST
04.617.217S	ZERO-P IMP 7MM HT PARALLEL/LG-ST
04.617.216S	ZERO-P IMP 6MM HT PARALLEL/LG-ST
04.617.215S	ZERO-P IMP 5MM HT PARALLEL/LG-ST
04.617.212S	ZERO-P IMP 12MM HT PARALLEL/LG-ST
04.617.211S	ZERO-P IMP 11MM HT PARALLEL/LG-ST
04.617.210S	ZERO-P IMP 10MM HT PARALLEL/LG-ST
04.617.139S	ZERO-P IMPLANT 9MM HEIGHT CONVEX-STERILE
04.617.138S	ZERO-P IMPLANT 8MM HEIGHT CONVEX-STERILE
04.617.137S	ZERO-P IMPLANT 7MM HEIGHT CONVEX-STERILE
04.617.136S	ZERO-P IMPLANT 6MM HEIGHT CONVEX-STERILE
04.617.135S	ZERO-P IMPLANT 5MM HEIGHT CONVEX-STERILE
04.617.132S	ZERO-P IMP 12MM HT CONVEX-STERILE
04.617.131S	ZERO-P IMP 11MM HT CONVEX-STERILE
04.617.130S	ZERO-P IMP 10MM HT CONVEX-STERILE
04.617.129S	ZERO-P IMP 9MM HT LORDOTIC-STERILE
04.617.128S	ZERO-P IMP 8MM HT LORDOTIC-STERILE
04.617.127S	ZERO-P IMP 7MM HT LORDOTIC-STERILE
04.617.126S	ZERO-P IMP 6MM HT LORDOTIC-STERILE
04.617.125S	ZERO-P IMP 5MM HT LORDOTIC-STERILE
04.617.122S	ZERO-P IMP 12MM HT LORDOTIC-STERILE
04.617.121S	ZERO-P IMP 11MM HT LORDOTIC-STERILE
04.617.120S	ZERO-P IMP 10MM HT LORDOTIC-STERILE
04.617.119S	ZERO-P IMP 9MM HT PARALLEL-STERILE
04.617.118S	ZERO-P IMP 8MM HT PARALLEL-STERILE
04.617.117S	ZERO-P IMP 7MM HT PARALLEL-STERILE
04.617.116S	ZERO-P IMP 6MM HT PARALLEL-STERILE
04.617.115S	ZERO-P IMP 5MM HT PARALLEL-STERILE
04.617.112S	ZERO-P IMP 12MM HT PARALLEL-STERILE
04.617.111S	ZERO-P IMP 11MM HT PARALLEL-STERILE
04.617.110S	ZERO-P IMP 10MM HT PARALLEL-STERILE
04.647.239S	ZERO-P VA IMP 9MM HT CONVEX/LG-ST
04.647.238S	ZERO-P VA IMP 8MM HT CONVEX/LG-ST
04.647.237S	ZERO-P VA IMP 7MM HT CONVEX/LG-ST
04.647.236S	ZERO-P VA IMP 6MM HT CONVEX/LG-ST
04.647.235S	ZERO-P VA IMP 5MM HT CONVEX/LG-ST
04.647.232S	ZERO-P VA IMP 12MM HT CONVEX/LG-ST
04.647.231S	ZERO-P VA IMP 11MM HT CONVEX/LG-ST
04.647.230S	ZERO-P VA IMP 10MM HT CONVEX/LG-ST
04.647.229S	ZERO-P VA IMP 9MM HT LORDOTIC/LG-ST
04.647.228S	ZERO-P VA IMP 8MM HT LORDOTIC/LG-ST
04.647.227S	ZERO-P VA IMP 7MM HT LORDOTIC/LG-ST
04.647.226S	ZERO-P VA IMP 6MM HT LORDOTIC/LG-ST
04.647.225S	ZERO-P VA IMP 5MM HT LORDOTIC/LG-ST
04.647.222S	ZERO-P VA IMP 12MM HT LORDOTIC/LG-ST
04.647.221S	ZERO-P VA IMP 11MM HT LORDOTIC/LG-ST
04.647.220S	ZERO-P VA IMP 10MM HT LORDOTIC/LG-ST
04.647.219S	ZERO-P VA IMP 9MM HT PARALLEL/LG-ST
04.647.218S	ZERO-P VA IMP 8MM HT PARALLEL/LG-ST
04.647.217S	ZERO-P VA IMP 7MM HT PARALLEL/LG-ST
04.647.216S	ZERO-P VA IMP 6MM HT PARALLEL/LG-ST
04.647.215S	ZERO-P VA IMP 5MM HT PARALLEL/LG-ST
04.647.212S	ZERO-P VA IMP 12MM HT PARALLEL/LG-ST
04.647.211S	ZERO-P VA IMP 11MM HT PARALLEL/LG-ST
04.647.210S	ZERO-P VA IMP 10MM HT PARALLEL/LG-ST
04.647.139S	ZERO-P VA IMP 9MM HT CONVEX-STERILE
04.647.138S	ZERO-P VA IMP 8MM HT CONVEX-STERILE
04.647.137S	ZERO-P VA IMP 7MM HT CONVEX-STERILE
04.647.136S	ZERO-P VA IMP 6MM HT CONVEX-STERILE
04.647.135S	ZERO-P VA IMP 5MM HT CONVEX-STERILE
04.647.132S	ZERO-P VA IMP 12MM HT CONVEX-STERILE
04.647.131S	ZERO-P VA IMP 11MM HT CONVEX-STERILE
04.647.130S	ZERO-P VA IMP 10MM HT CONVEX-STERILE
04.647.129S	ZERO-P VA IMP 9MM HT LORDOTIC-ST
04.647.128S	ZERO-P VA IMP 8MM HT LORDOTIC-ST
04.647.127S	ZERO-P VA IMP 7MM HT LORDOTIC-ST
04.647.126S	ZERO-P VA IMP 6MM HT LORDOTIC-ST
04.647.125S	ZERO-P VA IMP 5MM HT LORDOTIC-ST
04.647.122S	ZERO-P VA IMP 12MM HT LORDOTIC-ST
04.647.121S	ZERO-P VA IMP 11MM HT LORDOTIC-ST
04.647.120S	ZERO-P VA IMP 10MM HT LORDOTIC-ST
04.647.119S	ZERO-P VA IMP 9MM HT PARALLEL-ST
04.647.118S	ZERO-P VA IMP 8MM HT PARALLEL-ST
04.647.117S	ZERO-P VA IMP 7MM HT PARALLEL-ST
04.647.116S	ZERO-P VA IMP 6MM HT PARALLEL-ST
04.647.115S	ZERO-P VA IMP 5MM HT PARALLEL-ST
04.647.112S	ZERO-P VA IMP 12MM HT PARALLEL-ST
04.647.111S	ZERO-P VA IMP 11MM HT PARALLEL-ST
297.011	TREPHINE GUIDE WIRE
187701001	EXP ANT D/H STAPLE ROSTRAL SM
187701010	SINGLE HOLE STAPLE
187701008	DUAL HOLE STAPLE CAUDAL XL
187701007	DUAL HOLE STAPLE ROSTRAL XL
187701006	D/H STAPLE CAUDAL LG
187701005	EXP ANT D/H STAPLE ROSTRAL LG
187701004	EXP ANT D/H STAPLE CAUDAL MED
187701003	EXP ANT D/H STAPLE ROSTRAL MED
187701002	EXP ANT D/H STAPLE CAUDAL SM
187704005	EXP ANT X25 CROSS CONN SETSCW
187704013	CROSS CONNECTOR 13MM
187704018	CROSS CONNECTOR 18MM
187704017	CROSS CONNECTOR 17MM
187704016	EXP ANT CROSS CONN 16MM
187704015	EXP ANT CROSS CONN 15MM
187704014	EXP ANT CROSS CONN 14MM
287710500	EXP ANT 5.0MM TAP
287710700	EXP ANT 7.0MM TAP
287710600	EXP ANT 6.0MM TAP
187702525	EXP ANT MONO SCREW 5 X 25MM
187722650	EXP ANT 6.35 MONO 6X50
187722647	EXP ANT 6.35 MONO 6X47.5
187722645	EXP ANT 6.35 MONO 6X45
187722642	EXP ANT 6.35 MONO 6X42.5
187722640	EXP ANT 6.35 MONO 6X40
187722637	EXP ANT 6.35 MONO 6X37.5
187722635	EXP ANT 6.35 MONO 6X35
187722632	EXP ANT 6.35 MONO 6X32.5
187722630	EXP ANT 6.35 MONO 6X30
187702755	EXP ANT MONO SCREW 7 X 55MM
187702750	EXP ANT MONO SCREW 7 X 50MM
187702745	EXP ANT MONO SCREW 7 X 45MM
187702742	EXP ANT MONO SCREW 7 X 42.5MM
187702740	EXP ANT MONO SCREW 7 X 40MM
187702735	EXP ANT MONO SCREW 7 X 35MM
187702660	MONOAXIAL SCREW 6 X 60MM
187702655	EXP ANT MONO SCREW 6 X 55MM
187702650	EXP ANT MONO SCREW 6 X 50MM
187702647	EXP ANT MONO SCREW 6 X 47.5MM
187702645	EXP ANT MONO SCREW 6 X 45MM
187702642	EXP ANT MONO SCW 6 X 42.5MM
187702640	EXP ANT MONO SCREW 6 X 40MM
187702637	EXP ANT MONO SCW 6 X 37.5MM
187702635	EXP ANT MONO SCREW 6 X 35MM
187702632	EXP ANT MONO SCW 6 X 32.5MM
187702630	EXP ANT MONO SCREW 6 X 30MM
187702627	EXP ANT MONO SCW 6 X 27.5MM
187702625	EXP ANT MONO SCW 6 X 25MM
187702545	MONOAXIAL SCREW 5 X 45MM
187702542	MONOAXIAL SCREW 5 X 42.5MM
187702540	EXP ANT MONO SCREW 5 X 40MM
187702537	EXP ANT MONO SCREW 5 X 37.5MM
187702535	EXP ANT MONO SCREW 5 X 35MM
187702532	EXP ANT MONO SCREW 5 X 32.5MM
187702530	EXP ANT MONO SCREW 5 X 30MM
187702527	EXP ANT MONO SCREW 5 X 27.5MM
187701009	EXP ANT WASHER
187701015	EXP ANT SET SCREW
187703120	PRE-CUT 5.50 X 120MM ROD
187703450	EXP ANT 5.50 X 450MM ROD
187703150	PRE-CUT 5.50 X 150MM ROD
187703140	PRE-CUT 5.50 X 140MM ROD
187703130	PRE-CUT 5.50 X 130MM ROD
187703045	EXP ANT P/C 5.50 X 45MM ROD
187703110	EXP ANT P/C 5.50 X 110MM ROD
187703100	PRE-CUT 5.50 X 100MM ROD
187703095	EXP ANT P/C 5.50 X 95MM ROD
187703090	EXP ANT P/C 5.50 X 90MM ROD
187703085	EXP ANT P/C 5.50 X 85MM ROD
187703080	EXP ANT P/C 5.50 X 80MM ROD
187703075	EXP ANT P/C 5.50 X 75MM ROD
187703070	EXP ANT P/C 5.50 X 70MM ROD
187703065	EXP ANT P/C 5.50 X 65MM ROD
187703060	EXP ANT P/C 5.50 X 60MM ROD
187703055	EXP ANT P/C 5.50 X 55MM ROD
187703050	PRE-CUT 5.50 X 50MM ROD
AUI10834	ALIF UI H 8MM 5DEG S
AUI71840	ALIF UI H 18MM 20DEG L
AUI71837	ALIF UI H 18MM 20DEG M
AUI71834	ALIF UI H 18MM 20DEG S
AUI71640	ALIF UI H 16MM 20DEG L
AUI71637	ALIF UI H 16MM 20DEG M
AUI71634	ALIF UI H 16MM 20DEG S
AUI71440	ALIF UI H 14MM 20DEG L
AUI71437	ALIF UI H 14MM 20DEG M
AUI71434	ALIF UI H 14MM 20DEG S
AUI71240	ALIF UI H 12MM 20DEG L
AUI71237	ALIF UI H 12MM 20DEG M
AUI71234	ALIF UI H 12MM 20DEG S
AUI51840	ALIF UI H 18MM 15DEG L
AUI51837	ALIF UI H 18MM 15DEG M
AUI51834	ALIF UI H 18MM 15DEG S
AUI51640	ALIF UI H 16MM 15DEG L
AUI51637	ALIF UI H 16MM 15DEG M
AUI51634	ALIF UI H 16MM 15DEG S
AUI51440	ALIF UI H 14MM 15DEG L
AUI51437	ALIF UI H 14MM 15DEG M
AUI51434	ALIF UI H 14MM 15DEG S
AUI51240	ALIF UI H 12MM 15DEG L
AUI51237	ALIF UI H 12MM 15DEG M
AUI51234	ALIF UI H 12MM 15DEG S
AUI51040	ALIF UI H 10MM 15DEG L
AUI51037	ALIF UI H 10MM 15DEG M
AUI51034	ALIF UI H 10MM 15DEG S
AUI31840	ALIF UI H 18MM 10DEG L
AUI31837	ALIF UI H 18MM 10DEG M
AUI31834	ALIF UI H 18MM 10DEG S
AUI31640	ALIF UI H 16MM 10DEG L
AUI31637	ALIF UI H 16MM 10DEG M
AUI31634	ALIF UI H 16MM 10DEG S
AUI31440	ALIF UI H 14MM 10DEG L
AUI31437	ALIF UI H 14MM 10DEG M
AUI31434	ALIF UI H 14MM 10DEG S
AUI31240	ALIF UI H 12MM 10DEG L
AUI31237	ALIF UI H 12MM 10DEG M
AUI31234	ALIF UI H 12MM 10DEG S
AUI31040	ALIF UI H 10MM 10DEG L
AUI31037	ALIF UI H 10MM 10DEG M
AUI31034	ALIF UI H 10MM 10DEG S
AUI11440	ALIF UI H 14MM 5DEG L
AUI11437	ALIF UI H 14MM 5DEG M
AUI11434	ALIF UI H 14MM 5DEG S
AUI11240	ALIF UI H 12MM 5DEG L
AUI11237	ALIF UI H 12MM 5DEG M
AUI11234	ALIF UI H 12MM 5DEG S
AUI11040	ALIF UI H 10MM 5DEG L
AUI11037	ALIF UI H 10MM 5DEG M
AUI11034	ALIF UI H 10MM 5DEG S
AUI10840	ALIF UI H 8MM 5DEG L
AUI10837	ALIF UI H 8MM 5DEG M
187210110	SWITCH PLATE, 2H, SMALL
187210330	SWITCH PLATE, 1H B, LARGE
187210320	SWITCH PLATE, 1H B, MEDIUM
187210310	SWITCH PLATE, 1H B, SMALL
187210230	SWITCH PLATE, 1H A, LARGE
187210220	SWITCH PLATE, 1H A, MEDIUM
187210210	SWITCH PLATE, 1H A, SMALL
187210130	SWITCH PLATE, 2H, LARGE
187210120	SWITCH PLATE, 2H, MEDIUM
08.825.100S	SYNCAGE EVO SPCR-SM 9MM HT/6DEG-STER
08.825.366S	SYNCAGE EVO SPCR-LG 19MM HT/18DEG-STER
08.825.365S	SYNCAGE EVO SPCR-LG 17MM HT/18DEG-STER
08.825.364S	SYNCAGE EVO SPCR-LG 15MM HT/18DEG-STER
08.825.363S	SYNCAGE EVO SPCR-LG 13.5MM HT/18DEG-STER
08.825.326S	SYNCAGE EVO SPCR-LG 19MM HT/14DEG-STER
08.825.325S	SYNCAGE EVO SPCR-LG 17MM HT/14DEG-STER
08.825.324S	SYNCAGE EVO SPCR-LG 15MM HT/14DEG-STER
08.825.323S	SYNCAGE EVO SPCR-LG 13.5MM HT/14DEG-STER
08.825.322S	SYNCAGE EVO SPCR-LG 12MM HT/14DEG-STER
08.825.316S	SYNCAGE EVO SPCR-LG 19MM HT/10DEG-STER
08.825.315S	SYNCAGE EVO SPCR-LG 17</t>
  </si>
  <si>
    <t>Subject to the terms and conditions of this PA, the Company shall offer the
Products to the Participants at the price stated in Tier 2 of Schedule A. For each Year following the first
Year, the Company shall offer the Products to the Customer at the Customer's eligible Tier of Schedule A
based upon NCP for the prior Year. To the extent a change in pricing is required, it will become effective
on a prospective basis within 30 days following the end of the prior Year. Refer to the List Price definition
in Section 7 below for any increases to List Price. The component pricing is firm for the term of this</t>
  </si>
  <si>
    <t>001018845~00056208.075</t>
  </si>
  <si>
    <t>Amendment To Product Agreement (Depuy Synthes Trauma)</t>
  </si>
  <si>
    <t xml:space="preserve">Amend PA DAO V2 01292024.docx </t>
  </si>
  <si>
    <t>60.111.475	GRAPHIC CASE LABEL SHEET FOR DSTL RAD S
60.010.472	LABL SHT INTER-LOCK SCRDRVRS T25/3.5 HEX
60.033.011	LABEL SHEET FRN OPEN/INSERT
60.037.011	TFNA COM SET GRAPHIC CASE LABEL SHEET
60.037.012	TFNA BASIC SET GRAPHIC CASE LABEL SHEET
60.107.009	LABEL PACK FOR 2.7/3.5 VA- LCP ELBOW SYS
60.108.045	LABEL SHEET K-WIRE ADAPTOR 03.108.040
60.111.488	LABEL SHEET F/ 2.4 VOLAR RIM DRP MODULE
60.111.905	LABEL PACK F/2.7 LCP ULNA OSTEO SYSTEM
60.112.035	LABELS FOR CLAVICLE PLATE SYSTEM
60.112.062	LABEL SHT 3.5 LCP LW BND MED DSTL TIB PL
60.116.155	LABEL SHEET FOR ALL EX NAIL INSTATION
60.116.156	LABEL SHEET ALL EX NL OPENING INSTATION
60.116.157	LABL SHT ALL ALFN-EX OPENING INSTATION
60.116.158	LABEL SHEET FOR LFN-EX OPENING INSTATION
60.116.159	LABEL SHEET RAFN-EX OPENING INSTATION
60.116.160	LABEL SHEET FOR TIB NL OPENING INSTATION
60.116.162	LABEL SHEET FOR REDUCTION INSTATION
60.116.163	LABEL SHEET FOR REAMING INSTRUMENTATION
60.116.164	LABEL SHEET FOR ALFN-EX INSRT INSTATION
60.116.165	LABEL SHEET FOR LFN-EX INSRT INSTATION
60.116.166	LABEL SHEET FOR RAFN-EX INSRT INSTATION
60.116.167	LABEL SHEET FOR TIBIA NL INSRT INSTATION
60.116.168	LABL SHT TIB NL OR SUPATLLR INSERTN INST
60.116.169	LABEL SHEET FOR ALL EX LCKNG INSTATION
60.116.185	BLANK LABEL SHEET
60.116.552	LABEL PACK 1.5 HCS SCRS &amp; INSTR MOD GC
60.116.553	LABEL PACK F/2.0 SCRS &amp; INSTR F/MOD GC
60.116.554	LABEL PACK F/2.4 SCRS &amp; INSTR F/MOD GC
60.116.555	LABEL PACK F/2.7 SCRS &amp; INSTR F/MOD GC
60.116.556	LABEL PACK F/3.0 SCRS &amp; INSTR F/MOD GC
60.116.557	LABEL PACK F/3.5 SCRS &amp; INSTR F/MOD GC
60.116.559	LABEL PACK F/4.0 SCRS &amp; INSTR F/MOD GC
60.116.560	LABEL PACK F/4.5 SCRS &amp; INSTR F/MOD GC
60.116.561	LABEL PACK F/5.0 SCRS &amp; INSTR F/MOD GC
60.116.562	LABEL PACK FOR MOD SM FRAG SET F/MOD GC
60.116.563	LABEL PACK TI MOD SM FRAG SET MOD GC
60.116.564	LABEL PACK F/MOD DSTL FIB SET F/MOD GC
60.116.565	LABEL PACK TI MOD DSTL FIB SET MOD GC
60.116.566	LABL PK MOD 2.4/3.0 3.5/4.0 CANN SCR SET
60.116.567	LABL PK TI MOD2.4/3.0/3.5/4.0 CAN SCR ST
60.116.568	LABEL PK MOD 1.5/2.4/ 3.0HCS SET/MOD GC
60.116.569	LABL PK TI MOD1.5/2.4 /3.0HCS ST MOD GC
60.116.570	LABEL PACK MOD MINI FRAG LCP SET MOD GC
60.116.571	LABL PK TI MOD MINI FRAG LCP SET MOD GC
60.116.575	LABEL PK 3.5 LW PROF SCR &amp; INSTR MOD GC
60.116.576	LABEL PACK F/2.7 METAPH SCR F/MOD GC
60.116.578	LABEL PACK F/2.7/3.5 VA ANKLE TRAUMA SYS
60.120.052	LABEL SHT TOMOFIX MEDL HGH TIB PL SM/GD
60.120.104	STAINLESS STEEL AND TITANIUM LABEL SHEET
60.124.203	LABEL SHEET 3.5 LCP PROX TIB PL/LOW BEND
60.211.011	2.4/2.7MM VA-LCP FORE/MIDFOOT LABEL PACK
60.211.032	LABEL PACK F/2.7 VA LCKNG CALC PL SET
60.211.033	LABEL PACK F/2.7 TI VA LCKNG CALC PL SET
60.211.034	LABEL PACK F/3.5 VA MED COLM FUSN PL SET
60.211.036	LABEL PACK FOR SCREW TARGETING CLAMP SET
60.311.003	LABEL SHEET F/LRG DISTR GRAPHIC CASE
60.333.011	SCR TYPE MARKER PUSH PIN / PART THRD SHT
60.333.012	SCR TYPE MARKER PUSH PIN / PART THRD LG
60.333.013	SCR TYPE MARKR PUSH PIN PART THRD SHT/LG
60.333.014	SCR TYPE MARKER PUSH PIN / PART THRD
60.333.015	SCREW TYPE MARKER PUSH PIN FULLY THRD
60.333.016	SCREW TYPE MARKER PUSH PIN
304.365.60	LABEL SHEET PK LRG SUPPLEMENTL SCR RACKS
304.388.60	LABEL SHEET PK SM SUPPLEMENTAL SCR RACKS
304.389.60	LABEL SHEET PK MINI SUPP SCRW RACK
394.052	WRIST COVER
690.315.12	LABEL SHEET PK LRG EX FIX CLAMPS
690.315.13	LABEL SHEET PACK FOR SCHANZ SCREWS
690.350.13	LABEL SHEET PACK SCHZ SCRS &amp; 8.0 RODS
690.465	LABEL SHEET FOR TI LRG FRAG LCP SCR CASE
690.485	LABEL SHEET FOR TFN
690.804	LBL SHEET 3.5 MED DSTL TIB PL O TAB CASE
690.821	LABL SHT DISTRACTION OSTEOGENESIS RINGS
690.822	LABL SHT DISTRACTN OSTEOGENEISS COMPNTS
690.829	LABL SHT DISTRACTN OSTEOGENESIS THRD ROD
690.861	LABEL SHEET FOR SD/HEXDRIVE SCRDRIVER
690.862	LABEL SHEET F/3.5 LCP DSTL HUM GC
60.116.306	LNTH MARKR PUSH PIN/6 FOR MOD GC -5PK
60.116.307	LNTH MARKR PUSH PIN/7 FOR MOD GC -5PK
60.116.308	LNTH MARKR PUSH PIN/8 FOR MOD GC -5PK
60.116.309	LNTH MARKR PUSH PIN/9 FOR MOD GC -5PK
60.116.310	LNTH MARKR PUSH PIN/10 FOR MOD GC -5PK
60.116.311	LNTH MARKR PUSH PIN/11 FOR MOD GC -5PK
60.116.312	LNTH MARKR PUSH PIN/12 FOR MOD GC -5PK
60.116.313	LNTH MARKR PUSH PIN/13 FOR MOD GC -5PK
60.116.314	LNTH MARKR PUSH PIN/14 FOR MOD GC -5PK
60.116.315	LNTH MARKR PUSH PIN/15 FOR MOD GC -5PK
60.116.316	LNTH MARKR PUSH PIN/16 FOR MOD GC -5PK
60.116.317	LNTH MARKR PUSH PIN/17 FOR MOD GC -5PK
60.116.318	LNTH MARKR PUSH PIN/18 FOR MOD GC -5PK
60.116.319	LNTH MARKR PUSH PIN/19 FOR MOD GC -5PK
60.116.320	LNTH MARKR PUSH PIN/20 FOR MOD GC -5PK
60.116.321	LNTH MARKR PUSH PIN/21 FOR MOD GC -5PK
60.116.322	LNTH MARKR PUSH PIN/22 FOR MOD GC -5PK
60.116.323	LNTH MARKR PUSH PIN/23 FOR MOD GC -5PK
60.116.324	LNTH MARKR PUSH PIN/24 FOR MOD GC-5PK
60.116.325	LNTH MARKR PUSH PIN/25 FOR MOD GC-5PK
60.116.326	LNTH MARKR PUSH PIN/26 FOR MOD GC-5PK
60.116.327	LNTH MARKR PUSH PIN/27 FOR MOD GC-5PK
60.116.328	LNTH MARKR PUSH PIN/28 FOR MOD GC-5PK
60.116.329	LNTH MARKR PUSH PIN/29 FOR MOD GC-5PK
60.116.330	LNTH MARKR PUSH PIN/30 FOR MOD GC-5PK
60.116.332	LNTH MARKR PUSH PIN/32 FOR MOD GC-5PK
60.116.334	LNTH MARKR PUSH PIN/34 FOR MOD GC-5PK
60.116.335	LNTH MARKR PUSH PIN/35 FOR MOD GC-5PK
60.116.336	LNTH MARKR PUSH PIN/36 FOR MOD GC-5PK
60.116.337	LNTH MARKR PUSH PIN/37 FOR MOD GC-5PK
60.116.338	LNTH MARKR PUSH PIN/38 FOR MOD GC-5PK
60.116.340	LNTH MARKR PUSH PIN/40 FOR MOD GC-5PK
60.116.342	LNTH MARKR PUSH PIN/42 FOR MOD GC-5PK
60.116.344	LNTH MARKR PUSH PIN/44 FOR MOD GC-5PK
60.116.345	LNTH MARKR PUSH PIN/45 FOR MOD GC-5PK
60.116.346	LNTH MARKR PUSH PIN/46 FOR MOD GC-5PK
60.116.347	LNTH MARKR PUSH PIN/47 FOR MOD GC-5PK
60.116.348	LNTH MARKR PUSH PIN/48 FOR MOD GC-5PK
60.116.350	LNTH MARKR PUSH PIN/50 FOR MOD GC-5PK
60.116.352	LNTH MARKR PUSH PIN/52 FOR MOD GC-5PK
60.116.354	LNTH MARKR PUSH PIN/54 FOR MOD GC-5PK
60.116.355	LNTH MARKR PUSH PIN/55 FOR MOD GC-5PK
60.116.356	LNTH MARKR PUSH PIN/56 FOR MOD GC-5PK
60.116.358	LNTH MARKR PUSH PIN/58 FOR MOD GC-5PK
60.116.360	LNTH MARKR PUSH PIN/60 FOR MOD GC-5PK
60.116.362	LNTH MARKR PUSH PIN/62 FOR MOD GC-5PK
60.116.364	LNTH MARKR PUSH PIN/64 FOR MOD GC-5PK
60.116.365	LNTH MARKR PUSH PIN/65 FOR MOD GC-5PK
60.116.366	LNTH MARKR PUSH PIN/66 FOR MOD GC-5PK
60.116.368	LNTH MARKR PUSH PIN/68 FOR MOD GC-5PK
60.116.370	LNTH MARKR PUSH PIN/70 FOR MOD GC-5PK
60.116.372	LNTH MARKR PUSH PIN/72 FOR MOD GC-5PK
60.116.374	LNTH MARKR PUSH PIN/74 FOR MOD GC-5PK
60.116.375	LNTH MARKR PUSH PIN/75 FOR MOD GC-5PK
60.116.376	LNTH MARKR PUSH PIN/76 FOR MOD GC-5PK
60.116.380	LNTH MARKR PUSH PIN/80 FOR MOD GC-5PK
60.116.385	LNTH MARKR PUSH PIN/85 FOR MOD GC-5PK
60.116.390	LNTH MARKR PUSH PIN/90 FOR MOD GC-5PK
60.116.395	LNTH MARKR PUSH PIN/95 FOR MOD GC-5PK
60.116.405	LNTH MARKR PUSH PIN/105 FOR MOD GC-5PK
60.116.410	LNTH MARKR PUSH PIN/110 FOR MOD GC-5PK
60.116.415	LNTH MARKR PUSH PIN/115 FOR MOD GC-5PK
60.116.420	LNTH MARKR PUSH PIN/120 FOR MOD GC-5PK
60.116.425	LNTH MARKR PUSH PIN/125 FOR MOD GC-5PK
60.116.430	LNTH MARKR PUSH PIN/130 FOR MOD GC-5PK
60.116.440	LNTH MARKR PUSH PIN/140 FOR MOD GC-5PK
60.116.445	LNTH MARKR PUSH PIN/145 FOR MOD GC-5PK
60.116.450	LNTH MARKR PUSH PIN/150 FOR MOD GC-5PK
60.116.451	LNTH MARKR PUSH PIN/BLANK /MOD GC-5PK
60.116.452	SCR TYPE PUSH PIN/BLANK FOR MOD GC-5PK
60.116.500	SCR TYPE PUSH PIN/16 THD FOR MOD GC-5PK
60.116.501	SCR TYPE PUSH PIN/32 THD FOR MOD GC-5PK
60.116.502	SCR TYPE PUSH PIN/FULL THD/MOD GC-5PK
60.116.503	SCR TYPE PUSH PIN/BUTTRESS F/MOD GC-5PK
60.116.504	SCR TYPE PUSH PIN/CANCELLOU/MOD GC-5PK
60.116.505	SCR TYPE PUSH PIN/CANN FOR MOD GC-5PK
60.116.506	SCR TYPE PUSH PIN/CONICAL F/MOD GC-5PK
60.116.507	SCR TYPE PUSH PIN/CORTEX FOR MOD GC-5PK
60.116.508	SCR TYPE PUSH PIN/HCS FOR MOD GC-5PK
60.116.509	SCR TYPE PUSH PIN/HCS 1.5 F/MOD GC-5PK
60.116.510	SCR TYPE PUSH PIN/HCS 2.0 F/ MOD GC-5PK
60.116.511	SCR TYPE PUSH PIN/HCS 2.4 F/MOD GC-5PK
60.116.512	SCR TYPE PUSH PIN/HCS 3.0 F/ MOD GC-5PK
60.116.513	SCR TYPE PUSH PIN/LCKNG FOR MOD GC-5PK
60.116.514	SCR TYPE PUSH PIN/LG THD FOR MOD GC-5PK
60.116.515	SCR TYPE PUSH PIN/PELVIC FOR MOD GC-5PK
60.116.516	SCR TYPE PUSH PIN/SELF DRILL MOD GC-5PK
60.116.517	SCR TYPE PUSH PIN/SELF TAP F/MOD GC-5PK
60.116.518	SCR TYPE PUSH PIN/SFT FOR MOD GC-5PK
60.116.519	SCR TYPE PUSH PIN/SHT THD F/ MOD GC-5PK
60.116.520	SCR TYPE PUSH PIN/MALLEOLAR MOD GC-5PK
60.116.521	SCR TYPE PUSH PIN/VAL FOR MOD GC-5PK
60.116.522	SCR TYPE PSH PIN/CANN VA SPH MOD GC-5PK
60.116.523	SCR TYPE PUSH PIN/CANN VAL F/MOD GC-5PK
60.116.525	SCR TYPE PUSH PIN/VA BUTT F/MOD GC-5PK
60.116.120	ASSEMBLY CLIP F/SCR RACK SHELL F/MOD GC
304.458	STOPPER DISTRACTN OSTEOGENSIS BOLT RACKS
03.130.277	SIL INSERT INLINE F/PL CUTETR 03.130.270
03.130.279	SILICONE INSERT F/PL CUTTER 03.130.271
395.781	PROTECTIVE CAPS 8.0 CARBON FIBER ROD-2PK
68.000.119	UNLCKNG TOOL F/SCR RACK SHELL F/MOD GC
03.311.061	NUT
NA0527	RACK FOR 60 STERILE TUBES SIZE M
306.470	IMPL TRAY FOR LCP DSTL RAD IMPL MODULE
6003	GONIOMETER FOR PRE-OPERATIVE PLANNER
03.311.081	SPACING WASHER 1MM
6002	REFILL TRACING PAD (75 SHT) PRE-OP PLANR
03.110.031	SILICONE WASHER GUIDE BLOCK ATTACH SCR
03.306.011	8MM PROTECTIVE CAP-2PK
H70	SPRING
60.116.527	SCR TYPE PUSH PIN/METAPH FOR MOD GC
60.116.528	SCR TYPE PUSH PIN/PART THRD FOR MOD GC
60.133.191	VA LCP CLAV LABEL SHEET FOR UNIV SM FRAG
02.111.304.01	1.25 KIRSCHNER WIRE WITH TROCAR TIP/80
60.104.014	3.5 LCP HK PL RETROFIT KIT OLEC PL TRAY
61.312.011	MAXFRAME(TM) LABEL SHEET
03.311.082	SPACING WASHER 2MM
03.311.084	SPACING WASHER 4MM
585	TENSION DISK
219.97	WASHER 4.5MM
60.116.526	3.5LWPRO SCR TYP MRKR PSH PN SET MOD GC
319.44	HOLDING CLIP FOR PLATES &amp; WASHERS
219.91	WASHER 10.0MM
314.16	SMALL HEXAGONAL KEY FOR 2.7 &amp; SMALL SCRS
204.228	3.5MM SHAFT SCREW 28MM
204.230	3.5MM SHAFT SCREW 30MM
204.232	3.5MM SHAFT SCREW 32MM
204.234	3.5MM SHAFT SCREW 34MM
204.236	3.5MM SHAFT SCREW 36MM
204.238	3.5MM SHAFT SCREW 38MM
204.240	3.5MM SHAFT SCREW 40MM
292.621	1.25 THRD GD WIRE-SPADE PT BOTH ENDS 150
292.623	1.1MM NON-THREADED GUIDE WIRE 150MM
292.727	1.6 NONTHRD GD WIRE-SPADE PT ONE END 150
900.721	1.25MM NON-THREADED GUIDE WIRE 150MM
219.98	WASHER 7.0MM
419.98	WASHER 7.0MM
292.722	1.6 NON-COLORD THRD GD WIRE-SPADE PT 150
419.972	TITANIUM WASHER 6.5MM
03.311.055	CONNECTION BOLT
292.622	1.1MM THREADED GUIDE WIRE 150MM
900.722	1.25MM THREADED GUIDE WIRE 150MM
404.216	3.5MM TI SHAFT SCREW 16MM
404.218	3.5MM TI SHAFT SCREW 18MM
404.228	3.5MM TI SHAFT SCREW 28MM
404.230	3.5MM TI SHAFT SCREW 30MM
404.232	3.5MM TI SHAFT SCREW 32MM
03.311.056	CONNECTION BOLT/LONG
394.97	PROTECT CAP 11.0 TUBE/CRBN FIBR ROD-10PK
219.99	WASHER 13.0MM
419.99	WASHER 13.0MM
60.116.054	MOD ADAPTERS 1 HIGH MODS/F/MOD GC -2PK
02.111.501.01S	1.25 PL RED WIRE/THRD TIP LRG STOP/150-S
292.72	1.6MM THREADED GUIDE WIRE 150MM
690.349.13	CASE BRACKETS F/ SHORTER SCHANZ SCR-4PK
219.96	NUT FOR 4.5MM CORTEX SCREWS
219.972	WASHER 6.5MM
419.91	TI WASHER 10.0MM
03.164.029	TEMPORARY FIXATION WIRE Ø2.5 LENGTH 220
03.164.030	TEMPORARY FIXATION WIRE Ø2.5 LENGTH 150
306.84	BURGUNDY CORNER POST F/75MM HIGH CASE
04.206.010	3.5 TI CRTX SCR/LOW PROF HD ST/HD/10
04.206.012	3.5 TI CRTX SCR/LOW PROF HD ST/HD/12
04.206.014	3.5 TI CRTX SCR/LOW PROF HD ST/HD/14
04.206.016	3.5 TI CRTX SCR/LOW PROF HD ST/HD/16
04.206.018	3.5 TI CRTX SCR/LOW PROF HD ST/HD/18
04.206.020	3.5 TI CRTX SCR/LOW PROF HD ST/HD/20
04.206.022	3.5 TI CRTX SCR/LOW PROF HD ST/HD/22
04.206.024	3.5 TI CRTX SCR/LOW PROF HD ST/HD/24
04.206.026	3.5 TI CRTX SCR/LOW PROF HD ST/HD/26
04.206.028	3.5 TI CRTX SCR/LOW PROF HD ST/HD/28
04.206.030	3.5 TI CRTX SCR/LOW PROF HD ST/HD/30
04.206.034	3.5 TI CRTX SCR/LOW PROF HD ST/HD/34
04.206.036	3.5 TI CRTX SCR/LOW PROF HD ST/HD/36
04.206.038	3.5 TI CRTX SCR/LOW PROF HD ST/HD/38
04.206.040	3.5 TI CRTX SCR/LOW PROF HD ST/HD/40
04.206.042	3.5 TI CRTX SCR/LOW PROF HD ST/HD/42
04.206.044	3.5 TI CRTX SCR/LOW PROF HD ST/HD/44
04.206.046	3.5 TI CRTX SCR/LOW PROF HD ST/HD/46
04.206.048	3.5 TI CRTX SCR/LOW PROF HD ST/HD/48
02.226.001	1.6 NON-THRD GUIDE WIRE TROCAR POINT 220
419.96	NUT FOR 4.5MM TI CORTEX SCREWS
204.010	3.5MM CORTEX SCREW 10MM
204.012	3.5MM CORTEX SCREW 12MM
204.014	3.5MM CORTEX SCREW 14MM
204.016	3.5MM CORTEX SCREW 16MM
204.018	3.5MM CORTEX SCREW 18MM
204.020	3.5MM CORTEX SCREW 20MM
204.022	3.5MM CORTEX SCREW 22MM
204.024	3.5MM CORTEX SCREW 24MM
204.026	3.5MM CORTEX SCREW 26MM
204.028	3.5MM CORTEX SCREW 28MM
204.030	3.5MM CORTEX SCREW 30MM
204.032	3.5MM CORTEX SCREW 32MM
204.034	3.5MM CORTEX SCREW 34MM
204.036	3.5MM CORTEX SCREW 36MM
204.038	3.5MM CORTEX SCREW 38MM
204.040	3.5MM CORTEX SCREW 40MM
204.042	3.5MM CORTEX SCREW 42MM
204.044	3.5MM CORTEX SCREW 44MM
204.045	3.5MM CORTEX SCREW 45MM
204.046	3.5MM CORTEX SCREW 46MM
204.048	3.5MM CORTEX SCREW 48MM
204.050	3.5MM CORTEX SCREW 50MM
204.055	3.5MM CORTEX SCREW 55MM
204.060	3.5MM CORTEX SCREW 60MM
204.810	3.5MM CORTEX SCREW SELF-TAPPING 10MM
204.812	3.5MM CORTEX SCREW SELF-TAPPING 12MM
204.814	3.5MM CORTEX SCREW SELF-TAPPING 14MM
204.816	3.5MM CORTEX SCREW SELF-TAPPING 16MM
204.818	3.5MM CORTEX SCREW SELF-TAPPING 18MM
204.820	3.5MM CORTEX SCREW SELF-TAPPING 20MM
204.822	3.5MM CORTEX SCREW SELF-TAPPING 22MM
204.824	3.5MM CORTEX SCREW SELF-TAPPING 24MM
204.826	3.5MM CORTEX SCREW SELF-TAPPING 26MM
204.828	3.5MM CORTEX SCREW SELF-TAPPING 28MM
204.830	3.5MM CORTEX SCREW SELF-TAPPING 30MM
204.832	3.5MM CORTEX SCREW SELF-TAPPING 32MM
204.834	3.5MM CORTEX SCREW SELF-TAPPING 34MM
204.836	3.5MM CORTEX SCREW SELF-TAPPING 36MM
204.838	3.5MM CORTEX SCREW SELF-TAPPING 38MM
204.840	3.5MM CORTEX SCREW SELF-TAPPING 40MM
204.842	3.5MM CORTEX SCREW SELF-TAPPING 42MM
204.844	3.5MM CORTEX SCREW SELF-TAPPING 44MM
204.845	3.5MM CORTEX SCREW SELF-TAPPING 45MM
204.846	3.5MM CORTEX SCREW SELF-TAPPING 46MM
204.848	3.5MM CORTEX SCREW SELF-TAPPING 48MM
204.850	3.5MM CORTEX SCREW SELF-TAPPING 50MM
204.855	3.5MM CORTEX SCREW SELF-TAPPING 55MM
204.860	3.5MM CORTEX SCREW SELF-TAPPING 60MM
204.865	3.5MM CORTEX SCREW SELF-TAPPING 65MM
204.870	3.5MM CORTEX SCREW SELF-TAPPING 70MM
204.875	3.5MM CORTEX SCREW SELF-TAPPING 75MM
204.880	3.5MM CORTEX SCREW SELF-TAPPING 80MM
204.885	3.5MM CORTEX SCREW SELF-TAPPING 85MM
204.890	3.5MM CORTEX SCREW SELF-TAPPING 90MM
204.895	3.5MM CORTEX SCREW SELF-TAPPING 95MM
204.900	3.5MM CORTEX SCREW SELF-TAPPING 100MM
204.905	3.5MM CORTEX SCREW SELF-TAPPING 105MM
204.910	3.5MM CORTEX SCREW SELF-TAPPING 110MM
02.226.000	1.6 THREADED GUIDE WIRE TROCAR POINT 220
02.200.010	3.5 SD CORTEX SCREW SELF-TAPPING 10
02.200.012	3.5 SD CORTEX SCREW SELF-TAPPING 12
02.200.014	3.5 SD CORTEX SCREW SELF-TAPPING 14
02.200.016	3.5 SD CORTEX SCREW SELF-TAPPING 16
02.200.018	3.5 SD CORTEX SCREW SELF-TAPPING 18
02.200.020	3.5 SD CORTEX SCREW SELF-TAPPING 20
02.200.022	3.5 SD CORTEX SCREW SELF-TAPPING 22
02.200.024	3.5 SD CORTEX SCREW SELF-TAPPING 24
02.200.026	3.5 SD CORTEX SCREW SELF-TAPPING 26
02.200.028	3.5 SD CORTEX SCREW SELF-TAPPING 28
02.200.030	3.5 SD CORTEX SCREW SELF-TAPPING 30
02.200.032	3.5 SD CORTEX SCREW SELF-TAPPING 32
02.200.034	3.5 SD CORTEX SCREW SELF-TAPPING 34
02.200.036	3.5 SD CORTEX SCREW SELF-TAPPING 36
02.200.038	3.5 SD CORTEX SCREW SELF-TAPPING 38
02.200.040	3.5 SD CORTEX SCREW SELF-TAPPING 40
02.200.042	3.5 SD CORTEX SCREW SELF-TAPPING 42
02.200.044	3.5 SD CORTEX SCREW SELF-TAPPING 44
02.200.045	3.5 SD CORTEX SCREW SELF-TAPPING 45
02.200.046	3.5 SD CORTEX SCREW SELF-TAPPING 46
02.200.048	3.5 SD CORTEX SCREW SELF-TAPPING 48
02.200.050	3.5 SD CORTEX SCREW SELF-TAPPING 50
02.200.055	3.5 SD CORTEX SCREW SELF-TAPPING 55
02.200.060	3.5 SD CORTEX SCREW SELF-TAPPING 60
02.200.065	3.5 SD CORTEX SCREW SELF-TAPPING 65
02.200.070	3.5 SD CORTEX SCREW SELF-TAPPING 70
02.200.075	3.5 SD CORTEX SCREW SELF-TAPPING 75
02.200.080	3.5 SD CORTEX SCREW SELF-TAPPING 80
02.200.085	3.5 SD CORTEX SCREW SELF-TAPPING 85
02.200.090	3.5 SD CORTEX SCREW SELF-TAPPING 90
02.200.095	3.5 SD CORTEX SCREW SELF-TAPPING 95
292.656	2.0 NONTHRD GD WIRE-SPADE PT ONE END 230
OT-1	SPEEDSHIFT OFFSET SIZING TOOL
SG-1	SPEED COMPRESSION IMPLANT SIZING GUIDE
SG-2	SPEEDTRIAD IMPLANT SIZING GUIDE
SG-3	SPEEDARC IMPLANT SIZING GUIDE
03.010.025	2.0MM GUIDE WIRE 240MM
292.652	2.0 NON-COLORD THRD GD WIRE-SPADE PT 230
292.721	1.6 THRD GD WIRE-SPADE PT BOTH ENDS 150
406.414	4.0MM TI CORTEX SCREW SELF-TAPPING/14MM
406.416	4.0MM TI CORTEX SCREW SELF-TAPPING/16MM
406.418	4.0MM TI CORTEX SCREW SELF-TAPPING/18MM
406.422	4.0MM TI CORTEX SCREW SELF-TAPPING/22MM
406.424	4.0MM TI CORTEX SCREW SELF-TAPPING/24MM
406.426	4.0MM TI CORTEX SCREW SELF-TAPPING/26MM
406.428	4.0MM TI CORTEX SCREW SELF-TAPPING/28MM
404.810	3.5MM TI CORTEX SCREW SELF-TAPPING 10MM
404.812	3.5MM TI CORTEX SCREW SELF-TAPPING 12MM
404.814	3.5MM TI CORTEX SCREW SELF-TAPPING 14MM
404.816	3.5MM TI CORTEX SCREW SELF-TAPPING 16MM
404.818	3.5MM TI CORTEX SCREW SELF-TAPPING 18MM
404.820	3.5MM TI CORTEX SCREW SELF-TAPPING 20MM
404.822	3.5MM TI CORTEX SCREW SELF-TAPPING 22MM
404.824	3.5MM TI CORTEX SCREW SELF-TAPPING 24MM
404.826	3.5MM TI CORTEX SCREW SELF-TAPPING 26MM
404.828	3.5MM TI CORTEX SCREW SELF-TAPPING 28MM
404.830	3.5MM TI CORTEX SCREW SELF-TAPPING 30MM
404.832	3.5MM TI CORTEX SCREW SELF-TAPPING 32MM
404.834	3.5MM TI CORTEX SCREW SELF-TAPPING 34MM
404.836	3.5MM TI CORTEX SCREW SELF-TAPPING 36MM
404.838	3.5MM TI CORTEX SCREW SELF-TAPPING 38MM
404.840	3.5MM TI CORTEX SCREW SELF-TAPPING 40MM
404.845	3.5MM TI CORTEX SCREW SELF-TAPPING 45MM
404.850	3.5MM TI CORTEX SCREW SELF-TAPPING 50MM
404.855	3.5MM TI CORTEX SCREW SELF-TAPPING 55MM
292.65	2.0MM THREADED GUIDE WIRE 230MM
306.85	BURGUNDY CORNER POST F/40MM HIGH CASE
306.86	BURGUNDY CORNER POST FOR 56 HIGH GC
392.18	PROTECTIVE CAPS KIRSCHNER WIRES-10PK
02.227.001	2.8 NON-THRD GUIDE WIRE TROCAR POINT 300
04.353.900S	WASHER FOR 2.0 CANN SCREW-STER
04.353.901S	WASHER FOR 2.5 CANN SCREW-STER
04.353.902S	WASHER FOR 3.0 CANN SCREW-STER
04.353.903S	WASHER FOR 3.5 CANN SCREW-STER
04.353.904S	WASHER FOR 4.0 CANN SCREW-STER
04.353.905S	WASHER FOR 4.5 CANN SCREW-STER
04.353.906S	WASHER FOR 5.5 CANN SCREW-STER
04.353.907S	WASHER FOR 6.5 CANN SCREW-STER
04.353.908S	WASHER FOR 7.5 CANN SCREW-STER
03.108.005	2.8MM KIRSCHNER WIRE SPADE POINT 200MM
498.822S	TITANIUM CABLE CRIMP-STERILE
04.200.010	3.5 TI SD CORTEX SCREW SELF-TAPPING 10
04.200.012	3.5 TI SD CORTEX SCREW SELF-TAPPING 12
04.200.014	3.5 TI SD CORTEX SCREW SELF-TAPPING 14
04.200.016	3.5 TI SD CORTEX SCREW SELF-TAPPING 16
04.200.018	3.5 TI SD CORTEX SCREW SELF-TAPPING 18
04.200.020	3.5 TI SD CORTEX SCREW SELF-TAPPING 20
04.200.022	3.5 TI SD CORTEX SCREW SELF-TAPPING 22
04.200.024	3.5 TI SD CORTEX SCREW SELF-TAPPING 24
04.200.026	3.5 TI SD CORTEX SCREW SELF-TAPPING 26
04.200.028	3.5 TI SD CORTEX SCREW SELF-TAPPING 28
04.200.030	3.5 TI SD CORTEX SCREW SELF-TAPPING 30
04.200.032	3.5 TI SD CORTEX SCREW SELF-TAPPING 32
04.200.034	3.5 TI SD CORTEX SCREW SELF-TAPPING 34
04.200.036	3.5 TI SD CORTEX SCREW SELF-TAPPING 36
04.200.038	3.5 TI SD CORTEX SCREW SELF-TAPPING 38
04.200.040	3.5 TI SD CORTEX SCREW SELF-TAPPING 40
04.200.042	3.5 TI SD CORTEX SCREW SELF-TAPPING 42
04.200.044	3.5 TI SD CORTEX SCREW SELF-TAPPING 44
04.200.045	3.5 TI SD CORTEX SCREW SELF-TAPPING 45
04.200.046	3.5 TI SD CORTEX SCREW SELF-TAPPING 46
04.200.048	3.5 TI SD CORTEX SCREW SELF-TAPPING 48
04.200.050	3.5 TI SD CORTEX SCREW SELF-TAPPING 50
04.200.055	3.5 TI SD CORTEX SCREW SELF-TAPPING 55
04.200.060	3.5 TI SD CORTEX SCREW SELF-TAPPING 60
214.814	4.5MM CORTEX SCREW SELF-TAPPING 14MM
214.816	4.5MM CORTEX SCREW SELF-TAPPING 16MM
214.818	4.5MM CORTEX SCREW SELF-TAPPING 18MM
214.820	4.5MM CORTEX SCREW SELF-TAPPING 20MM
214.822	4.5MM CORTEX SCREW SELF-TAPPING 22MM
214.824	4.5MM CORTEX SCREW SELF-TAPPING 24MM
214.826	4.5MM CORTEX SCREW SELF-TAPPING 26MM
214.828	4.5MM CORTEX SCREW SELF-TAPPING 28MM
214.830	4.5MM CORTEX SCREW SELF-TAPPING 30MM
214.832	4.5MM CORTEX SCREW SELF-TAPPING 32MM
214.834	4.5MM CORTEX SCREW SELF-TAPPING 34MM
214.836	4.5MM CORTEX SCREW SELF-TAPPING 36MM
214.838	4.5MM CORTEX SCREW SELF-TAPPING 38MM
214.840	4.5MM CORTEX SCREW SELF-TAPPING 40MM
214.842	4.5MM CORTEX SCREW SELF-TAPPING 42MM
214.844	4.5MM CORTEX SCREW SELF-TAPPING 44MM
214.846	4.5MM CORTEX SCREW SELF-TAPPING 46MM
214.848	4.5MM CORTEX SCREW SELF-TAPPING 48MM
214.850	4.5MM CORTEX SCREW SELF-TAPPING 50MM
214.852	4.5MM CORTEX SCREW SELF-TAPPING 52MM
214.854	4.5MM CORTEX SCREW SELF-TAPPING 54MM
214.856	4.5MM CORTEX SCREW SELF-TAPPING 56MM
214.858	4.5MM CORTEX SCREW SELF-TAPPING 58MM
214.860	4.5MM CORTEX SCREW SELF-TAPPING 60MM
214.862	4.5MM CORTEX SCREW SELF-TAPPING 62MM
214.864	4.5MM CORTEX SCREW SELF-TAPPING 64MM
214.866	4.5MM CORTEX SCREW SELF-TAPPING 66MM
214.868	4.5MM CORTEX SCREW SELF-TAPPING 68MM
214.870	4.5MM CORTEX SCREW SELF-TAPPING 70MM
214.872	4.5MM CORTEX SCREW SELF-TAPPING 72MM
418.100	6.5 TI CANCELLOUS  SCREW FULLY THRD 100
418.110	6.5 TI CANCELLOUS  SCREW FULLY THRD/110
03.019.026	2.5MM GUIDE ROD W/STOP TROCAR TIP/230MM
206.010	4.0 CANCELLOUS BONE SCREW FULLY THRD/10
206.012	4.0 CANCELLOUS BONE SCREW FULLY THRD/12
206.014	4.0 CANCELLOUS BONE SCREW FULLY THRD/14
206.016	4.0 CANCELLOUS BONE SCREW FULLY THRD/16
206.018	4.0 CANCELLOUS BONE SCREW FULLY THRD/18
206.020	4.0 CANCELLOUS BONE SCREW FULLY THRD/20
206.022	4.0 CANCELLOUS BONE SCREW FULLY THRD/22
206.024	4.0 CANCELLOUS BONE SCREW FULLY THRD/24
206.026	4.0 CANCELLOUS BONE SCREW FULLY THRD/26
206.028	4.0 CANCELLOUS BONE SCREW FULLY THRD/28
206.030	4.0 CANCELLOUS BONE SCREW FULLY THRD/30
206.032	4.0 CANCELLOUS BONE SCREW FULLY THRD/32
206.035	4.0 CANCELLOUS BONE SCREW FULLY THRD/35
206.036	4.0 CANCELLOUS BONE SCREW FULLY THRD/36
206.040	4.0 CANCELLOUS BONE SCREW FULLY THRD/40
206.045	4.0 CANCELLOUS BONE SCREW FULLY THRD/45
206.050	4.0 CANCELLOUS BONE SCREW FULLY THRD/50
206.055	4.0 CANCELLOUS BONE SCREW FULLY THRD/55
206.060	4.0 CANCELLOUS BONE SCREW FULLY THRD/60
207.010	4.0 CANCELLOUS  SCREW PARTIALLY THRD/10
207.012	4.0 CANCELLOUS  SCREW PARTIALLY THRD/12
207.014	4.0 CANCELLOUS  SCREW PARTIALLY THRD/14
207.016	4.0 CANCELLOUS  SCREW PARTIALLY THRD/16
207.018	4.0 CANCELLOUS  SCREW PARTIALLY THRD/18
207.020	4.0 CANCELLOUS  SCREW PARTIALLY THRD/20
207.022	4.0 CANCELLOUS  SCREW PARTIALLY THRD/22
207.024	4.0 CANCELLOUS  SCREW PARTIALLY THRD/24
207.026	4.0 CANCELLOUS  SCREW PARTIALLY THRD/26
207.028	4.0 CANCELLOUS  SCREW PARTIALLY THRD/28
207.030	4.0 CANCELLOUS  SCREW PARTIALLY THRD/30
207.035	4.0 CANCELLOUS  SCREW PARTIALLY THRD/35
207.040	4.0 CANCELLOUS  SCREW PARTIALLY THRD/40
207.045	4.0 CANCELLOUS  SCREW PARTIALLY THRD/45
207.050	4.0 CANCELLOUS  SCREW PARTIALLY THRD/50
207.055	4.0 CANCELLOUS  SCREW PARTIALLY THRD/55
207.060	4.0 CANCELLOUS  SCREW PARTIALLY THRD/60
900.601	1.6MM DRILL TIP GUIDE WIRE 150MM
02.113.001	1.6MM DRILL TIP GUIDE WIRE 200MM
206.414	4.0MM CORTEX SCREW SELF-TAPPING 14MM
206.416	4.0MM CORTEX SCREW SELF-TAPPING 16MM
206.418	4.0MM CORTEX SCREW SELF-TAPPING 18MM
206.420	4.0MM CORTEX SCREW SELF-TAPPING 20MM
206.422	4.0MM CORTEX SCREW SELF-TAPPING 22MM
206.424	4.0MM CORTEX SCREW SELF-TAPPING 24MM
206.426	4.0MM CORTEX SCREW SELF-TAPPING 26MM
206.428	4.0MM CORTEX SCREW SELF-TAPPING 28MM
206.430	4.0MM CORTEX SCREW SELF-TAPPING 30MM
206.432	4.0MM CORTEX SCREW SELF-TAPPING 32MM
206.434	4.0MM CORTEX SCREW SELF-TAPPING 34MM
206.436	4.0MM CORTEX SCREW SELF-TAPPING 36MM
206.438	4.0MM CORTEX SCREW SELF-TAPPING 38MM
206.440	4.0MM CORTEX SCREW SELF-TAPPING 40MM
206.442	4.0MM CORTEX SCREW SELF-TAPPING 42MM
206.444	4.0MM CORTEX SCREW SELF-TAPPING 44MM
206.446	4.0MM CORTEX SCREW SELF-TAPPING 46MM
206.448	4.0MM CORTEX SCREW SELF-TAPPING 48MM
206.450	4.0MM CORTEX SCREW SELF-TAPPING 50MM
206.452	4.0MM CORTEX SCREW SELF-TAPPING 52MM
206.454	4.0MM CORTEX SCREW SELF-TAPPING 54MM
206.456	4.0MM CORTEX SCREW SELF-TAPPING 56MM
206.458	4.0MM CORTEX SCREW SELF-TAPPING 58MM
206.460	4.0MM CORTEX SCREW SELF-TAPPING 60MM
206.465	4.0MM CORTEX SCREW SELF-TAPPING 65MM
206.470	4.0MM CORTEX SCREW SELF-TAPPING 70MM
204.065	3.5MM CORTEX SCREW 65MM
204.070	3.5MM CORTEX SCREW 70MM
204.075	3.5MM CORTEX SCREW 75MM
204.080	3.5MM CORTEX SCREW 80MM
204.085	3.5MM CORTEX SCREW 85MM
204.090	3.5MM CORTEX SCREW 90MM
204.095	3.5MM CORTEX SCREW 95MM
204.100	3.5MM CORTEX SCREW 100MM
204.105	3.5MM CORTEX SCREW 105MM
204.110	3.5MM CORTEX SCREW 110MM
204.115	3.5MM CORTEX SCREW 115MM
204.120	3.5MM CORTEX SCREW 120MM
293.35	3.5MM STEINMANN PIN 120MM
293.36	3.5MM STEINMANN PIN 150MM
293.40	4.0MM STEINMANN PIN 150MM
293.41	4.0MM STEINMANN PIN 180MM
293.42	4.0MM STEINMANN PIN 200MM
329.55	BENDING TEMPL 5 HOLES FOR 2.7 &amp; 3.5 PLS
329.57	BENDING TEMPL 7 HOLES FOR 2.7 &amp; 3.5 PLS
204.640	3.5 PELVIC CORTEX SCREW SELF-TAPPING 40
204.645	3.5 PELVIC CORTEX SCREW SELF-TAPPING 45
204.650	3.5 PELVIC CORTEX SCREW SELF-TAPPING 50
204.655	3.5 PELVIC CORTEX SCREW SELF-TAPPING 55
204.660	3.5 PELVIC CORTEX SCREW SELF-TAPPING 60
204.665	3.5 PELVIC CORTEX SCREW SELF-TAPPING 65
204.670	3.5 PELVIC CORTEX SCREW SELF-TAPPING 70
204.675	3.5 PELVIC CORTEX SCREW SELF-TAPPING 75
204.680	3.5 PELVIC CORTEX SCREW SELF-TAPPING 80
204.685	3.5 PELVIC CORTEX SCREW SELF-TAPPING 85
204.690	3.5 PELVIC CORTEX SCREW SELF-TAPPING 90
204.695	3.5 PELVIC CORTEX SCREW SELF-TAPPING 95
204.700	3.5 PELVIC CORTEX SCREW SELF-TAPPING 100
204.705	3.5 PELVIC CORTEX SCREW SELF-TAPPING 105
204.710	3.5 PELVIC CORTEX SCREW SELF-TAPPING 110
204.715	3.5 PELVIC CORTEX SCREW SELF-TAPPING 115
204.720	3.5 PELVIC CORTEX SCREW SELF-TAPPING 120
204.725	3.5 PELVIC CORTEX SCREW SELF-TAPPING 125
02.200.120	3.5 SD CORTEX SCREW SELF-TAPPING 120
02.200.125	3.5 SD CORTEX SCREW SELF-TAPPING 125
292.68	2.8 THRD GUIDE WIRE- TROCAR POINT 300
292.651	2.0 THRD GD WIRE-SPADE PT BOTH ENDS 230
395.60	4.0MM CARBON FIBER ROD 60MM
395.61	4.0MM CARBON FIBER ROD 80MM
395.62	4.0MM CARBON FIBER ROD 100MM
395.63	4.0MM CARBON FIBER ROD 120MM
414.814	4.5MM TI CORTEX SCREW SELF-TAPPING 14MM
414.816	4.5MM TI CORTEX SCREW SELF-TAPPING 16MM
414.818	4.5MM TI CORTEX SCREW SELF-TAPPING 18MM
414.820	4.5MM TI CORTEX SCREW SELF-TAPPING 20MM
414.822	4.5MM TI CORTEX SCREW SELF-TAPPING 22MM
414.824	4.5MM TI CORTEX SCREW SELF-TAPPING 24MM
414.826	4.5MM TI CORTEX SCREW SELF-TAPPING 26MM
414.828	4.5MM TI CORTEX SCREW SELF-TAPPING 28MM
414.830	4.5MM TI CORTEX SCREW SELF-TAPPING 30MM
414.832	4.5MM TI CORTEX SCREW SELF-TAPPING 32MM
414.834	4.5MM TI CORTEX SCREW SELF-TAPPING 34MM
414.836	4.5MM TI CORTEX SCREW SELF-TAPPING 36MM
414.838	4.5MM TI CORTEX SCREW SELF-TAPPING 38MM
414.840	4.5MM TI CORTEX SCREW SELF-TAPPING 40MM
414.842	4.5MM TI CORTEX SCREW SELF-TAPPING 42MM
414.844	4.5MM TI CORTEX SCREW SELF-TAPPING 44MM
414.846	4.5MM TI CORTEX SCREW SELF-TAPPING 46MM
414.848	4.5MM TI CORTEX SCREW SELF-TAPPING 48MM
414.850	4.5MM TI CORTEX SCREW SELF-TAPPING 50MM
414.852	4.5MM TI CORTEX SCREW SELF-TAPPING 52MM
414.854	4.5MM TI CORTEX SCREW SELF-TAPPING 54MM
414.856	4.5MM TI CORTEX SCREW SELF-TAPPING 56MM
414.858	4.5MM TI CORTEX SCREW SELF-TAPPING 58MM
414.860	4.5MM TI CORTEX SCREW SELF-TAPPING 60MM
414.862	4.5MM TI CORTEX SCREW SELF-TAPPING 62MM
414.864	4.5MM TI CORTEX SCREW SELF-TAPPING 64MM
414.866	4.5MM TI CORTEX SCREW SELF-TAPPING 66MM
414.868	4.5MM TI CORTEX SCREW SELF-TAPPING 68MM
414.870	4.5MM TI CORTEX SCREW SELF-TAPPING 70MM
414.872	4.5MM TI CORTEX SCREW SELF-TAPPING 72MM
02.200.115	3.5 SD CORTEX SCREW SELF-TAPPING 115
60.116.013	ASSEMBLY SCRS MOD SHELL F/MOD GC-5PK
292.699	2.0MM KIRSCHNER WIRE THREADED SPADE POIN
02.200.100	3.5 SD CORTEX SCREW SELF-TAPPING 100
02.200.105	3.5 SD CORTEX SCREW SELF-TAPPING 105
02.200.110	3.5 SD CORTEX SCREW SELF-TAPPING 110
357.039	2.8MM GUIDE WIRE 350MM
02.111.902.01	2.0MM KIRSCHNER WIRE W/ DRILL TIP/100MM
02.111.903.01	2.0MM K-WIRE W/DRILL TIP-150MM
406.420	4.0MM TI CORTEX SCREW SELF-TAPPING/20MM
406.430	4.0MM TI CORTEX SCREW SELF-TAPPING/30MM
406.432	4.0MM TI CORTEX SCREW SELF-TAPPING/32MM
406.434	4.0MM TI CORTEX SCREW SELF-TAPPING/34MM
406.436	4.0MM TI CORTEX SCREW SELF-TAPPING/36MM
406.438	4.0MM TI CORTEX SCREW SELF-TAPPING/38MM
406.440	4.0MM TI CORTEX SCREW SELF-TAPPING/40MM
406.442	4.0MM TI CORTEX SCREW SELF-TAPPING/42MM
406.444	4.0MM TI CORTEX SCREW SELF-TAPPING/44MM
406.446	4.0MM TI CORTEX SCREW SELF-TAPPING/46MM
406.448	4.0MM TI CORTEX SCREW SELF-TAPPING/48MM
406.450	4.0MM TI CORTEX SCREW SELF-TAPPING/50MM
406.452	4.0MM TI CORTEX SCREW SELF-TAPPING/52MM
406.454	4.0MM TI CORTEX SCREW SELF-TAPPING/54MM
406.456	4.0MM TI CORTEX SCREW SELF-TAPPING/56MM
406.458	4.0MM TI CORTEX SCREW SELF-TAPPING/58MM
406.460	4.0MM TI CORTEX SCREW SELF-TAPPING/60MM
406.465	4.0MM TI CORTEX SCREW SELF-TAPPING/65MM
406.470	4.0MM TI CORTEX SCREW SELF-TAPPING/70MM
03.311.090	SPHERICAL WASHER COUPLE
206.065	4.0 CANCELLOUS BONE SCREW FULLY THRD/65
206.070	4.0 CANCELLOUS BONE SCREW FULLY THRD/70
206.075	4.0 CANCELLOUS BONE SCREW FULLY THRD/75
206.080	4.0 CANCELLOUS BONE SCREW FULLY THRD/80
206.085	4.0 CANCELLOUS BONE SCREW FULLY THRD/85
206.090	4.0 CANCELLOUS BONE SCREW FULLY THRD/90
206.095	4.0 CANCELLOUS BONE SCREW FULLY THRD/95
206.100	4.0 CANCELLOUS BONE SCREW FULLY THRD/100
207.065	4.0 CANCELLOUS  SCREW PARTIALLY THRD/65
207.070	4.0 CANCELLOUS  SCREW PARTIALLY THRD/70
207.075	4.0 CANCELLOUS  SCREW PARTIALLY THRD/75
207.080	4.0 CANCELLOUS  SCREW PARTIALLY THRD/80
207.085	4.0 CANCELLOUS  SCREW PARTIALLY THRD/85
207.090	4.0 CANCELLOUS  SCREW PARTIALLY THRD/90
207.095	4.0 CANCELLOUS  SCREW PARTIALLY THRD/95
207.100	4.0 CANCELLOUS  SCREW PARTIALLY THRD/100
207.916	4.0 CANCELLOUS  SCR 5.0 HD-PART THRDD/16
207.918	4.0 CANCELLOUS  SCR 5.0 HD-PART THRDD/18
207.920	4.0 CANCELLOUS  SCR 5.0 HD-PART THRDD/20
207.922	4.0 CANCELLOUS  SCR 5.0 HD-PART THRDD/22
207.924	4.0 CANCELLOUS  SCR 5.0 HD-PART THRDD/24
207.926	4.0 CANCELLOUS  SCR 5.0 HD-PART THRDD/26
207.928	4.0 CANCELLOUS  SCR 5.0 HD-PART THRDD/28
207.930	4.0 CANCELLOUS  SCR 5.0 HD-PART THRDD/30
207.932	4.0 CANCELLOUS  SCR 5.0 HD-PART THRDD/32
207.934	4.0 CANCELLOUS  SCR 5.0 HD-PART THRDD/34
207.936	4.0 CANCELLOUS  SCR 5.0 HD-PART THRDD/36
207.938	4.0 CANCELLOUS  SCR 5.0 HD-PART THRDD/38
207.940	4.0 CANCELLOUS  SCR 5.0 HD-PART THRDD/40
207.942	4.0 CANCELLOUS  SCR 5.0 HD-PART THRDD/42
207.944	4.0 CANCELLOUS  SCR 5.0 HD-PART THRDD/44
207.946	4.0 CANCELLOUS  SCR 5.0 HD-PART THRDD/46
207.948	4.0 CANCELLOUS  SCR 5.0 HD-PART THRDD/48
207.950	4.0 CANCELLOUS  SCR 5.0 HD-PART THRDD/50
207.952	4.0 CANCELLOUS  SCR 5.0 HD-PART THRDD/52
406.010	4.0 TI CANCELLOUS  SCREW FULLY THRD/10
406.012	4.0 TI CANCELLOUS  SCREW FULLY THRD/12
406.014	4.0 TI CANCELLOUS  SCREW FULLY THRD/14
406.016	4.0 TI CANCELLOUS  SCREW FULLY THRD/16
406.018	4.0 TI CANCELLOUS  SCREW FULLY THRD/18
406.020	4.0 TI CANCELLOUS  SCREW FULLY THRD/20
406.022	4.0 TI CANCELLOUS  SCREW FULLY THRD/22
406.024	4.0 TI CANCELLOUS  SCREW FULLY THRD/24
406.026	4.0 TI CANCELLOUS  SCREW FULLY THRD/26
406.028	4.0 TI CANCELLOUS  SCREW FULLY THRD/28
406.030	4.0 TI CANCELLOUS  SCREW FULLY THRD/30
406.035	4.0 TI CANCELLOUS  SCREW FULLY THRD/35
406.040	4.0 TI CANCELLOUS  SCREW FULLY THRD/40
406.045	4.0 TI CANCELLOUS  SCREW FULLY THRD/45
406.050	4.0 TI CANCELLOUS  SCREW FULLY THRD/50
406.055	4.0 TI CANCELLOUS  SCREW FULLY THRD/55
406.060	4.0 TI CANCELLOUS  SCREW FULLY THRD/60
407.010	4.0 TI CANCELLOUS  SCR PARTIALLY THRD/10
407.012	4.0 TI CANCELLOUS  SCR PARTIALLY THRD/12
407.014	4.0 TI CANCELLOUS  SCR PARTIALLY THRD/14
407.016	4.0 TI CANCELLOUS  SCR PARTIALLY THRD/16
407.018	4.0 TI CANCELLOUS  SCR PARTIALLY THRD/18
407.020	4.0 TI CANCELLOUS  SCR PARTIALLY THRD/20
407.022	4.0 TI CANCELLOUS  SCR PARTIALLY THRD/22
407.024	4.0 TI CANCELLOUS  SCR PARTIALLY THRD/24
407.026	4.0 TI CANCELLOUS  SCR PARTIALLY THRD/26
407.028	4.0 TI CANCELLOUS  SCR PARTIALLY THRD/28
407.030	4.0 TI CANCELLOUS  SCR PARTIALLY THRD/30
407.035	4.0 TI CANCELLOUS  SCR PARTIALLY THRD/35
407.040	4.0 TI CANCELLOUS  SCR PARTIALLY THRD/40
407.045	4.0 TI CANCELLOUS  SCR PARTIALLY THRD/45
407.050	4.0 TI CANCELLOUS  SCR PARTIALLY THRD/50
407.055	4.0 TI CANCELLOUS  SCR PARTIALLY THRD/55
407.060	4.0 TI CANCELLOUS  SCR PARTIALLY THRD/60
04.206.032	3.5 TI CRTX SCR/LOW PROF HD ST/HD/32
04.206.045	3.5 TI CRTX SCR/LOW PROF HD ST/HD/45
04.206.052	3.5 TI CRTX SCR/LOW PROF HD ST/HD/52
04.206.054	3.5 TI CRTX SCR/LOW PROF HD ST/HD/54
04.206.055	3.5 TI CRTX SCR/LOW PROF HD ST/HD/55
04.206.056	3.5 TI CRTX SCR/LOW PROF HD ST/HD/56
04.206.058	3.5 TI CRTX SCR/LOW PROF HD ST/HD/58
351.718S	DRIVE SHAFT SEAL-STERILE FOR RIA-2PK
395.105	3.0MM CARBON FIBER ROD 25MM
395.107	3.0MM CARBON FIBER ROD 45MM
395.109	3.0MM CARBON FIBER ROD 60MM
395.111	3.0MM CARBON FIBER ROD 75MM
395.58	SPRING-LOADED NUT
04.206.210	3.5 TI CRTX SCR/LOW PROF HD ST/SD/10
04.206.214	3.5 TI CRTX SCR/LOW PROF HD ST/SD/14
04.206.216	3.5 TI CRTX SCR/LOW PROF HD ST/SD/16
04.206.218	3.5 TI CRTX SCR/LOW PROF HD ST/SD/18
04.206.220	3.5 TI CRTX SCR/LOW PROF HD ST/SD/20
04.206.222	3.5 TI CRTX SCR/LOW PROF HD ST/SD/22
04.206.224	3.5 TI CRTX SCR/LOW PROF HD ST/SD/24
04.206.226	3.5 TI CRTX SCR/LOW PROF HD ST/SD/26
04.206.228	3.5 TI CRTX SCR/LOW PROF HD ST/SD/28
04.206.2</t>
  </si>
  <si>
    <t>001018845~00056208.076</t>
  </si>
  <si>
    <t>180423</t>
  </si>
  <si>
    <t>#4 Amendment Toproduct Agreement (Depuy Synthes Joint Reconstruction)</t>
  </si>
  <si>
    <t>Amend PA SO 180423 2.12.24.docx</t>
  </si>
  <si>
    <t>001018845~00056208.078</t>
  </si>
  <si>
    <t>195352</t>
  </si>
  <si>
    <t>#5 Amendment Toproduct Agreement (Depuy Synthes Joint Reconstruction)</t>
  </si>
  <si>
    <t>PA Amend Product Add v1 dlr 08.12.2024</t>
  </si>
  <si>
    <t>001018845~00056208.080</t>
  </si>
  <si>
    <t>195038</t>
  </si>
  <si>
    <t>#1 Amendment Toproduct Agreement (Depuy Synthes Joint Reconstruction) Change To #1 Amendment Toproduct Agreement (Depuy Synthes Spine)</t>
  </si>
  <si>
    <t>Amend Product Add SO 195038 8.29.24.docx</t>
  </si>
  <si>
    <t>Tier 1 Acess &amp; Tier 2 - $3M + NCP</t>
  </si>
  <si>
    <t>001018845~00056208.081</t>
  </si>
  <si>
    <t>198986</t>
  </si>
  <si>
    <t>#6 Amendment Toproduct Agreement (Depuy Synthes Joint Reconstruction)</t>
  </si>
  <si>
    <t xml:space="preserve"> PA Amend Product Add and update revision lang. SO 198986 9.4.24.docx</t>
  </si>
  <si>
    <t>001018845~00056208.084</t>
  </si>
  <si>
    <t>00199278</t>
  </si>
  <si>
    <t>PA Amend NP v1 09122024</t>
  </si>
  <si>
    <t>Component pricing</t>
  </si>
  <si>
    <t>001018845~00056208.086</t>
  </si>
  <si>
    <t>203876</t>
  </si>
  <si>
    <t>Product Agreement (Ethicon Us, For IDN)</t>
  </si>
  <si>
    <t>ETHICON PRODUCTS WERE LISTED IN SCHEDULE A BUT THERE WERE EXCLUSIONS.</t>
  </si>
  <si>
    <t xml:space="preserve">00002932
00002935
00002941
00004115
00004913
00009280
00009283
00080825
01157066
01202055
01437867
01437888
01437893
01437912
01437919
01437920
01437923
01438009
01438021
01454552
01454589
01454602
01454629
01454820
01454852
01507900
01514288
01550436
</t>
  </si>
  <si>
    <t>Rebate Overlay PA Ethicon SO 12.20.24.docx</t>
  </si>
  <si>
    <t>00002932 - SOUTH MIAMI HOSPITAL
00002935 - BAPTIST HOSPITAL OF MIAMI
00002941 - BOCA RATON REGIONAL HOSPITAL
00004115 - DOCTORS HOSPITAL
00004913 - BETHESDA HOSPITAL INC
00009280 - HOMESTEAD HOSPITAL
00009283 - MARINERS HOSPITAL
00080825 - MEDICAL ARTS SURGERY CENTER
01157066 - WEST KENDALL BAPTIST HOSPITAL
01202055 - BETHESDA WEST HOSPITAL
01437867 - BETHESDA HEALTH PHYSICIAN GROUP
01437888 - LEVEILLEE RAYMOND J MD OFFICE
01437893 - BETHESDA HEALTH PHYSICIAN GROUP
01437912 - MATERNAL FETAL MEDICINE OF THE PALM BEACHES
01437919 - BETHESDA OUTPATIENT IMAGING CENTER AT BETHESDA HEALTH CITY
01437920 - BETHESDA WOMENS HEALTH CENTER IN WELLINGTON
01437923 - BETHESDA HEALTH URGENT CARE
01438009 - BETHESDA WOMENS HEALTH CENTER
01438021 - BETHESDA HEALTH PHYSICIANS GROUP
01454552 - BETHESDA HEALTH PHYSICIAN GROUP VASCULAR SURGERY
01454589 - BETHESDA HEALTH PHYSICIANS GROUP
01454602 - BETHESDA HEALTH PHYSICIANS GROUP
01454629 - BETHESDA HEALTH PHYSICIAN GROUP UROLOGY YVON PETIOITE
01454820 - BETHESDA HEALTH PHYSICIANS GROUP
01454852 - BETHESDA HEALTH CITY
01507900 - BAPTIST HEALTH HOSPITAL AT DORAL
01514288 - BAPTIST HEALTH SOUTH FLORIDA SURGERY AT PLANTATION
01550436 - BAPTIST HEALTH SOUTH FLORIDA COOPERMAN MEDICAL ARTS PAVILLION</t>
  </si>
  <si>
    <t>Suture (including Stratafix)
Endo-Mechanical
Energy (Harmonic, EnSeal and Megadyne)
Trocars
Topical Skin Adhesives
Hernia (Synthetic Mesh &amp; Fixation)
Wound Drainage
Gynecare
Biosurgery
(ORC, Gelatin, Powder, Flowables, Fibrin Sealants, Advanced Patch)
Biopatch</t>
  </si>
  <si>
    <t>The Customer may be a party or beneficiary to pricing agreements (the "Pricing Agreements"),
which specify discounts or other price concessions to which the Customer is entitled on purchases of
certain Company or Company-affiliate Products. Other than as set forth in Section 1.7 (Termination of
Existing Rebates) or as explicitly stated by reference to a Pricing Agreement, this agreement does not
affect the rights and obligations of the parties under any Pricing Agreement.
In addition to any price concessions that may be available to the Customer under the Pricing
Agreements, under this PA the Customer may earn retrospective discounts ("Rebates") on qualifying
sales of Products if certain conditions are met. The parties intend that any price concessions will qualify
for the discount exception to the federal anti-kickback statute (42 U.S.C. § 1320a-7b(b)(3)) and/or the
'discount safe harbor" to the federal anti-kickback statute under 42 C.F.R. § 1001.952(h)).</t>
  </si>
  <si>
    <t>001018845~00056208.087</t>
  </si>
  <si>
    <t>00209696</t>
  </si>
  <si>
    <t>27960</t>
  </si>
  <si>
    <t>Capital Equipment Usage Product Agreement (Monarch™ Platform, Bronchoscopy)</t>
  </si>
  <si>
    <t>MONARCH PLATFORM, BRONCHOSCOPY</t>
  </si>
  <si>
    <t>PA_CTM Final 20250206.docx</t>
  </si>
  <si>
    <t>00002932 - SOUTH MIAMI HOSPITAL</t>
  </si>
  <si>
    <t>Annual Price</t>
  </si>
  <si>
    <t>Monarch Support - Ethicon Usage program</t>
  </si>
  <si>
    <t>Pricing. This PA covers usage of the Company products set forth on Schedule A (the "Equipment") for use in connection with the purchase of products listed on Schedule B. Nothing in this PA (a) obligates the Company to accept any purchase order that differs from Schedule B, or (b) guarantees the continued availability or pricing of any Product or</t>
  </si>
  <si>
    <t>001018845~00056208.088</t>
  </si>
  <si>
    <t>RARGUELL</t>
  </si>
  <si>
    <t>00214201</t>
  </si>
  <si>
    <t>Product Agreement (Depuy Synthes CMF)</t>
  </si>
  <si>
    <t>00002932
00002935
00002941
00004115
00004913
00009280
00009283
00066331
01157066
01202055
01352819
01514288
01550436</t>
  </si>
  <si>
    <t>PA NS v1 2.28.25</t>
  </si>
  <si>
    <t>00002932 South Miami Hospital 6200 Sw 73rd St South Miami FL 33143
00002935 Baptist Hospital Of Miami 8900 N Kendall Dr Miami FL 33176
00002941 Boca Raton Regional Hospital 800 Meadows Rd Boca Raton FL 33486
00004115 Doctors Hospital 5000 University Dr Coral Gables FL 33146
00004913 Bethesda Hospital Inc 2815 S Seacrest Blvd Boynton Beach FL 33435
00009280 Homestead Hospital 975 Baptist Way Homestead FL 33033
00009283 Mariners Hospital 91500 Overseas Hwy Tavernier FL 33070
00066331 Baptist Health Surgery Center At North Point 200 Northpoint Pkwy West Palm Beach FL 33407
01157066 West Kendall Baptist Hospital 9555 Sw 162nd Ave Miami FL 33196
01202055 Bethesda West Hospital 9655 Boynton Beach Blvd Boynton Beach FL 33472
01352819 Consolidated Services Distribution Center 9001 Nw 33rd St Doral FL 33172
01514288 Baptist Health South Florida Surgery At Plantation 1228 S Pine Island Rd Plantation FL 33324
01550436 Baptist Health South Florida Cooperman Medical Arts Pavillion 745 Meadows Rd Boca Raton FL 33486</t>
  </si>
  <si>
    <t>304.107W SCR LNTH MARKER FOR 7 SELF-DRILLING SCRS EA	;
304.102W SCR LNTH MARKER FOR 2 SELF-DRILLING SCRS EA	;
304.103W SCR LNTH MARKER FOR 3 SELF-DRILLING SCRS EA	;
304.104W SCR LNTH MARKER FOR 4 SELF-DRILLING SCRS EA	;
304.105W SCR LNTH MARKER FOR 5 SELF-DRILLING SCRS EA	;
304.106W SCR LNTH MARKER FOR 6 SELF-DRILLING SCRS EA	;
304.108W SCR LNTH MARKER FOR 8 SELF-DRILLING SCRS EA	;
304.110W SCR LNTH MARKER FOR 10 SELF-DRILL SCRS EA	;
304.112W SCR LNTH MARKER FOR 12 SELF-DRILL SCRS EA	;
304.114W SCR LNTH MARKER FOR 14 SELF-DRILL SCRS EA	;
304.116W SCR LNTH MARKER FOR 16 SELF-DRILL SCRS EA	;
304.118W SCR LNTH MARKER FOR 18 SELF-DRILL SCRS EA	;
304.120W SCR LNTH MARKER FOR 20 SELF-DRILL SCRS EA	;
68.590.056 MATRXWV F INSRT TRY ID TG 1.85LCKNG SCRS EA	;
68.590.057 MATRIXWAVE F INSERT TRAY ID TAG F/PLS EA	;
68.590.054 MATRIXWAVE F SYS IMPLANT MODULE ID TAG EA	;
260.060LC PN LABEL CLIP FOR SNAL RECON PL 260.060 EA	;
260.062LC PN LABEL CLIP FOR SNAL RECON PL 260.062 EA	;
260.064LC PN LABEL CLIP FOR SNAL RECON PL 260.064 EA	;
260.066LC PN LABEL CLIP FOR SNAL RECON PL 260.066 EA	;
260.068LC PN LABEL CLIP FOR SNAL RECON PL 260.068 EA	;
260.070LC PN LABEL CLIP FOR SNAL RECON PL 260.070 EA	;
260.072LC PN LABEL CLIP FOR SNAL RECON PL 260.072 EA	;
260.074LC PN LABEL CLIP FOR SNAL RECON PL 260.074 EA	;
304.776 LABEL SHEET FOR CRANIAL CLAMPS EA	;
690.811 LABEL SHEET FOR LOW PRO CRANIOFACIAL MOD EA	;
690.612 SCR LNTH LABEL SHEET CALIBRATED DBS EA	;
690.011S1 LABEL SHEET FOR INSTRUMENT TRAYS EA	;
68.590.053 MATRIXWAVE F SYSTEM INST MODULE ID TAG EA	;
60.511.018 LABL SHT INSTR TRAY MATRIXORTHOGNATHIC EA	;
306.628 LABEL SHEET DRILLS/BLDS MATRIXMIDFACE EA	;
306.634 LABEL SHEET FOR 0.4 PLS MATRIXMIDFACE EA	;
306.635 LABEL SHEET FOR 0.5 PLS MATRIXMIDFACE EA	;
306.636 LABEL SHEET FOR SCREWS MATRIXMIDFACE SYS EA	;
306.637 LABEL SHEET FOR 0.7 PLS MATRIXMIDFACE EA	;
306.638 LABEL SHEET FOR 0.8 PLS MATRIXMIDFACE EA	;
306.639 LABEL SHEET ORBITAL PLS MATRIXMIDFACE EA	;
306.641 LABEL SHEET PREFORM ORBITAL PL-MATRIXMDF EA	;
60.511.019 LABL SHT SCR LNTH CLR CHRT/MATRXORTHGNTH EA	;
304.710S1 LABEL SHEET FOR ORTHOGNATHIC SCR MODULE EA	;
304.711S1 LABEL SHEET FOR ORTHOGNATHIC PL MODULE EA	;
306.792 SCR PART NUMBER INSERT 401.041-401.052 EA	;
306.794 SCR PART NUMBER INSERT 401.061-401.065 EA	;
306.795 SCR PART NUMBER INSERT 401.791-401.799 EA	;
306.797 SCR PART NUMBER INSERT 497.668-497.678 EA	;
306.798 SCR PART NUMBER INSERT 497.690-497.695 EA	;
306.799 SCR PART NUMBER INSERT 401.558-401.568 EA	;
306.791 SCR PART NUMBER INSERT 401.291-401.299 EA	;
306.796 SCR PART NUMBER INSERT 401.508-401.518 EA	;
306.758 LABEL SHEET FOR CURVILINEAR DISTR MODULE EA	;
60.503.100 LABEL SHEET F/CRANIOFACIAL/ MANDBL GC EA	;
690.865 LABEL SHEET F/ORTHOGNATHIC MFS GC EA	;
60.590.004 MATRIXWAVE MMF SYSTEM LABEL SHEET EA	;
304.099 LABEL SHEET FOR CMF DISTRACTOR EA	;
306.535 LABEL SHEET INSERT TRAY CRANL CLAMP INST EA	;
306.774 LABEL SHEET SCR MOD MATRIXMANDIBLE EA	;
304.661.29 LABEL SHEET FOR 1.5 CRANIOFACIAL MODULE EA	;
304.662.29 LABEL SHEET FOR 2.0 CRANIOFACIAL MODULE EA	;
304.663P LABEL SHEET FOR 1.0 CRANIOFACIAL MODULE EA	;
304.672P LABEL SHEET FOR 1.3 CRANIOFACIAL MODULE EA	;
304.700S1 LABEL SHEET FOR MAXILLOFACIAL SCREWS EA	;
304.700S2 LABEL SHEET MAXILLOFACIAL SCRDRIVER BLDS EA	;
60.511.020 LABEL SHEET MATRIX STRENGTH GRADIENTS EA	;
306.631 LABEL SHEET FOR 1.0 CMFS MATRIXMIDFACE EA	;
306.735 LABEL SHEET 306.731 MATRIXMANDIBLE INSTS EA	;
306.736 LABEL SHEET 306.732 MATRIXMANDIBLE INSTS EA	;
306.744 LABEL SHEET 306.733 MATRIXMANDIBLE INSTS EA	;
306.633 LABEL SHEET FOR 1.3 CMFS MATRIXMIDFACE EA	;
305.816 LABEL SHEET FOR RESORBABLE INST TRAYS EA	;
305.817 DB LABEL SHEET RESORBABLE INST TRAYS EA	;
306.726 FINGER MAT F/USE 306.702 MATRIXMANDIBLE EA	;
421.022 1.3 TI CRANIAL STR PL 2 HOLES/10 SPACING EA	;
306.547 MATRXNEURO ULP LABEL SHT MATRXNEURO MOD EA	;
306.704 LABEL SHEET SM PL MOD MATRIXMANDIBLE EA	;
306.705 LABEL SHEET SCR MOD FOR MATRIXMANDIBLE EA	;
306.706 LABEL SHEET LRG PL MOD MATRIXMANDIBLE EA	;
306.765 LABEL SHEET FOR IMF MOD MATRIXMANDIBLE EA	;
306.766 LABEL SHEET LAG SCR MOD MATRIXMANDIBLE EA	;
60.511.016 LABL SHT MAXILLARY MOD MATRXORTHGNTHIC EA	;
60.511.017 LABL SHT MANDBL MOD MATRIXORTHOGNATHIC EA	;
201.512 2.4MM CORTEX SCREW SELF-TAPPING 12MM EA	;
305.699 LABEL SHEET FOR TI SNAL MODULE 305.694 EA	;
386.907 1.8 CLN STYLT FREER SUCTN ELVTR(386.906) EA	;
201.508 2.4MM CORTEX SCREW SELF-TAPPING 8MM EA	;
201.506 2.4MM CORTEX SCREW SELF-TAPPING 6MM EA	;
201.514 2.4MM CORTEX SCREW SELF-TAPPING 14MM EA	;
08-CC184 DD-DRAPE F/COMPACT WATER BATH STERILE EA	;
446.024 1.5 TI CRANIAL STR PL 4 HOLES/12-LOW PRO EA	;
306.767 LABEL SHEET SUBCOND TRAY MATRIXMANDIBLE EA	;
306.788 LABEL SHEET SM PL INSERT MATRIXMANDIBLE EA	;
421.024 1.3 TI CRANIAL STR PL 4 H/10 MIDD SPCNG EA	;
421.502 TI LOW PROFILE NEURO STRAIGHT PL 2 HOLES EA	;
421.503 TI LOW PROFILE NEURO STR PL 2 HOLES/9 EA	;
306.762 STRNGTH GRADIENT LABEL SHEET MATRIXMAND EA	;
304.701T INSERT DROP-IN TRAY MFS LCKNG RECON MOD EA	;
60.511.104 FINGR MAT USE 60.511.102 MATRIXCOMBO SET EA	;
03.503.700 BENDING INSERT HOLDER FOR 03.503.080 EA	;
530.400.006.98 POWER CORD EA	;
329.40.98 BENDING TEMPL 37 HOLES FOR RECON PLS EA	;
201.804.98 2.0MM CORTEX SCREW SELF-TAPPING 4MM EA	;
201.806.98 2.0MM CORTEX SCREW SELF-TAPPING 6MM EA	;
201.808.98 2.0MM CORTEX SCREW SELF-TAPPING 8MM EA	;
201.810.98 2.0MM CORTEX SCREW SELF-TAPPING 10MM EA	;
201.812.98 2.0MM CORTEX SCREW SELF-TAPPING 12MM EA	;
201.814.98 2.0MM CORTEX SCREW SELF-TAPPING 14MM EA	;
304.102 SCREW LENGTH MARKER-2MM-10PK PK	;
304.103 SCREW LENGTH MARKER-3MM-10PK PK	;
304.104 SCREW LENGTH MARKER-4MM-10PK PK	;
304.105 SCREW LENGTH MARKER-5MM-10PK PK	;
304.106 SCREW LENGTH MARKER-6MM-10PK PK	;
304.107 SCREW LENGTH MARKER-7MM-10PK PK	;
304.108 SCREW LENGTH MARKER-8MM-10PK PK	;
304.109 SCREW LENGTH MARKER-9MM-10PK PK	;
304.110 SCREW LENGTH MARKER-10MM-10PK PK	;
304.111 SCREW LENGTH MARKER-11MM-10PK PK	;
304.112 SCREW LENGTH MARKER-12MM-10PK PK	;
304.113 SCREW LENGTH MARKER-13MM-10PK PK	;
304.114 SCREW LENGTH MARKER-14MM-10PK PK	;
304.115 SCREW LENGTH MARKER-15MM-10PK PK	;
304.116 SCREW LENGTH MARKER-16MM-10PK PK	;
304.117 SCREW LENGTH MARKER-17MM-10PK PK	;
304.118 SCREW LENGTH MARKER-18MM-10PK PK	;
304.119 SCREW LENGTH MARKER-19MM-10PK PK	;
304.121 SCREW LENGTH MARKER-21MM-10PK PK	;
304.122 SCREW LENGTH MARKER-22MM-10PK PK	;
304.123 SCREW LENGTH MARKER-23MM-10PK PK	;
304.124 SCREW LENGTH MARKER-24MM-10PK PK	;
304.125 SCREW LENGTH MARKER 25MM-10PK PK	;
304.126 SCREW LENGTH MARKER 26MM-10PK PK	;
304.127 SCREW LENGTH MARKER 27MM-10PK PK	;
304.128 SCREW LENGTH MARKER 28MM-10PK PK	;
304.132 SCREW LENGTH MARKER 32MM-10PK PK	;
304.134 SCREW LENGTH MARKER 34MM-10PK PK	;
304.136 SCREW LENGTH MARKER 36MM-10PK PK	;
304.138 SCREW LENGTH MARKER 38MM-10PK PK	;
04.503.061 TI MATRIXNEURO STRAIGHT PLATE 2 HOLES/9 EA	;
304.688M SILICON MAT 2.0 PL HOLDNG TRCR INST TRAY EA	;
343.44 TEMPL FOR 2.0 TI ZYGOMATIC PL 4 H EA	;
343.46 TEMPL FOR 2.0 TI ZYGOMATIC PL 6 H EA	;
346.61 BENDING TEMPLATE FOR 1.5MM TI Y-PLATE EA	;
346.81 BENDING TEMPLATE FOR 1.5MM TI X-PLATE EA	;
347.38 TEMPL FOR 2.0 TI BROAD HOLE ADAPTION PL EA	;
347.52 TEMPL FOR 2.0 TI OBL L-PLS 3 &amp; 4 H EA	;
347.54 BENDING TEMPL FOR 2.0 TI OBL L-PLS 6 H EA	;
347.61 BENDING TEMPL FOR 2.0 TI Y-PL 5 HOLES EA	;
347.62 BENDING TEMPL FOR 2.0 TI Y-PL 8 HOLES EA	;
347.81 BENDING TEMPLATE FOR 2.0MM TI X-PLATE EA	;
347.85 BENDING TEMPL FOR 2.0 TI H-PL 9 HOLES EA	;
347.86 BENDING TEMPL FOR 2.0 TI H-PL 8 HOLES EA	;
343.45 TEMPL FOR 2.0 TI ZYGOMATIC PL 5 H EA	;
346.22 BENDING TEMPL FOR 1.5 TI ORBITAL RIM PLS EA	;
346.52 BENDING TEMPL FOR 1.5 TI OBLIQUE L-PLS EA	;
347.01 BENDING TEMPL FOR 1.5 TI ADAPTION PL EA	;
347.22 BENDING TEMPL FOR 2.0 TI ORBITAL RIM PLS EA	;
497.689E TI BENDING INSERT SCR F/LCKNG RECON PL EA	;
04.503.062 TI MATRIXNEURO STRAIGHT PLATE 2 HOLES/12 EA	;
04.502.061 TI MATRIXNEURO ULP 9MM STRAIGHT PLATE EA	;
306.728 HOLDER CALIBRATED DRILL BITS MATRIXMAND EA	;
04.502.062 TI MATRIXNEURO ULP 12MM STRAIGHT PLATE EA	;
421.504 TI LOW PROFILE NEURO STRAIGHT PL 4 HOLES EA	;
60.511.116 FINGR MAT USE 60.511.103 MATRIXCOMBO SET EA	;
03.503.366 TEMPL F/ADAPTION PLS/MATRIXMIDFACE EA	;
03.503.367 TEMPL F/ORBITAL RIM PLS/MATRIXMIDFACE EA	;
03.503.369 TEMPL F/OBL L PLS/3X4/MATRIXMIDFACE EA	;
03.503.370 TEMPL F/OBL L PLS/4X6/MATRIXMIDFACE EA	;
03.503.371 BENDING TEMPL F/Y-PLS 1X3/MATRIXMIDFACE EA	;
03.503.372 BENDING TEMPL F/X-PLS MATRIXMIDFACE EA	;
03.503.373 BENDING TEMPL F/H-PLS MATRIXMIDFACE EA	;
03.503.374 BENDING TEMPL F/T-PLS MATRIXMIDFACE EA	;
03.503.375 TEMPL F/BOX PLS 5X10/MATRIXMIDFACE EA	;
03.503.376 TEMPL F/BOX PLS 10X10/MATRIXMIDFACE EA	;
03.503.377 BENDING TEMPL F/STRUT PLS/MATRIXMIDFACE EA	;
03.503.378 TEMPL F/SILVER DOUBLE Y-PL/MATRIXMIDFACE EA	;
03.503.379 TEMPL F/BLUE DOUBLE Y-PL/MATRIXMIDFACE EA	;
03.503.380 TEMPL F/PINK DOUBLE Y-PL/MATRIXMIDFACE EA	;
03.511.368 TMPL TI MATRIX REVERSIBLE 90 DEG L-PL/LG EA	;
03.511.369 TEMPL TI MATRIX CRVD SAGITT SPLIT PL/6 EA	;
03.511.370 TEMPL TI MATRIX CRVD SAGITT SPLIT PL/8 EA	;
03.511.371 TEMPL TI MATRIX CRVD SAGITT SPLIT PL/10 EA	;
03.511.372 TEMPL TI MATRIX CRVD SAGITT SPLIT PL/12 EA	;
03.511.373 TEMPL TI MATRIX STR SAGITT SPLIT PL/6 EA	;
03.511.374 TEMPL TI MATRIX STR SAGITT SPLIT PL/8 EA	;
03.511.375 TEMPL TI MATRIX STR SAGITT SPLT PL/10 EA	;
03.511.376 TEMPL TI MATRIX STR SAGITT SPLT PL/12 EA	;
03.511.377 TEMPL TI MATRIX SAGITT SPLT PL SLIDER-33 EA	;
03.511.378 TEMPL TI MATRIX SAGITT SPLT PL SLIDER-40 EA	;
03.503.368 TEMPL F/OBL L PLS/2X3/MATRIXMIDFACE EA	;
03.511.362 TEMPL TI MATRIX REVERSIBLE L-PL/LONG EA	;
03.511.361 TEMPL FOR TI MATRIX REVERSIBLE L-PL/MED EA	;
03.511.360 TEMPL FOR TI MATRIX REVERSIBLE L-PL/SHT EA	;
03.511.363 TEMPL TI MATRIX REVERSIBLE OBL L-PL/SHT EA	;
03.511.364 TEMPL TI MATRIX REVERSIBLE OBL L-PL/MED EA	;
03.511.365 TEMPL TI MATRIX REVERSIBLE OBL L-PL/LONG EA	;
03.511.366 TMPL TI MATRIX REVERSE 90 DEG L-PL/SHT EA	;
03.511.367 TMPL TI MATRIX REVERSE 90 DEG L-PL/MED EA	;
329.652 BENDING TEMPL FOR 1.5 RESORBABLE BOX PL EA	;
329.653 TEMPL FOR 2.0 RESORBABLE 90 L-PLS EA	;
329.657 TEMPL F/1.5/2.0 RESORB MESH PL 50 DIA. EA	;
329.651 BENDING TEMPL FOR 1.5 RESORBABLE T-PL EA	;
329.659 BENDING TEMPL FOR 1.5 RESORB X PL, 8 H EA	;
400.833E TI LOW PROFILE NEURO SCR SELF-DRILLING 3 EA	;
400.834E TI LOW PROFILE NEURO SCR SELF-DRILLING 4 EA	;
400.835E TI LOW PROFILE NEURO SCR SELF-DRILLING 5 EA	;
400.836E TI LOW PROFILE NEURO SCR SELF-DRILLING 6 EA	;
400.843E TI LOW PROFILE NEURO SCREW STPING 3 EA	;
400.844E TI LOW PROFILE NEURO SCREW STPING 4 EA	;
400.845E TI LOW PROFILE NEURO SCREW STPING 5 EA	;
400.846E TI LOW PROFILE NEURO SCREW STPING 6 EA	;
400.853E TI LOW PRO NEURO EMERGENCY SCR STPING 3 EA	;
400.854E TI LOW PRO NEURO EMERGENCY SCR STPING 4 EA	;
400.855E TI LOW PRO NEURO EMERGENCY SCR STPING 5 EA	;
400.856E TI LOW PRO NEURO EMERGENCY SCR STPING 6 EA	;
04.503.063 TI MATRIXNEURO STRAIGHT PLATE 4 HOLES EA	;
612.42.01S DELIVERY NEEDLE 10CM X 12 GAUGE-STERILE EA	;
612.41.01S DELIVERY NEEDLE 10CM X 10 GAUGE-STERILE EA	;
612.40.01S DELIVERY NEEDLE 10CM X 8 GAUGE-STERILE EA	;
05.505.002 SPRAY ADAPTOR FOR 90 SCREWDRIVER EA	;
305.814 FINGER MAT INSERT RESORBABLE INST TRAYS EA	;
317.818 1.8MM DRILL BIT/MINI QC/32MM EA	;
329.408 TEMPL FOR 1.5 RESORBABLE ADAPTION PL/8 H EA	;
329.411 TEMPL FOR 1.5 RESORBABLE ORBITAL RIM PL EA	;
329.412 TEMPL FOR 1.5 RESORB ADAPTION PL/20 H EA	;
329.421 TEMPL FOR 1.5 RESORB STRUT PL 2 X 10 H EA	;
329.422 TEMPL FOR 1.5 RESORB STRUT PL 2 X 18 H EA	;
329.433 TEMPL FOR 1.5 RESORBABLE OBL L-PLS EA	;
329.443 BENDING TEMPL FOR 1.5 RESORBABLE Y-PL EA	;
329.458 TEMPL FOR 2.0 RESORBABLE ADAPTION PL/8H EA	;
329.459 TEMPL FOR 2.0 RESORB ADAPTION PL/20 H EA	;
329.461 TEMPL FOR 2.0 RESORBABLE ORBITAL RIM PL EA	;
329.471 TEMPL FOR 2.0 RESORB STRUT PL/2 X 10 H EA	;
329.481 TEMPL FOR 1.5/ 2.0 RESORBABLE MESH PLS EA	;
329.483 TEMPL FOR 2.0 RESORBABLE OBL L-PLS EA	;
329.493 BENDING TEMPL FOR 2.0 RESORBABLE Y-PL EA	;
329.632 TEMPL FOR 1.5 RESORB ORBITAL FLOOR PL 24 EA	;
329.633 TEMPL FOR 1.5 RESORB ORBITAL FLOOR PL 30 EA	;
329.634 TEMPL FOR 1.5 RESORB ORBITAL FLOOR PL 35 EA	;
329.650 TEMPL FOR 1.5 RESORB STRUT PL 2X36 HOLE EA	;
329.529 BENDING TEMPL FOR 2.0 MLP 6 HOLES-NARROW EA	;
400.734E 1.5 TI MF CORTEX SCREW STPING FLUTES 4 EA	;
400.735E 1.5 TI MF CORTEX SCREW STPING FLUTES 5 EA	;
400.736E 1.5 TI MF CORTEX SCREW STPING FLUTES 6 EA	;
400.737E 1.5 TI MF CORTEX SCREW STPING FLUTES 7 EA	;
400.738E 1.5 TI MF CORTEX SCREW STPING FLUTES 8 EA	;
400.739E 1.5 TI MF CORTEX SCREW STPING FLUTES 9 EA	;
400.740E 1.5 TI MF CORTEX SCREW STPING FLUTES 10 EA	;
400.741E 1.5 TI MF CORTEX SCREW STPING FLUTES 11 EA	;
400.742E 1.5 TI MF CORTEX SCREW STPING FLUTES 12 EA	;
400.744E 1.5 TI MF CORTEX SCREW STPING FLUTES 14 EA	;
400.746E 1.5 TI MF CORTEX SCREW STPING FLUTES 16 EA	;
400.748E 1.5 TI MF CORTEX SCREW STPING FLUTES 18 EA	;
04.503.103.01 TI MATRIXNEURO SCREW SELF-DRILLING 3MM EA	;
04.503.104.01 TI MATRIXNEURO SCREW SELF-DRILLING 4MM EA	;
04.503.105.01 TI MATRIXNEURO SCREW SELF-DRILLING 5MM EA	;
04.503.113.01 TI MATRIXNEURO EMERGENCY SCREW 3MM EA	;
04.503.114.01 TI MATRIXNEURO EMERGENCY SCREW 4MM EA	;
04.503.115.01 TI MATRIXNEURO EMERGENCY SCREW 5MM EA	;
401.154E 2.0 TI MF CORTEX SCREW STPING FLUTES 4 EA	;
401.155E 2.0 TI MF CORTEX SCREW STPING FLUTES 5 EA	;
401.156E 2.0 TI MF CORTEX SCREW STPING FLUTES 6 EA	;
401.157E 2.0 TI MF CORTEX SCREW STPING FLUTES 7 EA	;
401.158E 2.0 TI MF CORTEX SCREW STPING FLUTES 8 EA	;
401.159E 2.0 TI MF CORTEX SCREW STPING FLUTES 9 EA	;
401.160E 2.0 TI MF CORTEX SCREW STPING FLUTES 10 EA	;
401.161E 2.0 TI MF CORTEX SCREW STPING FLUTES 11 EA	;
401.162E 2.0 TI MF CORTEX SCREW STPING FLUTES 12 EA	;
401.164E 2.0 TI MF CORTEX SCREW STPING FLUTES 14 EA	;
401.166E 2.0 TI MF CORTEX SCREW STPING FLUTES 16 EA	;
401.168E 2.0 TI MF CORTEX SCREW STPING FLUTES 18 EA	;
401.170E 2.0 TI MF CORTEX SCREW STPING FLUTES 20 EA	;
401.172E 2.0 TI MF CORTEX SCREW STPING FLUTES 22 EA	;
401.174E 2.0 TI MF CORTEX SCREW STPING FLUTES 24 EA	;
04.502.063 TI MATRIXNEURO ULP 24MM STRAIGHT PLATE EA	;
329.148.05 RPM PL-HOLD INSRT MAND PL BNDER/CUTS-5PK PK	;
329.526 BENDING TEMPL FOR 2.0 MLP 3 X 3 H-LRG EA	;
329.525 TEMPL FOR 2.0 MLP 6 H-INTERMEDIATE EA	;
329.527 TEMPL FOR 2.0 MLP 12 H-INTERMEDIATE EA	;
329.769 BENDING TEMPL 6 X 23 H F/ANGD RECON PLS EA	;
400.034E 1.5 TI CORTEX SCR SLF-TPNG PD(TM) REC 4 EA	;
400.035E 1.5 TI CORTEX SCR SLF-TPNG PD(TM) REC 5 EA	;
400.036E 1.5 TI CORTEX SCR SLF-TPNG PD(TM) REC 6 EA	;
400.038E 1.5 TI CORTEX SCR SLF-TPNG PD(TM) REC 8 EA	;
400.040E 1.5 TI CORTEX SCR SLF-TPNG PD REC 10 EA	;
400.042E 1.5 TI CORTEX SCR SLF-TPNG PD REC 12 EA	;
400.044E 1.5 TI CORTEX SCR SLF-TPNG PD REC 14 EA	;
400.046E 1.5 TI CORTEX SCR SLF-TPNG PD REC 16 EA	;
400.048E 1.5 TI CORTEX SCR SLF-TPNG PD REC 18 EA	;
304.730M RUBBER MAT FOR LRG UNIVERSAL INST TRAY EA	;
401.305E 2.4MM TI EMERGENCY SCREW 5MM EA	;
401.306E 2.4MM TI EMERGENCY SCREW 6MM EA	;
401.307E 2.4MM TI EMERGENCY SCREW 7MM EA	;
401.308E 2.4MM TI EMERGENCY SCREW 8MM EA	;
401.309E 2.4MM TI EMERGENCY SCREW 9MM EA	;
401.310E 2.4MM TI EMERGENCY SCREW 10MM EA	;
401.311E 2.4MM TI EMERGENCY SCREW 11MM EA	;
401.312E 2.4MM TI EMERGENCY SCREW 12MM EA	;
401.314E 2.4MM TI EMERGENCY SCREW 14MM EA	;
401.316E 2.4MM TI EMERGENCY SCREW 16MM EA	;
401.318E 2.4MM TI EMERGENCY SCREW 18MM EA	;
400.701 1.5 TI BROW LIFT SCREW/14 SELF-TAPPING EA	;
400.784E 2.0 TI EMERGENCY SCREW W/FLUTED TIP 4 EA	;
400.785E 2.0 TI EMERGENCY SCREW W/FLUTED TIP 5 EA	;</t>
  </si>
  <si>
    <t>Subject to the terms and conditions of this agreement, as of the Effective Date, the Company shall offer the Products to the Participants at the Discount from List Price and prices stated in Tier 2 of Schedule A. 
For each Year following the first Year, the Company shall offer the Products to the Participants at the Participants' eligible Tier of Schedule A based upon NCP for the prior Year. 
To the extent a change in pricing is required, it will become effective on a prospective basis within 30 days following the end of the prior Year. 
Refer to the List Price definition in Section 7 below for any increases to List Price. 
The component pricing is firm for the term of this agreement.</t>
  </si>
  <si>
    <t>Can you cleanse the product detail and remove the $ price of each items. For the purpose of uniformity in our golden records.</t>
  </si>
  <si>
    <t>001018845~00056208.089</t>
  </si>
  <si>
    <t>Amendment To Capital Equipment Usage Product Agreement (Monarch™ Platform, Bronchoscopy)</t>
  </si>
  <si>
    <t>PA Amendment_CTM v1 20250303.docx</t>
  </si>
  <si>
    <t xml:space="preserve">MON-000006 Monarch Platform, Bronchoscopy - Ethicon Usage Program, 1 Quantity;
Included Items:
(1) Monarch Tower 
(1) Monarch Cart 
(2) Monarch Controller 
(1) Monarch Pre-Op Planning System Kit 
(2) Monarch Navigation Patient Sensors 
(1) Monarch Navigation Field Generator 
(1) Monarch Navigation Field Generator Mount 
(1) Bronchoscope Patient Introducer Mount 
(1 box) Monarch Navigation Patient Patches (MBR-000016) 
(1 box) Bronchoscope Patient Introducer Kit (MBR-000017) 
(1 box) Bronchoscope Fluidics Tubing(MBR-000018) 
(1 box) Bronchoscope Sheath Valve (MBR-000020) 
(1) Demo Bronchoscope System 
1 Year Monarch Platform Warranty 
MON-000709-C MONARCH Advanced Imaging Accessory Kit, 1 Quantity;
MON-AIU MONARCH QUEST - Upgrade, 1 Quantity;
</t>
  </si>
  <si>
    <t>Pricing. This PA covers usage of the Company products set forth on Schedule A (the
"Equipment") for use in connection with the purchase of products listed on Schedule B. Nothing in this PA
(a) obligates the Company to accept any purchase order that differs from Schedule B, or (b) guarantees
the continued availability or pricing of any Product or</t>
  </si>
  <si>
    <t>Inherit the start date of Product Agreement 27960 and the Parent MSA</t>
  </si>
  <si>
    <t>001018845~00056208.090</t>
  </si>
  <si>
    <t>00213154</t>
  </si>
  <si>
    <t>ETHICON GYNECARE</t>
  </si>
  <si>
    <t>00002932
00002935
00002941
00004115
00004913
00009280
00009283
00010321
00052870
00080825
00501433
01020665
01157066
01202055
01338893
01352819
01358981
01451876
01454552
01493711
01507900
01514288
01550436
01558125</t>
  </si>
  <si>
    <t>PA NS v2 04.10.25</t>
  </si>
  <si>
    <t>00002932 SOUTH MIAMI HOSPITAL 6200 SW 73RD ST SOUTH MIAMI FL 33143
00002935 BAPTIST HOSPITAL OF MIAMI 8900 N KENDALL DR MIAMI FL 33176
00002941 BOCA RATON REGIONAL HOSPITAL 800 MEADOWS RD BOCA RATON FL 33486
00004115 DOCTORS HOSPITAL 5000 UNIVERSITY DR CORAL GABLES FL 33146
00004913 BETHESDA HOSPITAL INC 2815 S SEACREST BLVD BOYNTON BEACH FL 33435
00009280 HOMESTEAD HOSPITAL 975 BAPTIST WAY HOMESTEAD FL 33033
00009283 MARINERS HOSPITAL 91500 OVERSEAS HWY MM915 TAVERNIER FL 33070
00010321 FISHERMANS HOSPITAL INC 3301 OVERSEAS HWY MARATHON FL 33050
00052870 FOUNDATION FOR ADVANCE EYE CARE 3737 NW 88TH AVE SUNRISE FL 33351
00080825 MEDICAL ARTS SURGERY CENTER 8940 N KENDALL DR MIAMI FL 33176
00501433 SOUTH PALM AMBULATORY SURGERY CENTER LLC 1905 CLINT MOORE RD BOCA RATON FL 33496
01020665 BOCA RATON REGIONAL HOSPITAL 1001 NW 13TH ST BOCA RATON FL 33486
01157066 WEST KENDALL BAPTIST HOSPITAL 9555 SW 162ND AVE MIAMI FL 33196
01202055 BETHESDA WEST HOSPITAL 9655 BOYNTON BEACH BLVD BOYNTON BEACH FL 33472
01338893 LYNN CANCER INSTITUTE BOCA RATON 701 NW 13TH ST BOCA RATON FL 33486
01352819 CONSOLIDATED SERVICES DISTRIBUTION CENTER 9001 NW 33RD ST DORAL FL 33172
01358981 BAPTIST HEALTH ORTHO SOUTH MIAMI 6200 SUNSET DR MIAMI FL 33143
01451876 BAPTIST HEALTH SURGERY CENTER MIAMI BEACH 709 ALTON RD MIAMI BEACH FL 33139
01454552 BETHESDA HEALTH PHYSICIAN GROUP VASCULAR SURGERY 9868 S STATE ROAD 7 BOYNTON BEACH  FL 33472
01493711 BAPTIST HEALTH SOUTH FLORIDA PLANTATION INFUSION PHARMACY 1228 S PINE ISLAND RD PLANTATION FL 33324
01507900 BAPTIST HEALTH HOSPITAL AT DORAL 9500 NW 58TH ST DORAL FL 33178
01514288 BAPTIST HEALTH SOUTH FLORIDA SURGERY AT PLANTATION 1228 S PINE ISLAND RD PLANTATION FL 33324
01550436 BAPTIST HEALTH SOUTH FLORIDA COOPERMAN MEDICAL ARTS PAVILLION 745 MEADOWS RD BOCA RATON FL 33486
01558125 BAPTIST HEALTH OUTPATIENT PHARMACY 6200 SUNSET DRSOUTH MIAMI FL 33143</t>
  </si>
  <si>
    <t>Interceed	4350	GYNECARE INTERCEED® Absorbable Adhesion Barrier, (3x4cm)	27.47%	;
Interceed	4350XL	GYNECARE INTERCEED® Absorbable Adhesion Barrier XL, (5x6cm), 27.47%;
Artisyn	ARTY	ARTISYNT Y-Shaped Mesh (1-unit) ARTISYNT Y-Shaped Mesh (5-units), 27.47%;
Artisyn	ARTY5L	GYNECARE GYNEMESH PS Soft Mesh, 10 x 15 cm, 27.47%;
Gynemesh	GPSL	"GYNECARE GYNEMESH PS Soft Mesh, 10 x 15 cm", 27.47%;
Gynemesh	GPSXL3	GYNECARE GYNEMESH PS Soft Mesh, 25 x 25 cm (3 pack), 27.47%;</t>
  </si>
  <si>
    <t>Subject to the terms and conditions of this PA, the Company shall offer the Products to the Participants at the Discounts stated in Schedule A. 
Prices at the product code level may be obtained by calling Johnson &amp; Johnson Health Care Systems Customer Service at 800-255-2500 or from the Customer's Distributor. As of the PA Effective Date, the Discounts will be applied to Price Book SD95 subject to the price adjustment provisions of Section 3.</t>
  </si>
  <si>
    <t>Contract ID = 00661394 from Amendment</t>
  </si>
  <si>
    <t>001018845~00056208.091</t>
  </si>
  <si>
    <t>28708</t>
  </si>
  <si>
    <t>Product Agreement #202505001884 (Biosense Webster, Inc. Electrophysiology Consumables)</t>
  </si>
  <si>
    <t>ELECTROPHYSIOLOGY CONSUMABLES</t>
  </si>
  <si>
    <t>01092085
00052194
00002941
01352819
00002932
00002935
00004913
01348293</t>
  </si>
  <si>
    <t>$00E5AD0F5A50$1E73DCF42065448B9E9ED02F7E30A96F.DOCX</t>
  </si>
  <si>
    <t>1092085	BAPT HOSP OF MIAMI	6200 SW 73RD ST 	MIAMI	FL	33143-4679	;
52194	BETHESDA HOSP INC	3800 S CONGRESS AVE	BOYNTON BEACH	FL	33426-8424	;
2941	BOCA RATON REGL HOSP	800 MEADOWS RD	BOCA RATON	FL	33486-2304	;
1352819	CONSOLIDATED SVC DIST CTR	9001 NW 33RD ST	DORAL	FL	33172-1235	;
2932	S MIAMI HOSP	6200 SW 73RD ST	SOUTH MIAMI	FL	33143-4679	;
2935	BAPT HOSP OF MIAMI	8900 N KENDALL DR	MIAMI	FL	33176-2118	;
4913	BETHESDA HOSP INC	2815 S SEACREST BLVD	BOYNTON BEACH	FL	33435-7969	;
1348293	CONSOLIDTD DISTRB SVC CTR	9001 NW 33RD ST	DORAL	FL	33172-1235	;</t>
  </si>
  <si>
    <t>Contract Pricing</t>
  </si>
  <si>
    <t>Ablation	CELSIUS® 4mm T	A00;
Ablation	CELSIUS® 4mm Non-Braided T	A01;
Ablation	CELSIUS® 4mm TC	A02;
Ablation	CELSIUS® 4mm Non-Braided TC	A03;
Ablation	CELSIUS® 4mm RMT	A04;
Ablation	CELSIUS THERMOCOOL® RMT	A05;
Ablation	CELSIUS® 4mm Long Reach T	A10;
Ablation	CELSIUS® 4mm Long Reach TC	A11;
Ablation	CELSIUS® 4mm Bi-Dir TC	A24;
Ablation	CELSIUS® 4mm Bi-Dir T	A25;
Ablation	CELSIUS® 8mm Bi-Dir	A26;
Ablation	CELSIUS THERMOCOOL® Bi-Dir	A27;
Ablation	CELSIUS THERMOCOOL® SF Bi-Dir	A28;
Ablation	CELSIUS THERMOCOOL® SF Uni-Dir	A29;
Ablation	CELSIUS® 8mm	A30;
Ablation	Lg Dome Non-T 4 Pole Braided	A51;
Ablation	Lg Dome Non-T 4 Pole Braided S	ASS;
Ablation	Lg Dome Non-T 4 Pole Non-Braid	A60;
Diagnostics	Dx Defl 4 Pole Sm Anatomy LD	A70;
Diagnostics	Dx Defl 6 Pole Sm Anatomy LD	A80;
Diagnostics	Dx Defl 8 Pole Sm Anatomy LD	A90;
Ablation	CELSIUS FLTR® Bi-Directional	B20;
Ablation	CELSIUS FLTR® Uni-Directional	B21;
Diagnostics	Dx Defl 4 Pole	DOO;
Diagnostics	Dx Defl 6 Pole	D01;</t>
  </si>
  <si>
    <t>Subject to the terms and conditions of this PA, the Company shall offer the products set forth on Schedule A (each, a "Product") to the Participants at the indicated pricing.</t>
  </si>
  <si>
    <t>Can you cleanse the product detail and remove the $ price of each items. For the purpose of uniformity in our golden records.
No Contract ID listed</t>
  </si>
  <si>
    <t>001018845~00056208.092</t>
  </si>
  <si>
    <t>7871</t>
  </si>
  <si>
    <t>Amendment #2 To Master IDN Agreement</t>
  </si>
  <si>
    <t>Amendment to Master IDN Agreement</t>
  </si>
  <si>
    <t>Baptist Health South Florida</t>
  </si>
  <si>
    <t>001018845~00056208.093</t>
  </si>
  <si>
    <t>224023</t>
  </si>
  <si>
    <t>ENDO MECHANICAL AND TROCAR</t>
  </si>
  <si>
    <t>104967
110661
110765
264935
291805
1140262
1166556
1359182
1477021
1477253
1477370
1477400
1477444
1477510
2932
2935
2941
4115
4913
9280
9283
10321
52870
72837
80825
253479
357813
1010493
1020665
1020668
1024891
1076468
1130447
1130653
1153937
1157066
1158957
1202055
1208158
1272085
1338893
1352819
1358981
1399026
1399027
1400586
1400656
1400663
1400679
1400689
1400696
1400698
1400702
1400704
1428425
1428428
1428481
1436651
1436652
1437867
1437888
1437893
1437912
1437919
1437920
1437923
1438009
1438021
1451797
1451806
1451876
1451878
1451888
1452911
1452916
1453059
1453128
1453143
1453162
1454552
1454589
1454602
1454629
1454820
1454852
1477397
1477507
1477553
1485432
1487402
1493711
1506822
1506824
1506893
1506901
1506914
1506991
1507002
1507008
1507083
1507899
1507900
1514288
1524178
1550436
107408
1399024
1477509</t>
  </si>
  <si>
    <t>TPE PA BFP V1 7.9.2025</t>
  </si>
  <si>
    <t>104967	FARMACIA HOSPITAL MENONIT	VALLC MCKAULIU ICNUULA #4	CAYEY	PR	634	;
110661	HOSPITAL GENERAL MENONITA	2 CALLE JOSE C VAZQUEZ	AIBONITO	PR	705	;
110765	SAINT CROIX HOSP/COM HEALTH COURT	4007 ESTATE DIAMOND RUBY 	CHRISTIANSTED	VI	820	;
264935	HOSPITAL EPISCOPAL CRISTO REDENTOR	AVE ALBIZU CAMPOS URB LA HACIENDA	GUAYAMA	PR	785	;
291805	MENONITA CAGUAS MEDICAL CENTER	CARR 172 URB VILLA DEL RE 	CAGUAS	PR	726	;
1140262	BOCA UROLOGY	825 MEADOWS RD	BOCA RATON	FL	33486	;
1166556	BOCA RATON ORTHOPAEDIC GROUP	1601 CLINT MOORE RD	BOCA RATON	FL	33487	;
1359182	BOCA CARE REGIONAL HOSPITAL URGENT CARE	3313 W HILLSBORO BLVD	DEERFIELD BEACH	FL	33442	;
1477021	BOCA RATON REGIONAL HOSPITAL DIAGNOSTIC CENTER	• 1905 CLINT MOORE RD	BOCA RATON	FL	33496	;
1477253	BOCA RATON REGIONAL HOSPITAL URGENT CARE	10 E PALMETTO RD	BOCA RATON	FL	33486	;
1477370	BOCACARE DEL MAR	(7301A W PALMETTO PARK RD	BOCA RATON	FL	33433	;
1477400	BOCA CARE CARDIO THORACIC SURGERY	801 MEADOWS ROAD	DEERFIELD BEACH	FL	33442	;
1477444	BOCACARE SOMERSET	8903 GLADES RD	BOCA RATON	FL	33434	;
1477510	BOCA CARE THORACIC SURGERY 	701 NW 13TH STREET	DEERFIELD BEACH	FL	33442	;
2932	SOUTH MIAMI HOSPITAL	6200 SW 73RD ST	SOUTH MIAMI	FL	33143	;
2935	BAPTIST HOSPITAL OF MIAMI	8900 N KENDALL DR	MIAMI	FL	33176	;
2941	BOCA RATON REGIONAL HOSPITAL	800 MEADOWS RD	BOCA RATON	FL	33486	;
4115	DOCTORS HOSPITAL	5000 UNIVERSITY DR	CORAL GABLES	FL	33146	;
4913	BETHESDA HOSPITAL INC	2815 S SEACREST BLVD	BOYNTON BEACH|	FL	33435	;
9280	HOMESTEAD HOSPITAL	975 BAPTIST WAY	HOMESTEAD	FL	33033	;
9283	MARINERS HOSPITAL	91500 OVERSEAS HWY	TAVERNIER	FL	33070	;
10321	FISHERMANS HOSPITAL INC	3301 OVERSEAS HWY	MARATHON	FL	33050	;
52870	FOUNDATION FOR ADVANCE EYE CARE	3737 NW 88TH AVE	SUNRISE	FL	33351	;
72837	BAPTIST HEALTH SYSTEM	10 GIRALDA AVE	CORAL GABLES	FL	33134	;
80825	MEDICAL ARTS SURGERY CENTER	8940 N KENDALL DR	MIAMI	FL	33176	;
253479	BAPTIST HEALTH SYSTEM OF S FLORIDA	6855 SW 57TH AVE	CORAL GABLES	FL	33143	;
357813	ESTAPE MD, RICARDO	8585 SUNSET DR	MIAMI	FL	33143	;
1010493	ONCOLOGY SPECIALTY PHARM LLC	8940 N KENDALL DR	MIAMI	FL	33176	;
1020665	BOCA RATON REGIONAL HOSPITAL	1001 NW 13TH ST	BOCA RATON	FL	33486	;
1020668	BOCA RATON REGIONAL HOSPITAL INC	6282 LINTON BLVD	DELRAY BEACH	FL	33484	;
1024891	BAPT HOSPITAL OF MIAMI	9915 NW 41ST ST	MIAMI	FL	33178	;
1076468	BAPTIST HEALTH CENTER	8301 NW 12TH ST	MIAMI	FL	33126	;
1130447	DOLAN, JAMES MD	7535 AIRWAYS BLVD	SOUTHAVEN	MS	38671	;
1130653	SOUTH MIAMI HOSPITAL INC	6264 W SAMPLE RD	CORAL SPRINGS	FL	33067	;
1153937	BAPTIST OUTPATIENT SERVICES	4741 S UNIVERSITY DR	DAVIE	FL	33328	;
1157066	WEST KENDALL BAPTIST HOSPITAL	9555 SW 162ND AVE	MIAMI	FL	33196	;
1158957	HOSPITAL MENONITA HUMACAO	300 CALLE FONT MARTELO	HUMACAO	PR	791	;
1202055	BETHESDA WEST HOSPITAL	9655 BOYNTON BEACH BLVD 	BOYNTON BEACH	FL	33472	;
1208158	MIAMI ORTHOPAEDICS AND SPORTS MEDICINE INSTITUTE WEST KENDALL	15955 SW 96TH ST	MIAMI	FL	33196	;
1272085	UPPER KEYS SPECIALTY PHYSICIANS	91550 OVERSEAS HWY	TAVERNIER	FL	33070	;
1338893	LYNN CANCER INSTITUTE BOCA RATON	701 NW 13TH ST	BOCA RATON	FL	33486	;
1352819	CONSOLIDATED SERVICES DISTRIBUTION CENTER	9001 NW 33RD ST	DORAL	FL	33172	;
1358981	BAPTIST HEALTH ORTHO SOUTH MIAMI	6200 SUNSET DR	MIAMI	FL	33143	;
1399026	BAPTIST HEALTH PRIMARY CARE 6280 SUNSET DR		SOUTH MIAMI	FL	33143	;
1399027	VERDEJA, JUAN CARLOS MD	7800 SW 87TH AVE	MIAMI	FL	33173	;
1400586	BAPTIST HEALTH PRIMARY CARE 12314 SW 127TH AVE		MIAMI	FL	33186	;
1400656	HANIF WILLIAMS PA GROUP PRACTICE	11030 SW 88TH ST	MIAMI	FL	33176	;
1400663	BAPTIST HEALTH SOUTH FLORIDA 11535 N KENDALL DR		MIAMI	FL	33176	;
1400679	BAPTIST HEALTH MEDICAL GROUP	151 NW 11TH ST	HOMESTEAD	FL	33030	;
1400689	BAPTIST HEALTH PRIMARY CARE 15955 SW 96TH ST		MIAMI	FL	33196	;
1400696	BAPTIST HEALTH PRIMARY CARE 1691 MICHIGAN AVE		MIAMI BEACH	FL	33139	;
1400698	THE MEDICAL CENTER AT OCEAN REEF	50 BARRACUDA LN	KEY LARGO	FL	33037	;
1400702	BAPTIST HEALTH MEDICAL GROUP	8750 SW 144TH ST	PALMETTO BAY	FL	33176	;
1400704	BAPTIST HEALTH ORTHO KENDALL	8940 N KENDALL DR	MIAMI	FL	33176	;
1428425	MIAMI ORTHOPAEDIC &amp; SPORTS MEDICINE INSTITUTE	6200 SUNSET DR	SOUTH MIAMI	FL	33143	;
1428428	BAPTIST HEALTH ORTHO PINECREST	13101 S DIXIE HWY	MIAMI	FL	33156	;
1428481	MIAMI ORTHOPEDICS &amp; SPORTS MEDICINE INSTITUTE	975 BAPTIST WAY	HOMESTEAD	FL	33033	;
1436651	BOCACARE WOMENS INSTITUTE	690 MEADOWS RD	BOCA RATON	FL	33486	;
1436652	BOCACARE 	745 MEADOWS RD	BOCA RATON	FL	33486	;
1437867	BETHESDA HEALTH PHYSICIAN GROUP 	8200 S JOG RD	BOYNTON BEACH	FL	33472	;
1437888	LEVEILLEE RAYMOND J MD OFFICE	2800 S SEACREST BLVD	BOYNTON BEACH	FL	33435	;
1437893	BETHESDA HEALTH PHYSICIAN GROUP	2465 S STATE ROAD 7	WELLINGTON	FL	33414	;
1437912	MATERNAL FETAL MEDICINE OF THE PALM BEACHES	1325 S CONGRESS AVE	BOYNTON BEACH	FL	33426	;
1437919	BETHESDA OUTPATIENT IMAGING CENTER AT BETHESDA HEALTH CITY	10301 HAGEN RANCH RD	BOYNTON BEACH	FL	33437	;
1437920	BETHESDA WOMENS HEALTH CENTER IN WELLINGTON	10520 FOREST HILL BLVD	WELLINGTON	FL	33414	;
1437923	BETHESDA HEALTH URGENT CARE	10520 FOREST HILL BLVD	WELLINGTON	FL	33414	;
1438009	BETHESDA WOMENS HEALTH CENTER	10301 HAGEN RANCH RD	BOYNTON BEACH	FL	33437	;
1438021	BETHESDA HEALTH PHYSICIANS GROUP	2875 S OCEAN BLVD	PALM BEACH	FL	33480	;
1451797	BAPTIST HEALTH URGENT CARE AT SAWGRASS	12472 W SUNRISE BLVD	SUNRISE	FL	33323	;
1451806	BAPTIST HEALTH EMERGENCY	14150 SW 136TH ST	[MIAMI	FL	33186	;
1451876	BAPTIST HEALTH SURGERY CENTER MIAMI BEACH	709 ALTON RD	MIAMI BEACH	FL	33139	;
1451878	BAPTIST HEALTH EXPRESS CARE 5673 CORAL RIDGE DR		CORAL SPRINGS	FL	33076	;
1451888	BAPTIST HEALTH PRIMARY CARE 91550 OVERSEAS HWY		TAVERNIER	FL	33070	;
1452911	BAPTIST HEALTH MEDICAL PLAZA 14660 SW 8TH ST		[MIAMI	FL	33184	;
1452916	BAPTIST HEALTH ENDOSCOPY CENTER	3001 CORAL HILLS DR	CORAL SPRINGS	FL	33065	;
1453059	TERSHAKOVEC, GEORGE R MD	975 BAPTIST WAY	HOMESTEAD	FL	33033	;
1453128	BAPTIST HEALTH URGENT CARE	709 ALTON RD	MIAMI BEACH	FL	33139	;
1453143	BAPTIST HEALTH URGENT CARE	1642 TOWN CENTER CIR	WESTON	FL	33326	;
1453162	BAPTIST HEALTH COUNTRY WALK EXPRESS CARE	15721 SW 152ND ST	MIAMI	FL	33187	;
1454552	BETHESDA HEALTH PHYSICIAN GROUP VASCULAR SURGERY	9868 S STATE ROAD 7	BOYNTON BEACH	FL	33472	;
1454589	BETHESDA HEALTH PHYSICIANS GROUP	2800 S SEACREST BLVD	BOYNTON BEACH	FL	33435	;
1454602	BETHESDA HEALTH PHYSICIANS GROUP	10301 HAGEN RANCH RD	BOYNTON BEACH	FL	33437	;
1454629	BETHESDA HEALTH PHYSICIAN GROUP UROLOGY YVON PETIOITE	2800 S SEACREST BLVD	BOYNTON BEACH	FL	33435	;
1454820	BETHESDA HEALTH PHYSICIANS GROUP	237 GEORGE BUSH BLVD	DELRAY BEACH	FL	33444	;
1454852	BETHESDA HEALTH CITY	10301 HAGEN RANCH RD	BOYNTON BEACH	FL	33437	;
1477397	BOCA GLORIA DRUMMOND	650 GLADES RD	BOCA RATON	FL	33431	;
1477507	BOCA CARE ORTHOPEDICS	3313 W HILLSBORO BLVD.	BOCA RATON	FL	33486	;
1477553	BOCA CARE RADIATION ONCOLOGY	701 NW 13TH ST	BOCA RATON	FL	33486	;
1485432	BAPTIST HEALTH URGENT CARE WEST BOCA	20665 LYONS RD	BOCA RATON	FL	33434	;
1487402	BAPTIST HEALTH MIAMI ORTHOPEDICS	1150 CAMPO SANO AVE	CORAL GABLES	FL	33146	;
1493711	BAPTIST HEALTH SOUTH FLORIDA PLANTATION INFUSION PHARMACY	1228 S PINE ISLAND RD	PLANTATION	FL	33324	;
1506822	DOWNTOWN DORAL DIAGNOSTIC CENTER	8400 NW 53RD ST	DORAL	FL	33166	;
1506824	BAPTIST HOSPITAL	8840 SW 40TH ST	[MIAMI	FL	33165	;
1506893	BAPTIST HEALTH INFUSION CENTER	13001 SW 88TH ST	MIAMI	FL	33186	;
1506901	BAPTIST HEALTH SOUTH FLORIDA 2815 S SEACREST BLVD		BOYNTON BEACH	FL	33435	;
1506914	GALLOWAY SOUTH BAPTIST HEALTH ENDOSCOPY CENTER	7600 SW 87TH AVE	MIAMI	FL	33173	;
1506991	BAPTIST HEALTH SOUTH FLORIDA 8950 N KENDALL DR		MIAMI	FL	33176	;
1507002	BAPTIST HOSPITAL OF MIAMI	13500 SW 152ND ST	MIAMI	FL	33177	;
1507008	BAPTIST HEALTH DIAGNOSTIC IMAGING PEMBROKE PINES	15885 PINES BLVD	PEMBROKE PINES	FL	33027	;
1507083	BAPTIST HEALTH SOUTH FLORIDA 1500 SAN REMO AVE		CORAL GABLES	FL	33146	;
1507899	FLAGLER BAPTIST HEALTH ENDOSCOPY CENTER	1117 N OLIVE AVE	WEST PALM BEACH	FL	33401	;
1507900	BAPTIST HEALTH HOSPITAL AT DORAL	9500 NW 58TH ST	DORAL	FL	33178	;
1514288	BAPTIST HEALTH SOUTH FLORIDA SURGERY AT PLANTATION	1228 S PINE ISLAND RD	PLANTATION	FL	33324	;
1524178	BAPTIST HEALTH FREE STANDING ER AT CORAL WAY	14591 SW 26TH ST	MIAMI	FL	33175	;
1550436	BAPTIST HEALTH SOUTH FLORIDA COOPERMAN MEDICAL ARTS PAVILLION	745 MEADOWS RD	BOCA RATON	FL	33486	;
107408	HOSPITAL DE LA CONCEPCION	CALLE LUNA	SAN GERMAN	PR	683	;
1399024	BAPTIST HEALTH PRIMARY CARE 19225 SW 87TH AVE		MIAMI	FL	33157	;
1477509	BOCA RATON REGIONAL HOSPITAL	3313 W HILLSBORO BLVD	BOCA RATON	FL	33486	;</t>
  </si>
  <si>
    <t>List Price</t>
  </si>
  <si>
    <t xml:space="preserve">Subject to the terms and conditions of this PA, the Company shall offer the Products to the Participants at the Discounts stated in Schedule A. </t>
  </si>
  <si>
    <t>No Contract ID listed</t>
  </si>
  <si>
    <t>001018845~00056208.094</t>
  </si>
  <si>
    <t>232124</t>
  </si>
  <si>
    <t>Amendment  to Product Agreement</t>
  </si>
  <si>
    <t xml:space="preserve">Amendment nld v1.0 9.2.25 </t>
  </si>
  <si>
    <t>Contract ID = 616874 based on previous amendments</t>
  </si>
  <si>
    <t>001018845~00056208.095</t>
  </si>
  <si>
    <t xml:space="preserve">Amend v1 NS 090225 </t>
  </si>
  <si>
    <t>List Price minus Discount Pricing</t>
  </si>
  <si>
    <t>001018845~00056208.096</t>
  </si>
  <si>
    <t>CERENOVUS</t>
  </si>
  <si>
    <t>00004913
00002941
00080825
00002935
00009283
00009280
00002932
00004115
01157066
01352819
01358981
00072837
01202055
01348293
00010321</t>
  </si>
  <si>
    <t>PA IDN 2 YR FIRM $125K VC CPC (Q-14495)</t>
  </si>
  <si>
    <t>4913	BETHESDA HOSPITAL INC	2815 S SEACREST BLVD	BOYNTON BEACH	FL	33435	;
2941	BOCA RATON REGIONAL HOSPITAL	800 MEADOWS RD	BOCA RATON	FL	33486	;
80825	MEDICAL ARTS SURGERY CENTER	8940 N KENDALL DR	MIAMI	FL	33176	;
2935	BAPTIST HOSPITAL OF MIAMI	8900 N KENDALL DR	MIAMI	FL	33176	;
9283	MARINERS HOSPITAL	91500 OVERSEAS HWY	TAVERNIER	FL	33070	;
9280	HOMESTEAD HOSPITAL	975 BAPTIST WAY	HOMESTEAD	FL	33033	;
2932	SOUTH MIAMI HOSPITAL	6200 SW 73RD ST	SOUTH MIAMI	FL	33143	;
4115	DOCTORS HOSPITAL	5000 UNIVERSITY DR	CORAL GABLES	FL	33146	;
1157066	WEST KENDALL BAPTIST HOSPITAL	9555 SW 162ND AVE	MIAMI	FL	33196	;
1352819	CONSOLIDATED SERVICES DISTRIBUTION CENTER	9001 NW 33RD ST	DORAL	FL	33172	;
1358981	BAPTIST HEALTH ORTHO SOUTH MIAMI	6200 SUNSET DR	MIAMI	FL	33143	;
72837	BAPTIST HEALTH SYSTEM	10 GIRALDA AVE	CORAL GABLES	FL	33134	;
1202055	BETHESDA WEST HOSPITAL	9655 BOYNTON BEACH BLVD	BOYNTON BEACH	FL	33472	;
1348293	CONSOLIDATED DISTRIBUTION AND SERVICE CENTER	9001 NW 33RD ST	DORAL	FL	33172	;
10321	FISHERMANS HOSPITAL INC	3301 OVERSEAS HWY	MARATHON	FL	33050	;</t>
  </si>
  <si>
    <t>ASPIRATION TUBING	EVT110	CERENOVUS ASPIRATION TUBING SE	EA	1	$150.00	;
CEREBASE	GS9080SD	GS 90, 80 CM, STRAIGHT, DISTAL	EA	1	$538.97	;
CEREBASE	GS9090SD	GS 90, 90 CM, STRAIGHT, DISTAL	EA	1	$538.97	;
CEREBASE	GS9095SD	GS 90, 95 CM, STRAIGHT, DISTAL	EA	1	$538.97	;
CEREGLIDE 71	NIC71115U	115CM CEREGLIDE 71 CATHETER	EA	1	$2,546.00	;
CEREGLIDE 71	NIC71125U	125CM CEREGLIDE 71 CATHETER	EA	1	$2,546.00	;
CEREGLIDE 71	NIC71132U	132CM CEREGLIDE 71 CATHETER	EA	1	$2,546.00	;
CEREGLIDE 71	NIC71137U	137CM CEREGLIDE 71 CATHETER	EA	1	$2,546.00	;
CEREGLIDE 92	SBC92114UG	SBC 92 114 CM US	EA	1	$4,500.00	;
CEREGLIDE 92	SBC92135UG	SBC 92 135 CM US	EA	1	$4,500.00	;
CEREGLIDE 92	SBC92122UG	SBC 92 122 CM US	EA	1	$4,500.00	;
CEREGLIDE 92	SBC92130UG	SBC 92 130 CM US	EA	1	$4,500.00	;
CEREPAK Detacher	MDH1	MECHANICAL DETACHMENT HANDLE	EA	1	$249.54	;
EMBOGUARD	BG8795U	EMBOGUARD 87, 95 CM	EA	1	$2,317.47	;
EMBOGUARD	BG8785U	EMBOGUARD 87, 85 CM	EA	1	$2,317.47	;
EMBOTRAP III	ET309537	EMBOTRAP I|I 5 MM X 37 MM	EA	1	$7,985.81	;
EMBOTRAP III	ET309522	EMBOTRAP I|I 5 MM X 22 MM	EA	1	$7,985.81	;
EMBOTRAP III	ET309645	EMBOTRAP I|I 6.5 MM X 45 MM	EA	1	$7,985.81	;
ENTERPRISE 2	ENF402300	ENTERPRISE2 4MMX23MM NO TIP	EA	1	$8,749.33	;
ENTERPRISE 2	ENF401612	ENTERPRISE2 4MMX16MM	EA	1	$8,749.33	;
ENTERPRISE 2	ENF401600	ENTERPRISE2 4MMX16MM NO TIP	EA	1	$8,749.33	;
ENTERPRISE 2	ENF403912	ENTERPRISE2 4MMX39MM	EA	1	$8,749.33	;
ENTERPRISE 2	ENF403012	ENTERPRISE2 4MMX30MM	EA	1	$8,749.33	;
ENTERPRISE 2	ENF402312	ENTERPRISE2 4MMX23MM	EA	1	$8,749.33	;
ENTERPRISE 2	ENF403000	ENTERPRISE2 4MMX30MM NO TIP	EA	1	$8,749.33	;
ENTERPRISE 2	ENF403900	ENTERPRISE2 4MMX39MM NO TIP	EA	1	$8,749.33	;
ENVOY 5F	55625490	ENVOY 5F, H1 90CM	EA	1	$492.77	;
ENVOY 5F	55626000	ENVOY 5F, STR 100CM	EA	1	$492.77	;
ENVOY 5F	55625800	ENVOY 5F, MPD 100 CM	EA	1	$492.77	;
ENVOY 5F	55625600	ENVOY 5F, MPC 100 CM	EA	1	$492.77	;
ENVOY 5F	55625400	ENVOY 5F, H1 100 CM	EA	1	$492.77	;
ENVOY 5F	55625690	ENVOY 5F, MPC 90CM	EA	1	$492.77	;
ENVOY 5F	55625090	ENVOY 5F, CBL BURKE 90CM	EA	1	$492.77	;
ENVOY 5F	55626090	ENVOY 5F, STR 90CM	EA	1	$492.77	;
ENVOY 5F	55625000	ENVOY 5F, CBL BURKE 100 CM	EA	1	$492.77	;
ENVOY 5F	55625890	ENVOY 5F, MPD 90CM	EA	1	$492.77	;
ENVOY 6F	67025400B	ENVOY 6F, XB HH-1 100CM	EA	1	$492.77	;
ENVOY 6F	67025400	ENVOY 6F, HH-1 100CM	EA	1	$492.77	;
ENVOY 6F	67025090B	ENVOY 6F, XB CBL BURKE 90CM	EA	1	$492.77	;
ENVOY 6F	67026090B	ENVOY 6F, XB STR 90CM	EA	1	$492.77	;
ENVOY 6F	67025200	ENVOY 6F, SIM2 100CM	EA	1	$492.77	;
ENVOY 6F	67025800B	ENVOY 6F, XB MPD 100CM	EA	1	$492.77	;
ENVOY 6F	67025890B	ENVOY 6F, XB MPD 90CM	EA	1	$492.77	;
ENVOY 6F	67026090	ENVOY 6F, STR 90CM	EA	1	$492.77	;
ENVOY 6F	67025490	ENVOY 6F, HH-1 90CM	EA	1	$492.77	;
ENVOY 6F	67025890	ENVOY 6F, MPD 90CM	EA	1	$492.77	;
ENVOY 6F	67025290	ENVOY 6F, SIM2 90CM	EA	1	$492.77	;
ENVOY 6F	67025200B	ENVOY 6F, XB SIM2 100CM	EA	1	$492.77	;
ENVOY 6F	67025290B	ENVOY 6F, XB SIM2 90CM	EA	1	$492.77	;
ENVOY 6F	67025000B	ENVOY 6F, XB CBL BURKE 100CM	EA	1	$492.77	;
ENVOY 6F	67025000	ENVOY 6F, CBL BURKE 100CM	EA	1	$492.77	;
ENVOY 6F	67025600	ENVOY 6F, MPC 100CM	EA	1	$492.77	;
ENVOY 6F	67025600B	ENVOY 6F, XB MPC 100CM	EA	1	$492.77	;
ENVOY 6F	67025690B	ENVOY 6F, XB MPC 90CM	EA	1	$492.77	;
ENVOY 6F	67025800	ENVOY 6F, MPD 100CM	EA	1	$492.77	;
ENVOY 6F	67026000B	ENVOY 6F, XB STR 100CM	EA	1	$492.77	;
ENVOY 6F	67026000	ENVOY 6F, STR 100CM	EA	1	$492.77	;
ENVOY 6F	67025090	ENVOY 6F, CBL BURKE 90CM	EA	1	$492.77	;
ENVOY 6F	67025490B	ENVOY 6F, XB HH-1 90CM	EA	1	$492.77	;
ENVOY 6F	67025690	ENVOY 6F, MPC 90CM	EA	1	$492.77	;
ENVOY 7F	77825400	ENVOY, 7F, 100 CM, H1	EA	1	$513.30	;
ENVOY 7F	77825800	ENVOY, 7F, 100 CM, MPD	EA	1	$513.30	;
ENVOY 7F	77825490	ENVOY, 7F, 90 CM, H1	EA	1	$513.30	;
ENVOY 7F	77825290	ENVOY, 7F, 90 CM, SIMMONS 2	EA	1	$513.30	;
ENVOY 7F	77824890	ENVOY, 7F, 90 CM, CBL	EA	1	$513.30	;
ENVOY 7F	77825690	ENVOY, 7F, 90 CM, MPC	EA	1	$513.30	;
ENVOY 7F	77824800	ENVOY, 7F, 100 CM, CBL	EA	1	$513.30	;
ENVOY 7F	77825200	ENVOY, 7F, 100 CM, SIMMONS 2	EA	1	$513.30	;
ENVOY 7F	77825600	ENVOY, 7F, 100 CM, MPC	EA	1	$513.30	;
ENVOY 7F	77825890	ENVOY, 7F, 90 CM, MPD	EA	1	$513.30	;
ENVOY 7F	77826000	ENVOY, 7F, 100 CM, STRAIGHT	EA	1	$513.30	;
ENVOY 7F	77826090	ENVOY, 7F, 90 CM, STRAIGHT	EA	1	$513.30	;
ENVOY DA	67125805DB	ENVOY DA XB, 6F, 105CM, MPD	EA	1	$852.07	;
ENVOY DA	67126005D	ENVOY DA, 6F, 105CM, STRAIGHT	EA	1	$852.07	;
ENVOY DA	67126005DB	ENVOY DA XB, 6F, 105CM, STRAIG	EA	1	$852.07	;
ENVOY DA	67125895DB	ENVOY DA XB, 6F, 95 CM, MPD	EA	1	$852.07	;
ENVOY DA	67125695DB	ENVOY DA XB, 6F, 95 CM, MPC	EA	1	$852.07	;
ENVOY DA	67125605DB	ENVOY DA XB, 6F, 105CM, MPC	EA	1	$852.07	;
ENVOY DA	67125805D	ENVOY DA, 6F, 105CM, MPD	EA	1	$852.07	;
ENVOY DA	67126095D	ENVOY DA, 6F, 95CM, STRAIGHT	EA	1	$852.07	;
ENVOY DA	67125605D	ENVOY DA, 6F, 105CM, MPC	EA	1	$852.07	;
ENVOY DA	67125695D	ENVOY DA, 6F, 95 CM, MPC	EA	1	$852.07	;
ENVOY DA	67126095DB	ENVOY DA XB, 6F, 95 CM, STRAIG	EA	1	$852.07	;
ENVOY DA	67125895D	ENVOY DA, 6F, 95CM, MPD	EA	1	$852.07	;
FREEFORM	SCR120721	FREEFORM 7MM X 21 CM	EA	1	$2,031.80	;
FREEFORM	SCR120610	FREEFORM 6MM X 10 CM	EA	1	$2,031.80	;
FREEFORM	SCR120824	FREEFORM 8MM X 24 CM	EA	1	$2,031.80	;
FREEFORM	SCR120306	FREEFORM 3MM X 6 CM	EA	1	$2,031.80	;
FREEFORM	SCR121030	FREEFORM 10MM X 30 CM	EA	1	$2,031.80	;
FREEFORM	SCR120412	FREEFORM 4MM X 12 CM	EA	1	$2,031.80	;
FREEFORM	SCR123509	FREEFORM 3.5MM X 9 CM	EA	1	$2,031.80	;
FREEFORM	SCR120815	FREEFORM 8MM X 15 CM	EA	1	$2,031.80	;
FREEFORM	SCR120615	FREEFORM 6MM X 15 CM	EA	1	$2,031.80	;
FREEFORM	SCR120407	FREEFORM 4MM X 7 CM	EA	1	$2,031.80	;
FREEFORM	SCR122505	FREEFORM 2.5MM X 5 CM	EA	1	$2,031.80	;
FREEFORM	SCR121230	FREEFORM 12MM X 30 CM	EA	1	$2,031.80	;
FREEFORM	SCR120308	FREEFORM 3MM X 8 CM	EA	1	$2,031.80	;
FREEFORM	SCR123575	FREEFORM 3.5MM X 7.5 CM	EA	1	$2,031.80	;
FREEFORM	SCR120510	FREEFORM 5MM X 10 CM	EA	1	$2,031.80	;
FREEFORM	SCR120620	FREEFORM 6MM X 20 CM	EA	1	$2,031.80	;
FREEFORM	SCR120515	FREEFORM 5MM X 15 CM	EA	1	$2,031.80	;
FREEFORM	SCR120715	FREEFORM 7MM X 15 CM	EA	1	$2,031.80	;
FREEFORM	SCR120925	FREEFORM 9MM X 25 CM	EA	1	$2,031.80	;
FREEFORM	SCR120410	FREEFORM 4MM X 10 CM	EA	1	$2,031.80	;
FREEFORM MINI	MCR092060	FREEFORM Mini 2MM X 6CM	EA	1	$2,031.80	;
FREEFORM MINI	MCR091015	FREEFORM Mini 1MM X 1.5CM	EA	1	$2,031.80	;
FREEFORM MINI	MCR091040	FREEFORM Mini 1MM X 4CM	EA	1	$2,031.80	;
FREEFORM MINI	MCR091025	FREEFORM Mini 1MM X 2.5CM	EA	1	$2,031.80	;
FREEFORM MINI	MCR092020	FREEFORM Mini 2MM X 2MM	EA	1	$2,031.80	;
FREEFORM MINI	MCR092545	FREEFORM Mini 2.5MM X 4.5CM	EA	1	$2,031.80	;
FREEFORM MINI	MCR091540	FREEFORM Mini 1.5MM X 4CM	EA	1	$2,031.80	;
FREEFORM MINI	MCR093080	FREEFORM Mini 3MM X 8CM	EA	1	$2,031.80	;
FREEFORM MINI	MCR092535	FREEFORM Mini 2.5MM X 3.5CM	EA	1	$2,031.80	;
FREEFORM MINI	MCR091020	FREEFORM Mini 1MM X 2CM	EA	1	$2,031.80	;
FREEFORM MINI	MCR091525	FREEFORM Mini 1.5MM X 2.5CM	EA	1	$2,031.80	;
FREEFORM MINI	MCR091520	FREEFORM Mini 1.5MM X 2CM	EA	1	$2,031.80	;
FREEFORM MINI	MCR092040	FREEFORM Mini 2MM X 4CM	EA	1	$2,031.80	;
FREEFORM MINI	MCR091010	FREEFORM Mini 1MM X 1CM	EA	1	$2,031.80	;
FREEFORM MINI	MCR093040	FREEFORM Mini 3MM X 4CM	EA	1	$2,031.80	;
FREEFORM MINI	MCR092555	FREEFORM Mini 2.5MM X 5.5CM	EA	1	$2,031.80	;
FREEFORM MINI	MCR092030	FREEFORM Mini 2MM X 3CM	EA	1	$2,031.80	;
FREEFORM MINI	MCR091030	FREEFORM Mini 1MM X 3CM	EA	1	$2,031.80	;
FREEFORM MINI	MCR091530	FREEFORM Mini 1.5MM X 3CM	EA	1	$2,031.80	;
FREEFORM MINI	MCR093060	FREEFORM Mini 3MM X 6CM	EA	1	$2,031.80	;
FREEFORM XTRASOFT	XCR120610	FREEFORM XSFT 6MM X 10 CM	EA	1	$2,031.80	;
FREEFORM XTRASOFT	XCR122505	FREEFORM XSFT 2.5MM X 5 CM	EA	1	$2,031.80	;
FREEFORM XTRASOFT	XCR120202	FREEFORM XSFT 2MM X 2 CM	EA	1	$2,031.80	;
FREEFORM XTRASOFT	XCR122535	FREEFORM XSFT 2.5MM X 3.5 CM	EA	1	$2,031.80	;
FREEFORM XTRASOFT	XCR123509	FREEFORM XSFT 3.5MM X 9 CM	EA	1	$2,031.80	;
FREEFORM XTRASOFT	XCR120406	FREEFORM XSFT 4MM X 6 CM	EA	1	$2,031.80	;
FREEFORM XTRASOFT	XCR122525	FREEFORM XSFT 2.5MM X 2.5 CM	EA	1	$2,031.80	;
FREEFORM XTRASOFT	XCR120620	FREEFORM XSFT 6MM X 20 CM	EA	1	$2,031.80	;
FREEFORM XTRASOFT	XCR123575	FREEFORM XSFT 3.5MM X 7.5 CM	EA	1	$2,031.80	;
FREEFORM XTRASOFT	XCR120304	FREEFORM XSFT 3MM X 4 CM	EA	1	$2,031.80	;
FREEFORM XTRASOFT	XCR120306	FREEFORM XSFT 3MM X 6 CM	EA	1	$2,031.80	;
FREEFORM XTRASOFT	XCR120510	FREEFORM XSFT 5MM X 10 CM	EA	1	$2,031.80	;
FREEFORM XTRASOFT	XCR120515	FREEFORM XSFT 5MM X 15 CM	EA	1	$2,031.80	;
FREEFORM XTRASOFT	XCR120410	FREEFORM XSFT 4MM X 10 CM	EA	1	$2,031.80	;
FREEFORM XTRASOFT	XCR120408	FREEFORM XSFT 4MM X 8 CM	EA	1	$2,031.80	;
FREEFORM XTRASOFT	XCR123505	FREEFORM XSFT 3.5MM X 5 CM	EA	1	$2,031.80	;
FREEFORM XTRASOFT	XCR120201	FREEFORM XSFT 2MM X 1.5 CM	EA	1	$2,031.80	;
FREEFORM XTRASOFT	XCR120308	FREEFORM XSFT 3MM X 8 CM	EA	1	$2,031.80	;
HELIFORM XL	SHD180733	HELIFORM XL 7MM X 33 CM	EA	1	$2,132.94	;
HELIFORM XL	SHD180935	HELIFORM XL 9MM X 35 CM	EA	1	$2,132.94	;
HELIFORM XL	SHD180415	HELIFORM XL 4MM X 15 CM	EA	1	$2,132.94	;
HELIFORM XL	SHD181242	HELIFORM XL 12MM X 42 CM	EA	1	$2,132.94	;
HELIFORM XL	SHD182060	HELIFORM XL 20MM X 60 CM	EA	1	$2,132.94	;
HELIFORM XL	SHD180312	HELIFORM XL 3MM X 12 CM	EA	1	$2,132.94	;
HELIFORM XL	SHD180835	HELIFORM XL 8MM X 35 CM	EA	1	$2,132.94	;
HELIFORM XL	SHD181650	HELIFORM XL 16MM X 50 CM	EA	1	$2,132.94	;
HELIFORM XL	SHD181445	HELIFORM XL 14MM X 45 CM	EA	1	$2,132.94	;
HELIFORM XL	SHD180625	HELIFORM XL 6MM X 25 CM	EA	1	$2,132.94	;
HELIFORM XL	SHD181040	HELIFORM XL 10MM X 40 CM	EA	1	$2,132.94	;
HELIFORM XL	SHD180520	HELIFORM XL 5MM X 20 CM	EA	1	$2,132.94	;
HELIFORM XL	SHD181855	HELIFORM XL 18MM X 55 CM	EA	1	$2,132.94	;
HELIFORM XTRASOFT XL	XHE120208	HELIFORM XSFT XL 2MM X 8 CM	EA	1	$1,738.17	;
HELIFORM XTRASOFT XL	XHE120204	HELIFORM XSFT XL 2MM X 4 CM	EA	1	$1,738.17	;
HELIFORM XTRASOFT XL	XHE120206	HELIFORM XSFT XL 2MM X 6 CM	EA	1	$1,738.17	;
PROWLER 10	606051X	PROWLER-10 150CM DUAL MARKER	EA	1	$1,108.72	;
PROWLER 10	606051	PROWLER-10 150CM	EA	1	$1,108.72	;
PROWLER 10 Shaped	606051JX	PRESHAPED PROWLER10 J TIP 2MRK	EA	1	$1,129.25	;
PROWLER 10 Shaped	606051FX	PRESHAPED PROWLER10 45TIP 2MRK	EA	1	$1,129.25	;
PROWLER 10 Shaped	606051MX	PRESHAPED PROWLER10 90TIP 2MRK	EA	1	$1,129.25	;
PROWLER 14	606171	PROWLER-14 170CM	EA	1	$1,129.25	;
PROWLER 14	606151	PROWLER-14 150CM	EA	1	$1,129.25	;
PROWLER 14	606131	PROWLER-14 135CM	EA	1	$1,129.25	;
PROWLER 14	606151X	PROWLER-14 DUAL MARKER	EA	1	$1,129.25	;
PROWLER 14 Shaped	606151FX	PRESHAPED PROWLER14 45TIP 2MRK	EA	1	$1,160.05	;
PROWLER 14 Shaped	606151JX	PRESHAPED PROWLER14 J TIP 2MRK	EA	1	$1,160.05	;
PROWLER 14 Shaped	606151MX	PRESHAPED PROWLER14 90TIP 2MRK	EA	1	$1,160.05	;
PROWLER EX	MC2165S2U	160CM 5CM DISTAL 2 MB STR TIP	EA	1	$1,129.25	;
PROWLER PLUS	6062310M	PSHP PROWLER PLUS 135CM MAX	EA	1	$1,129.25	;
PROWLER PLUS	6062310	PROWLER PLUS CATH	EA	1	$1,129.25	;
PROWLER PLUS	6062511X	PROWLER PLUS 150/45CM DUAL MRK	EA	1	$1,129.25	;
PROWLER PLUS	6062910	PROWLER PLUS 110CM	EA	1	$1,129.25	;
PROWLER PLUS	6062511	PROWLER PLUS 45CM TIP, 150CM	EA	1	$1,129.25	;
PROWLER PLUS	6062310F	PSHP PROWLER PLUS 135CM MP	EA	1	$1,129.25	;
PROWLER PLUS	6062510	PROWLER PLUS 20CM TIP, 150 CM	EA	1	$1,129.25	;
PROWLER PLUS	6062510X	PROWLER PLUS 150/20CM DUAL MRK	EA	1	$1,129.25	;
PROWLER PLUS Shaped	6062510MX	PSHP PROWLER PLUS 20CM TIP 900	EA	1	$1,160.05	;
PROWLER PLUS Shaped	6062310J	PSHP PROWLER PLUS 135CM J	EA	1	$1,160.05	;
PROWLER PLUS Shaped	6062510FX	PSHP PROWLER PLUS 20CM TIP 450	EA	1	$1,160.05	;
PROWLER PLUS Shaped	6062510JX	PSHP PROWLER PLUS 20CM TIP, J	EA	1	$1,160.05	;
PROWLER PLUS Shaped	6062511FX	PSHP PROWLER PLUS 45CM TIP, 45	EA	1	$1,160.05	;
PROWLER SELECT LPES	MC1755S2U	MC 0165", 150 cm, straight, US	EA	1	$1,191.28	;
PROWLER SELECT LPES Shaped	MC1755F2U	MC 0165", 150 cm, 45 tip, US	EA	1	$1,211.38	;
PROWLER SELECT LPES Shaped	MC1755J2U	MC 0165", 150 cm, J tip, US	EA	1	$1,211.38	;
PROWLER SELECT LPES Shaped	MC1755M2U	MC 0165", 150 cm, 90 tip, US	EA	1	$1,211.38	;
PROWLER SELECT LPES	606S252	PROWLER SELECT PLUS 150/15CM	EA	1	$1,129.25	;
PROWLER SELECT LPES	606S272X	PROWLER SELECT PLUS 170/15 CM	EA	1	$1,129.25	;
PROWLER SELECT LPES	606S255X	PROWLER SELECT PLUS 150/5CM	EA	1	$1,129.25	;
PROWLER SELECT LPES	606S252X	PROWLER SELECT Plus 150/15cm	EA	1	$1,129.25	;
PROWLER SELECT PLUS Shaped	606S255JX	PROWLER SEL PLUS 150/5CM J TIP	EA	1	$1,160.05	;
PROWLER SELECT PLUS Shaped	606S255MX	PROWLER SELECT PLUS 5CM 90 TIP	EA	1	$1,160.05	;
PROWLER SELECT PLUS Shaped	606S252FX	PROWLER SELECT PLUS 15CM 45TIP	EA	1	$1,160.05	;
PROWLER SELECT PLUS Shaped	606S255FX	PROWLER SEL PLUS 150/5CM 45TIP	EA	1	$1,160.05	;
RAPID TRANSIT	601251	RAPIDTRANSIT 150CM	EA	1	$923.93	;
RAPID TRANSIT	601240	RAPIDTRANSIT 100CM	EA	1	$923.93	;
RAPID TRANSIT	601271	RAPIDTRANSIT 170CM	EA	1	$923.93	;
RAPID TRANSIT	601210	RAPIDTRANSIT 70CM	EA	1	$923.93	;
RAPID TRANSIT	601231	RAPIDTRANSIT 135CM	EA	1	$923.93	;
RAPID TRANSIT	601251X	RAPIDTRANSIT DUAL MARKER 150CM	EA	1	$923.93	;
TRUFILL N-BCA-1 GRAM KIT	31500	TRUFILL-N-BCA-1 GRAM KIT-631500	EA	1	$4,612.43	;
TRUFILL N-BCA-1 GRAM KIT	632500NA	TRUFILL N-BCA 1G &amp; ACCESSORIES	EA	1	$4,860.74	;
TRUFILL N-BCA-2 GRAM KIT	631400	TRUFILL-N-BCA-2 GRAM KIT-631400	EA	1	$8,050.98	;
TRUFILL N-BCA-2 GRAM KIT	632400NA	TRUFILL N-BCA 2G &amp; ACCESSORIES	EA	1	$7,941.26	;
UNIFORM	FCX100829	UNIFORM 8MM X 29 CM	EA	1	$2,031.80	;
UNIFORM	FCX100305	UNIFORM 3MM X 5.4 CM	EA	1	$2,031.80	;
UNIFORM	FCX100509	UNIFORM 5MM × 9.7 CM	EA	1	$2,031.80	;
UNIFORM	FCX100713	UNIFORM 7MM X 13.9 CM	EA	1	$2,031.80	;
UNIFORM	FCX100202	UNIFORM 2MM X 2.5 CM	EA	1	$2,031.80	;
UNIFORM	FCX100356	UNIFORM 3.5MM X 6.6 CM	EA	1	$2,031.80	;
UNIFORM	FCX100407	UNIFORM 4MM × 7.5 CM	EA	1	$2,031.80	;
UNIFORM	FCX100816	UNIFORM 8MM X 16.1 CM	EA	1	$2,031.80	;
UNIFORM	FCX100611	UNIFORM 6MM X 11.9 CM	EA	1	$2,031.80	;
UNIFORM	FCX100517	UNIFORM 5MM X 17 CM	EA	1	$2,031.80	;
UNIFORM	FCX100730	UNIFORM 7MM X 30 CM	EA	1	$2,031.80	;
UNIFORM	FCX100253	UNIFORM 2.5MM X 3.3 CM	EA	1	$2,031.80	;
UNIFORM	FCX100626	UNIFORM 6MM X 26 CM	EA	1	$2,031.80	;
UNIFORM	FCX100412	UNIFORM 4MM X 11.5 CM	EA	1	$2,031.80	;
UNIFORM XL	FCX181447	UNIFORM XL 14MM X 47 CM	EA	1	$2,438.35	;
UNIFORM XL	FCX180813	UNIFORM XL 8MM X 13.6 CM	EA	1	$2,438.35	;
UNIFORM XL	FCX181240	UNIFORM XL 12MM X 40 CM	EA	1	$2,438.35	;
UNIFORM XL	FCX181647	UNIFORM XL 16MM X 47 CM	EA	1	$2,438.35	;
UNIFORM XL	FCX181017	UNIFORM XL 10MM X 17.1 CM	EA	1	$2,438.35	;
UNIFORM XL	FCX181846	UNIFORM XL 18MM X 46 CM	EA	1	$2,438.35	;
UNIFORM XL	FCX180510	UNIFORM XL 5MM X 10 CM	EA	1	$2,438.35	;
UNIFORM XL	FCX180830	UNIFORM XL 8MM X 30 CM	EA	1	$2,438.35	;
UNIFORM XL	FCX180915	UNIFORM XL 9MM X 15.3 CM	EA	1	$2,438.35	;
UNIFORM XL	FCX181034	UNIFORM XL 10MM X 34 CM	EA	1	$2,438.35	;
UNIFORM XL	FCX181118	UNIFORM XL 11MM X 18.9 CM	EA	1	$2,438.35	;
UNIFORM XL	FCX182050	UNIFORM XL 20MM X 50 CM	EA	1	$2,438.35	;
UNIFORM XL	FCX180612	UNIFORM XL 6MM X 12.2 CM	EA	1	$2,438.35	;
UNIFORM XL	FCX180714	UNIFORM XL 7MM X 14.3 CM	EA	1	$2,438.35	;
UNIFORM XL	FCX181343	UNIFORM XL 13MM X 43 CM	EA	1	$2,438.35	;
UNIFORM XL	FCX180933	UNIFORM XL 9MM X 33 CM	EA	1	$2,438.35	;
UNIFORM XL	FCX181137	UNIFORM XL 11MM X 37 CM	EA	1	$2,438.35	;</t>
  </si>
  <si>
    <t>Subject to the terms and conditions of this PA, the Company shall offer the Products to the Participants at the Contract Price stated in Schedule A. Only products covered by Schedule A and purchased under this PA are eligible for Price Concessions. 
The Company will hold each such Contract Price firm for the first twenty-four (24) months period from the PA Effective Date. 
From time to time, the Company may offer, in writing, additional Discounts based on a Participant's single purchase transaction. 
All other terms and conditions of this PA would apply to any such Participant purchases.</t>
  </si>
  <si>
    <t>001018845~00056208.097</t>
  </si>
  <si>
    <t>Amendment To Product Agreement (Depuy Synthes Mitek Sports Medicine)</t>
  </si>
  <si>
    <t>Amd PA (Contract Ext) v1 pdk 10.30.2025</t>
  </si>
  <si>
    <t>001018845~00062839.001</t>
  </si>
  <si>
    <t>MS100</t>
  </si>
  <si>
    <t>Master Service Agreement</t>
  </si>
  <si>
    <t>Florida not-for-profit Corporation</t>
  </si>
  <si>
    <t>JDE: 77010, Ship To: 96550, UCN: 2932, South Miami Hospital 6200 SW 73rd St South Miami, FL 33143-4679;
JDE: 77010, Ship To: 110739, UCN: 2935 Baptist Hospital of Miami 8900 N Kendall Dr. Miami FL 33176-2118; 
JDE: 77010, Ship To: 146324, Consolidated Distribution Service Center 9001 NW 33rd St Doral, FL 33172-1235;</t>
  </si>
  <si>
    <t>Advanced Sterilization and Biosense Webster</t>
  </si>
  <si>
    <t>Product line Not Listed(12/10/2025)</t>
  </si>
  <si>
    <t>001018845~00062839.002</t>
  </si>
  <si>
    <t>Amendment #1 To Schedule B And Schedule C Of Biosense Webster, Inc. Service Agreement #2008178</t>
  </si>
  <si>
    <t>Amendment to Master Service Agreement</t>
  </si>
  <si>
    <t xml:space="preserve">$08efc9737a28$83230D1 C37 A24D2D900A585372A40200.docx </t>
  </si>
  <si>
    <t xml:space="preserve">JDE: 111886, UCN: 52194, BETHESDA HOSP INC 3800 S CONGRESS BOYNTON BEACH FL 33426-8424
 </t>
  </si>
  <si>
    <t xml:space="preserve">1 C3PR1 Premium Service Agreement - One Year Service Agreement for CARTO 3 System $36,050.00 Per Agreement Per System
1 SVSA1 SMART ABLATE® System Premium Service- One Year for SMARTABLATE® Generator, Remote Control, Irrigation Pump, Communication Cables and Foot Pedal $10,300.00 Per Agreement Per System
</t>
  </si>
  <si>
    <t xml:space="preserve">The Company shall offer the services set forth on this SA (the "Services") to the  Participants at the prices indicated on this SA (the "Prices"). 
Only Services identified and covered under this SA are eligible for the Prices. 
Prices are calculated on consecutive 12-month periods beginning on the SA Effective Date (each such 12-month period , a "Contract Year"). 
The Prices for any Participant  signing up during a Contract Year will be pro-rated for such Participant. 
Subject to Section 13, the  Company shall initially offer the Services at the Prices stated on this SA for the first 3 Contract Years. </t>
  </si>
  <si>
    <t>001018845~00062839.003</t>
  </si>
  <si>
    <t>Notice to Master Service Agreement</t>
  </si>
  <si>
    <t>Per Agreement Per System</t>
  </si>
  <si>
    <t>001018845~00062839.004</t>
  </si>
  <si>
    <t>12160</t>
  </si>
  <si>
    <t>Amendment #2 To Master Service Agreement</t>
  </si>
  <si>
    <t>Amendment to extend 10-19-2023.</t>
  </si>
  <si>
    <t>001018845~00083922.001</t>
  </si>
  <si>
    <t>Monarch Sales And Support Agreement</t>
  </si>
  <si>
    <t>MONARCH PLATFORM BRONCHOSCOPY</t>
  </si>
  <si>
    <t>Sales and Support Agreement</t>
  </si>
  <si>
    <t xml:space="preserve">Baptist Hospital of Miami </t>
  </si>
  <si>
    <t xml:space="preserve">00002935  Baptist Hospital of Miami </t>
  </si>
  <si>
    <t xml:space="preserve">MON-000006 Monarch Platform, Bronchoscopy 1 Each $595,000.00,  $550,000.00
Included Items:
(1) Monarch Tower 
(1) Monarch Cart 
(2) Monarch Controller 
(1) Monarch Pre-Op Planning System Kit 
(2) Monarch Navigation Patient Sensors 
(1) Monarch Navigation Field Generator 
(1) Monarch Navigation Field Generator Mount 
(1) Bronchoscope Patient Introducer Mount 
(1 box) Monarch Navigation Patient Patches (MBR-000016) 
(1 box) Bronchoscope Patient Introducer Kit (MBR-000017) 
(1 box) Bronchoscope Fluidics Tubing(MBR-000018) 
(1 box) Bronchoscope Sheath Valve (MBR-000020) 
(1) Demo Bronchoscope System 
1 Year Monarch Platform Warranty 
Monarch Technical Training 
1st Year of Monarch Elevate Premier Support
</t>
  </si>
  <si>
    <t>All pricing is calculated exclusive of any applicable taxes, duties, or similar liabilities. 
Customer is responsible for payment of any applicable taxes, duties, or similar liabilities. _x000D_</t>
  </si>
  <si>
    <t>Please check the contract if its match with the contract content, should be 20655.</t>
  </si>
  <si>
    <t>001018845~00083922.002</t>
  </si>
  <si>
    <t>Amendment #1 To Monarch Sales And Support Agreement</t>
  </si>
  <si>
    <t>Amendment to Sales and Support Agreement</t>
  </si>
  <si>
    <t xml:space="preserve"> MSSA Amendment 1 CID# 20655 - CLEAN.docx</t>
  </si>
  <si>
    <t>SOUTH MIAMI HOSPITAL 6200 SW 73RD ST SOUTH MIAMI FL 33143;
BAPTIST HOSPITAL OF MIAMI 8900 N KENDALL DR MIAMI FL 33176;
BOCA RATON REGIONAL HOSPITAL 800 MEADOWS RD BOCA RATON FL 33486;
DOCTORS HOSPITAL 5000 UNIVERSITY DR CORAL GABLES FL 33146;
BETHESDA HOSPITAL INC 2815 S SEACREST BLVD BOYNTON BEACH FL 33435;
HOMESTEAD HOSPITAL 975 BAPTIST WAY HOMESTEAD FL 33033;
MARINERS HOSPITAL 91500 OVERSEAS HWY MM91 5 TAVERNIER FL 33070;
MEDICAL ARTS SURGERY CENTER 8940 N KENDALL DR MIAMI FL 33176;
WEST KENDALL BAPTIST HOSPITAL 9555 SW162ND AVE MIAMI FL 33196;
BETHESDA WEST HOSPITAL 9655 BOYNTON BEACH BLVD BOYNTON BEACH FL 33472;
CONSOLIDATED SERVICES DISTRIBUTION CENTER 9001 NW33RDST DORAL FL 33172;
BETHESDA HEALTH PHYSICIAN GROUP VASCULAR SURGERY 9868 S STATE ROAD 7 BOYNTON BEACH FL 33472;</t>
  </si>
  <si>
    <t>MBR-000211 Monarch Bronchoscope Each 1 $1,699.50;
MBR-000014 Biopsy Forceps - Smooth Cup Box 5 $477.92;
MBR-000015 Cytology Brush Box 5 $371.83;
MBR-000016 Navigation Patient Patches Box 180 $572.68;
MBR-000017 Bronchoscope Patient Introducer Kit Box 4 $254.41;
MBR-000218 Bronchoscope Fluidics Tubing Box 3 $159.65;
MBR-000020 Bronchoscope Sheath Valve Box 20 $318.27;</t>
  </si>
  <si>
    <t>All pricing is calculated exclusive of any applicable taxes, duties, or similar liabilities.
Such charges will be paid by Customer. Auris agrees that the prices for the Monarch Bronchoscope and Consumables as outlined in Schedule C attached hereto are firm through December 31, 2024</t>
  </si>
  <si>
    <t>001018845~00083922.003</t>
  </si>
  <si>
    <t>Amendment #2 To Monarch Sales And Support Agreement</t>
  </si>
  <si>
    <t>Amendment to Sales and Support Agreement/
Rental Agreement</t>
  </si>
  <si>
    <t xml:space="preserve"> MSSA Amendment 2 Rental Agreement CID# 20655_clean.docx</t>
  </si>
  <si>
    <t>Rental</t>
  </si>
  <si>
    <t>MON-000006-Monarch Plattorm, RENT Bronchoscopy- Rental 1 $5,000.00 1 year from installation</t>
  </si>
  <si>
    <t>The customer will be charged with a monthly rental fee of $5,000.00 for one quantity of Monarch Platform Bronchoscopy.
The customer has an option to purchase the Monarch System at the price set forth in the Sales Quote, under the terms and conditions of the Agreement, less any rental payments made during the initial 12-month period or return the Monarch System to Auris at Auris' expense.</t>
  </si>
  <si>
    <t>001018845~00083922.004</t>
  </si>
  <si>
    <t>Amendment #3 To Monarch Sales And Support Agreement</t>
  </si>
  <si>
    <t>MSSA Amendment 3 Rental Agreement CID# 20655_clean.docx</t>
  </si>
  <si>
    <t>Rent with option to Purchase</t>
  </si>
  <si>
    <t>001018845~00083922.005</t>
  </si>
  <si>
    <t>Amendment #4 To Monarch Sales And Support Agreement</t>
  </si>
  <si>
    <t>$dc5e 7 c998314$7BC20265DB7D43839C 13F9AFBDEF9E9B.docx</t>
  </si>
  <si>
    <t>001018845~00083922.006</t>
  </si>
  <si>
    <t>Amendment #5 To Monarch Sales And Support Agreement</t>
  </si>
  <si>
    <t xml:space="preserve">Amendment-5 ext rentals CID20655_CTM v1 20240403.docx </t>
  </si>
  <si>
    <t>001018845~00083922.007</t>
  </si>
  <si>
    <t>Amendment #6 To Monarch Sales And Support Agreement</t>
  </si>
  <si>
    <t>Amendment price update CID20655_CTM v2.1 20250206.docx</t>
  </si>
  <si>
    <t>Escalating Pricing</t>
  </si>
  <si>
    <t>MBR-000211 MONARCH Bronchoscope Each 1 $1,699.50 $2,000.00 $2,200.00 $2,500.00;
MBR-000014 Biopsy Forceps - Smooth Cup Box 5 $477.92 $806.76 $806.76 $806.76;
MBR-000015 Cytology Brush Box 5 $371.83 $629.55 $629.55 $629.55;
MBR-000016 Navigation Patient Patches Box 180 $572.68 $1,107.47 $1,107.47 $1,107.47;
MBR-000017 Bronchoscope Patient Introducer Kit Box 4 $254.41 $430.47 $430.47 $430.47;
MBR-000218 Bronchoscope Fluidics Tubing Box 3 $159.65 $269.50 $269.50 $269.50;
MBR-000020 Bronchoscope Sheath Valve Box 20 $318.27 $591.02 $591.02 $591.02;</t>
  </si>
  <si>
    <t>Pricing for the MONARCH Bronchoscopes and Consumables in Schedule C is firm for the periods shown on Schedule C attached hereto. 
All pricing is calculated exclusive of any applicable sales taxes, duties, or similar liabilities. 
Such charges will be paid by Customer.</t>
  </si>
  <si>
    <t>001018845~00085925.001</t>
  </si>
  <si>
    <t>MC 1185</t>
  </si>
  <si>
    <t xml:space="preserve"> Renewal Macter Consignment Agreement Rev8</t>
  </si>
  <si>
    <t>Parent MSA shoud be MR715, please see section 2 b of the document</t>
  </si>
  <si>
    <t>001018845~00085925.002</t>
  </si>
  <si>
    <t>Notice To Master IDN Consignment Agreement</t>
  </si>
  <si>
    <t>Notice to Master IDN Consignment Agreement</t>
  </si>
  <si>
    <t>001018845~00096169.001</t>
  </si>
  <si>
    <t>Pricing Letter Agreement (Depuy Synthes Power Tools)</t>
  </si>
  <si>
    <t>00002935
00002941
00004913
01157066
01202055
01348293</t>
  </si>
  <si>
    <t xml:space="preserve">PCL NDB v2 06-07-2024 </t>
  </si>
  <si>
    <t>00002935 BAPTIST HOSPITAL OF MIAMI 8900 N KENDALL DR MIAMI FL 33176
00002941 BOCA RATON REGIONAL HOSPITAL 800 MEADOWS RD BOCA RATON FL 33486
00004913 BETHESDA HOSPITAL INC 2815 S SEACREST BLVD BOYNTON BEACH FL 33435
01157066 WEST KENDALL BAPTIST HOSPITAL 9555 SW 162ND AVE MIAMI FL 33196
01202055 BETHESDA WEST HOSPITAL 9655 BOYNTON BEACH BLVD BOYNTON BEACH FL 33472
01348293 CONSOLIDATED DISTRIBUTION AND SERVICE CENTER 9001 NW 33RD ST DORAL FL 33172</t>
  </si>
  <si>
    <t>Individual Component Pricing</t>
  </si>
  <si>
    <t>A-CRN-G1 1.85MM X 16 MM FRTR,CRNA 1 EA $227.05;
A-CRN-M-G1 2MM X 15.6MM,FRTR,CRNA 1 EA $227.05;
A-CRN-S-G1 2.15MM X 22MM SRTR,CRNA 1 EA $227.05;
ACB ATTACHMENT CLEANING BRUSHES 1 EA $22.80;
ADG-10-G1 1.0MM TWIST DR FOR 1.25MM SCW 1 EA $205.20;
ADG-11-G1 1.1MM TW DRILL FOR 1.50MM SCR 1 EA $205.20;
ADG-13-G1 1.3MM TWIST DR FOR 1.70MM SCW 1 EA $205.20;
ADG-155-G1 1.55MM TWIST DR FOR 2.0MM SCW, ADG 1 EA $205.20;
B-COLLECTOR-1 BONE COLLECTOR 1 EA $184.30;
FILTER-II AL-II/III FILTERS, 5/PKG 1 EA $32.30;
HOSECLIPS-G1 G1-IRRIGATION TUBE HOSECLIPS 1 EA $22.80;
IRR-CLIP-10 IRRIGATION CLIP, SHORT 1 EA $172.90;
IRR-CLIP-20 IRRIGATION CLIP, QD8,QD8-S 1 EA $172.90;
IRR-CLIP-30 IRRIGATION CLIP, SIL,SHD 1 EA $172.90;
IRR-CLIP-40 IRRIGATION CLP,VIO,MHD,BLU,LHD 1 EA $172.90;
IRR-CLIP-50 IRRIG CLIP, MED,LONG/-S,TURQ-L 1 EA $172.90;
IRR-CLIP-60 IRRIGATION CLIP, QD11/-S,QD14 1 EA $172.90;
IRR-TUBE STERILE IRR TUBE AND CLIPS 1 EA $118.75;
IRR-TUBE-HF STERILE IRR HIGH FLOW TUBE AND CLIPS 1 EA $151.05;
L-10DRC-G1 10MM X 14MM FDRM SIDE CUT,L 1 EA $237.50;
L-1R-G1 1.2MM X 12.8MM FRTR,L 1 EA $227.05;
L-1SB-G1 1MM FBALL,ST,L 1 EA $215.65;
L-1SD-G1 1MM DBALL,ST,L 1 EA $205.20;
L-2B-HX-G1 2 MM FBALL, EX, HX, L 1 EA $269.80;
L-2SB-G1 2MM FBALL,ST,L 1 EA $215.65;
L-2SB-HX-G1 2 MM FBALL, ST, HX, L 1 EA $269.80;
L-2SD-G1 2MM DBALL,ST,L 1 EA $205.20;
L-35DR-G1 3.5MM X 8.4MM FDRM,L 1 EA $227.05;
L-3B-HX-G1 3 MM FBALL, EX, HX, L 1 EA $269.80;
L-3SB-G1 3MM FBALL,ST,L 1 EA $205.20;
L-3SB-HX-G1 3 MM FBALL, ST, HX, L 1 EA $269.80;
L-3SD-G1 3MM DBALL,ST,L 1 EA $205.20;
L-3SDC-G1 3MM CRS DBALL,ST,L 1 EA $205.20;
L-47DRM-G1 4.7MM X 8MM FDRM,L 1 EA $227.05;
L-4B-C-G1 4MM FBALL,CBD,L 1 EA $366.70;
L-4B-G1 4MM FBALL,L 1 EA $215.65;
L-4B-HX-G1 4 MM FBALL, HX, L 1 EA $269.80;
L-4BA-G1 4MM X 8MM FBAR,L 1 EA $227.05;
L-4BA-S-G1 4MM X 8MM FBAR,L 1 EA $227.05;
L-4D-G1 4MM DBALL,L 1 EA $205.20;
L-4DC-G1 4MM CRS DBALL,L 1 EA $205.20;
L-4DRM-G1 4MM X 8.9MM FDRM,SIDE CUT,L 1 EA $227.05;
L-4DX-G1 4MM XCRS DBALL,L 1 EA $227.05;
L-4OV-G1 4MM X 8MM FOVL,L 1 EA $227.05;
L-56OV-G1 5MM X 6MM FOVL,L 1 EA $227.05;
L-58OV-G1 5MM X 8MM FOVL,L 1 EA $227.05;
L-5AC-G1 5MM FACN,L 1 EA $227.05;
L-5B-A-G1 5MM FBALL,L AGG,L 1 EA $205.20;
L-5B-C-G1 5MM FLUTED BALL,CBD,L 1 EA $366.70;
L-5B-G1 5MM FBALL,L 1 EA $205.20;
L-5B-HX-G1 5 MM FBALL, HX, L 1 EA $269.80;
L-5BA-G1 5MM X 10MM FBAR,L 1 EA $227.05;
L-5D-G1 5MM DBALL,L 1 EA $205.20;
L-5DC-G1 5MM CRS DBALL,L 1 EA $205.20;
L-5DRC-G1 5MM X 14MM FDRM,SIDE CUT,L 1 EA $237.50;
L-5DRM-G1 5MM X 8.4MM FDRM,L 1 EA $227.05;
L-5DX-G1 5MM XCRS DBALL,L 1 EA $227.05;
L-5OV-G1 5MM X 10MM FOVL,L 1 EA $227.05;
L-68DRMDX-G1 6.8MM X 10.6MM XCRS DDRM,L 1 EA $259.35;
L-6B-G1 6MM FBALL,L 1 EA $205.20;
L-6B-HX-G1 6 MM FBALL, HX, L 1 EA $269.80;
L-6D-G1 6MM DBALL,L 1 EA $205.20;
L-6DC-G1 6MM CRS DBALL,L 1 EA $205.20;
L-6DRC-G1 6MM X 14MM FDRM,SIDE CUT,L 1 EA $237.50;
L-6DX-20-G1 6MM XCRS DBALL,20/30,L 1 EA $227.05;
L-6DX-G1 6MM XCRS DBALL,L 1 EA $227.05;
L-7AC-G1 7MM FACN,L 1 EA $227.05;
L-7B-G1 7MM FBALL,L 1 EA $205.20;
L-7B-HX-G1 7 MM FBALL, HX, L 1 EA $269.80;
L-7DRC-11-G1 7MM X 11MM FDRM,L 1 EA $237.50;
L-7DRC-G1 7MM X 14MM FDRM,SIDE CUT,L 1 EA $237.50;
L-8BA-G1 8MM X 12.5MM FBAR,L 1 EA $227.05;
L-8DRC-11-G1 8MM X 11MM FDRM,L 1 EA $237.50;
L-8DRC-G1 8MM X 14MM FDRM,SIDE CUT,L 1 EA $237.50;
L-8DX-G1 8MM XCRS DBALL,L 1 EA $227.05;
L-8N-18-G1 1.8MM FMSTK,L 1 EA $205.20;
L-8N-G1 2.3MM FMSTK,L 1 EA $205.20;
L-8ND-G1 2.5MM DMSTK,L 1 EA $205.20;
L-8NS-G1 3MM FMSTK,L 1 EA $205.20;
L-8NS-M-C-G1 3MM FMSTK,L AGG,CBD,L 1 EA $366.70;
L-8NS-M-G1 3MM FMSTK,L AGG,L 1 EA $227.05;
L-8NSD-G1 3.2MM DMSTK,L 1 EA $227.05;
L-8NSDC-G1 .2MM CRS DMSTK,L 1 EA $215.65;
L-9B-G1 9MM FBALL,L 1 EA $205.20;
L-9DRC-G1 9MM X 14MM FDRM,SIDE CUT,L 1 EA $237.50;
L-CRN-G1 2.5MM X 25.4MM FRTR,L 1 EA $227.05;
L-CRN-S-G1 2.47MM X 30.3MM SRTR,L 1 EA $227.05;
LHD-3SB-G1 3MM FBALL,ST,LHD 1 EA $237.50;
LHD-47-5-G1 3.2MM FBELL,LHD 1 EA $291.65;
LHD-4B-G1 4MM FBALL,LHD 1 EA $237.50;
LHD-5B-G1 5MM FBALL,LHD 1 EA $237.50;
LHD-5DRM-G1 5MM X 8.4MM FDRM,LHD 1 EA $259.35;
LHD-5DRM-L-G1 5MM X 16.2MM FDRM,LHD 1 EA $259.35;
LHD-5DRM12-G1 5MM X 12MM FDRM,LHD 1 EA $259.35;
LHD-64DRM-G1 6.4MM FDRM,LHD 1 EA $237.50;
LHD-6AC-G1 6MM FACN,LHD 1 EA $259.35;
LHD-6B-G1 6MM FBALL,LHD 1 EA $237.50;
LHD-7B-G1 7MM FBALL,LHD 1 EA $237.50;
LHD-8NS-G1 3MM FMSTK,LHD 1 EA $227.05;
LHD-8NS-M-G1 3MM FMSTK,L AGG,LHD 1 EA $227.05;
LHD-95DRM-G1 9.5MM FDRM,LHD 1 EA $237.50;
LHD-LS9-35-G1 3.5MM X 19.8MM FDRM,LHD 1 EA $302.10;
LHD-LS9-5-G1 4.7MM X 20MM FDRM,LHD 1 EA $259.35;
LHD-LS9-76-G1 7.6MM X 28.6MM FDRM,LHD 1 EA $463.60;
M-05D-G1 0.5MM DBALL,EX,M 1 EA $205.20;
M-05SD-G1 0.5MM DBALL,ST,M 1 EA $205.20;
M-14R-G1 1.4MM X 12.8MM FTRT,M 1 EA $205.20;
M-15D-G1 1.5MM DBALL,EX,M 1 EA $205.20;
M-15SD-G1 1.5MM DBALL,ST,M 1 EA $205.20;
M-15SDC-G1 1.5MM CRS DBALL,ST,M 1 EA $205.20;
M-1B-G1 1MM FBALL,EX,M 1 EA $205.20;
M-1D-G1 1MM DBALL,EX,M 1 EA $205.20;
M-1DC-G1 1MM CRS DBALL,EX,M 1 EA $205.20;
M-1R-G1 1.2MM X 12.8MM FRTR,M 1 EA $227.05;
M-1SB-G1 1MM FBALL,ST,M 1 EA $205.20;
M-1SD-G1 1MM DBALL,ST,M 1 EA $205.20;
M-1SDC-G1 1MM CRS DBALL,ST,M 1 EA $205.20;
M-25SD-G1 2.5MM DBALL,ST,M 1 EA $205.20;
M-25SDC-G1 2.5MM CRS DBALL,ST,M 1 EA $205.20;
M-2B-G1 2MM FBALL,EX,M 1 EA $205.20;
M-2B-HX-G1 2 MM FBALL, EX, HX, M 1 EA $269.80;
M-2D-G1 2MM DBALL,EX,M 1 EA $205.20;
M-2DC-G1 2MM CRS DBALL,EX,M 1 EA $205.20;
M-2SB-G1 2MM FBALL,ST,M 1 EA $205.20;
M-2SB-HX-G1 2 MM FBALL, ST, HX, M 1 EA $269.80;
M-2SD-G1 2MM DBALL,ST,M 1 EA $205.20;
M-2SDC-G1 2MM CRS DBALL,ST,M 1 EA $205.20;
M-35SD-G1 3.5MM DBALL,ST,M 1 EA $205.20;
M-35SDC-G1 3.5MM CRS DBALL,ST,M 1 EA $205.20;
M-3B-G1 3MM FBALL,EX,M 1 EA $205.20;
M-3B-HX-G1 3 MM FBALL, EX, HX, M 1 EA $269.80;
M-3BA-A-G1 3MM X 11.3MM FBAR,14F,M 1 EA $237.50;
M-3D-G1 3MM DBALL,EX,M 1 EA $205.20;
M-3DC-2-G1 3MM CRS DBALL,2MM SHAFT EXP,M 1 EA $205.20;
M-3DC-G1 3MM CRS DBALL,EX,M 1 EA $205.20;
M-3SB-2-G1 3MM FBALL,2MM SHAFT EXP,M 1 EA $205.20;
M-3SB-G1 3MM FBALL,ST,M 1 EA $205.20;
M-3SB-HX-G1 3 MM FBALL, ST, HX, M 1 EA $269.80;
M-3SD-G1 3MM DBALL,ST,M 1 EA $205.20;
M-3SDC-G1 3MM CRS DBALL,ST,M 1 EA $205.20;
M-45DRMDX-G1 4MM X 5MM XCRS DDRM,M 1 EA $259.35;
M-4AC-G1 4MM FACN,M 1 EA $259.35;
M-4B-27-G1 4MM FBALL,27MM EXP,M 1 EA $205.20;
M-4B-G1 4MM FBALL,M 1 EA $205.20;
M-4B-HX-G1 4 MM FBALL, HX, M 1 EA $269.80;
M-4BA-A-G1 4MM X 11MM FBAR,14F,M 1 EA $237.50;
M-4D-G1 4MM DBALL,M 1 EA $205.20;
M-4DC-G1 4MM CRS DBALL,M 1 EA $205.20;
M-4DRM-G1 4MM X 8.9MM FDRM,SIDE CUT,M 1 EA $259.35;
M-4DX-20-G1 4MM XCRS DBALL,20/30,M 1 EA $227.05;
M-4DX-G1 4MM XCRS DBALL,M 1 EA $205.20;
M-4FD-G1 4MM X 10MM DPEAR,INV,M 1 EA $227.05;
M-4OV-G1 4MM X 8MM FOVL,M 1 EA $227.05;
M-4OVD-G1 4MM X 8MM DOVL,M 1 EA $227.05;
M-4OVDC-G1 4MM X 8MM CRS DOVL,M 1 EA $227.05;
M-55OV-C-G1 5.5 MM X 10MM FOVL,CBD,M 1 EA $366.70;
M-56OV-G1 5MM X 6MM FOVL,M 1 EA $227.05;
M-58OV-G1 5MM X 8MM FOVL,M 1 EA $227.05;
M-5AC-G1 5MM FACN,M 1 EA $227.05;
M-5B-12F-G1 5MM FBALL,12F,M 1 EA $205.20;
M-5B-2-G1 5MM FBALL,2MM SHAFT EXP,M 1 EA $205.20;
M-5B-27-G1 5MM FBALL,27MM EXP,M 1 EA $205.20;
M-5B-C-G1 5MM FBALL,CBD,M 1 EA $366.70;
M-5B-G1 5MM FBALL,M 1 EA $205.20;
M-5B-HX-G1 5 MM FBALL, HX, M 1 EA $269.80;
M-5BA-20-G1 5MM X 20MM FBAR,M 1 EA $227.05;
M-5BA-A-G1 5MM X 11.3MM FBAR,M 1 EA $237.50;
M-5D-G1 5MM DBALL,M 1 EA $205.20;
M-5DC-G1 5MM CRS DBALL,M 1 EA $205.20;
M-5DRM-G1 5MM X 8.4MM FDRM,M 1 EA $259.35;
M-5DX-G1 5MM XCRS DBALL,M 1 EA $205.20;
M-5OV-G1 5MM X 10MM FOVL,M 1 EA $227.05;
M-62DRM-G1 6.2MM X 4.6MM FDRM,SIDE CUT,M 1 EA $259.35;
M-6AC-G1 6MM FACN,M 1 EA $227.05;
M-6B-C-G1 6MM FBALL,CBD,M 1 EA $366.70;
M-6B-G1 6MM FBALL,M 1 EA $205.20;
M-6B-HX-G1 6 MM FBALL, HX, M 1 EA $269.80;
M-6BA-A-G1 6MM X 11.3MM FBAR,M 1 EA $237.50;
M-6D-G1 6MM DBALL,M 1 EA $205.20;
M-6DC-2-G1 6MM CRS DBALL,2MM SHAFT EXP,M 1 EA $205.20;
M-6DC-G1 6MM CRS DBALL,M 1 EA $205.20;
M-6DX-20-G1 6MM XCRS DBALL,20/30,M 1 EA $227.05;
M-6DX-G1 16MM XCRS DBALL,M 1 EA $205.20;
M-6P-G1 6MM X 9MM FPEAR,M 1 EA $227.05;
M-7AC-G1 7MM FACN,M 1 EA $227.05;
M-7B-G1 7MM FBALL,M 1 EA $205.20;
M-7B-HX-G1 7 MM FBALL, HX, M 1 EA $269.80;
M-7DX-G1 7MM XCRS DBALL,M 1 EA $237.50;
M-8BA-G1 8MM X 12.5MM FBAR,M 1 EA $227.05;
M-8N-18-G1 1.8MM FMSTK,M 1 EA $205.20;
M-8N-G1 2.3MM FMSTK,M 1 EA $205.20;
M-8ND-G1 2.5MM DMSTK,M 1 EA $205.20;
M-8NS-G1 3MM FMSTK,M 1 EA $205.20;
M-8NS-M-C-G1 3MM FMSTK,L AGG,CBD,M 1 EA $366.70;
M-8NS-M-G1 3MM FMSTK,L AGG,M 1 EA $227.05;
M-8NS-ML-G1 3.2MM FMSTK,L AGG,M 1 EA $227.05;
M-8NSD-G1 3.2MM DMSTK,M 1 EA $227.05;
M-8NSDC-G1 3.2MM CRS DMSTK,M 1 EA $205.20;
MHD-126BT-G1 12.6MM X 10.4MM BORING TL,3FLUTE,EM2+/XM 1 EA $356.25;
MHD-15C-G1 3.2MM SIDE CUT,CBD,MHD 1 EA $313.50;
MHD-16CT-G1 6.47MM COR TOOL,MHD 1 EA $570.95;
MHD-17DD-G1 17MM DDISC,MHD 1 EA $453.15;
MHD-19CT-G1 9.9MM COR TOOL,MHD 1 EA $625.10;
MHD-25DD-G1 25.4MM DDISC,MHD 1 EA $453.15;
MHD-25R-G1 2.15MM X 25.4MM FRTR,MHD 1 EA $237.50;
MHD-3DRMC-G1 3MM X 9.5MM FDRM,CBD,MHD 1 EA $313.50;
MHD-62DRM-G1 6.2MM X 4.6MM FDRM,SIDE CUT,MHD 1 EA $259.35;
MHD-6AC-G1 6MM FACN,MHD 1 EA $237.50;
MHD-6B-G1 6MM FBALL,MHD 1 EA $237.50;
MHD-8NS-G1 3MM FMSTK,MHD 1 EA $227.05;
MHD-8NS-M-G1 3MM FMSTK,L AGG,MHD 1 EA $227.05;
MHD-95DRM-G1 9.5MM FDRM,MHD 1 EA $259.35;
MHD-97B-G1 12.6MM BOR TOOL,XM,MHD 1 EA $388.55;
MHD-98B-G1 9.5MM BOR TOOL,XM,MHD 1 EA $388.55;
MHD-9B-G1 9MM FBALL,MHD 1 EA $237.50;
MIA16-3SB-G1 3MM FBALL,ST,MIA16 1 EA $259.35;
MIA16-4B-G1 4MM FBALL,MIA16 1 EA $259.35;
MIA16-4D-G1 4MM DBALL,MIA16 1 EA $259.35;
MIA16-4DC-G1 4MM CRS DBALL,MIA16 1 EA $269.80;
MIA16-5D-G1 5MM DBALL,MIA16 1 EA $259.35;
MIA16-5OV-G1 5MM X 10MM FOVL,MIA16 1 EA $269.80;
MIA16-6B-G1 6MM FBALL,MIA16 1 EA $269.80;
MIA16-6DC-G1 6MM CRS DBALL,MIA16 1 EA $269.80;
MIA16-6DX-G1 6MM XCRS DBALL,MIA16 1 EA $269.80;
MIA16-7B-G1 7MM FBALL,MIA16 1 EA $269.80;
MIA16-8NS-G1 3MM FMSTK,MIA16 1 EA $269.80;
MIA16-8NSM-G1 3MM FMSTK,L AGG,MIA16 1 EA $269.80;
OIL-II INST OIL W/ FILTER,AL-II/III 1 EA $32.30;
ORNG-1 11.1MM FLUTED ROUTER 1 EA $302.10;
ORNG-1275 1.2MM X 7.5MM TWIST DRILL 1 EA $302.10;
ORNG-8-18 1.8MM FLUTED MATCHSTICK 1 EA $302.10;
P-CRN-G1 1.4MM X 12.8MM FRTR,CRNP 1 EA $227.05;
P-CRN-M-G1 1.3MM X 12.8MM FRTR,CRNP 1 EA $227.05;
S-05B-G1 0.5MM FBALL,EX,S 1 EA $205.20;
S-05D-G1 0.5MM DBALL,EX,S 1 EA $205.20;
S-05SD-G1 0.5MM DBALL,ST,S 1 EA $205.20;
S-06SD-G1 0.6MM DBALL,ST,S 1 EA $205.20;
S-08SD-G1 0.8MM DBALL,ST,S 1 EA $205.20;
S-1203TD-G1 1.2MM X 3MM TWIST DR,S 1 EA $227.05;
S-1254TD-G1 TWIST DR FOR 1.25MM X 4MM SCW,S 1 EA $205.20;
S-12D-G1 1.2MM DBALL,EX,S 1 EA $205.20;
S-1504TD-G1 TWIST DR FOR 1.5MM X 4MM SCW,S 1 EA $205.20;
S-1506TD-G1 TWIST DR FOR 1.5MM X 6MM SCW,S 1 EA $205.20;
S-1506TD-M-G1 1.5MM X 6MM TWIST DR,S 1 EA $205.20;
S-1510TD-G1 1.55MM X 10MM TWIST DR,S 1 EA $205.20;
S-15B-G1 1.5MM FBALL,EX,S 1 EA $205.20;
S-15D-G1 1.5MM DBALL,EX,S 1 EA $205.20;
S-15DC-G1 1.5MM CRS DBALL,EX,S 1 EA $205.20;
S-15DCT-G1 1.5MM CRS DBALL,EX TPR,S 1 EA $205.20;
S-15DRMC-G1 1.5MM X 7.5MM CYL DRM,CBD,S 1 EA $313.50;
S-15DRMC-L-G1 1.5MM X 7.5MM CYL DRM,CBD,S 1 EA $302.10;
S-15SB-G1 1.5MM FBALL,ST,S 1 EA $205.20;
S-15SD-G1 1.5MM DBALL,ST,S 1 EA $205.20;
S-15SDC-G1 1.5MM CRS DBALL,120/140,ST,S 1 EA $205.20;
S-1B-C-G1 1MM FBALL,EX,CDB,S 1 EA $366.70;
S-1B-G1 1MM FBALL,EX,S 1 EA $205.20;
S-1D-G1 1MM DBALL,EX,S 1 EA $205.20;
S-1DC-G1 1MM CRS DBALL,EX,M 1 EA $205.20;
S-1R-G1 1.4MM X 12.8MM FRTR,S 1 EA $205.20;
S-1SB-C-G1 1MM FBALL,ST,CBD,S 1 EA $366.70;
S-1SB-G1 1MM FBALL,ST,S 1 EA $205.20;
S-1SD-G1 1MM DBALL,ST,S 1 EA $205.20;
S-1SDC-G1 1MM CRS DBALL,ST,S 1 EA $205.20;
S-2004TD-G1 TWIST DR FOR 2MM X 4MM SCW,S 1 EA $205.20;
S-2006TD-G1 TWIST DR FOR 2MM X 6MM SCW,S 1 EA $205.20;
S-2433TD-G1 2.4MM X 3.3MM TWIST DR,S 1 EA $227.05;
S-25B-G1 2.5MM FBALL,EX,S 1 EA $205.20;
S-25B-HX-G1 2.5 MM FBALL, EX, HX, S 1 EA $269.80;
S-25D-G1 2.5MM DBALL,EX,S 1 EA $205.20;
S-25DC-G1 2.5MM CRS DBALL,EX,S 1 EA $205.20;
S-25SB-G1 2.5MM FBALL,ST,S 1 EA $205.20;
S-25SB-HX-G1 2.5 MM FBALL, ST, HX, S 1 EA $269.80;
S-25SD-G1 2.5MM DBALL,ST,S 1 EA $205.20;
S-25SDC-G1 2.5MM CRS DBALL,ST,S 1 EA $205.20;
S-2B-C-G1 2MM FBALL,EX,CBD,S 1 EA $366.70;
S-2B-G1 2MM FBALL,EX,S 1 EA $205.20;
S-2B-HX-G1 2 MM FBALL, EX, HX, S 1 EA $269.80;
S-2D-G1 2MM DBALL,EX,S 1 EA $205.20;
S-2DC-G1 2MM CRS DBALL,EX,S 1 EA $205.20;
S-2SB-C-8F-G1 2MM FBALL,8F,ST,CBD,S 1 EA $366.70;
S-2SB-C-G1 2MM FBALL,ST,CBD,S 1 EA $366.70;
S-2SB-G1 2MM FBALL,ST,S 1 EA $205.20;
S-2SB-HX-G1 2 MM FBALL, ST, HX, S 1 EA $269.80;
S-2SBT-G1 2MM FBALL,ST TPR,S 1 EA $205.20;
S-2SD-120-G1 2MM DBALL,120/140,ST,S 1 EA $205.20;
S-2SD-G1 2MM DBALL,ST,S 1 EA $205.20;
S-2SDC-G1 2MM CRS DBALL,ST,S 1 EA $205.20;
S-2SDCT-G1 2MM CRS DBALL,ST TPR,S 1 EA $205.20;
S-35B-G1 3.5MM FBALL,EX,S 1 EA $205.20;
S-35B-HX-G1 3.5 MM FBALL, EX, HX, S 1 EA $269.80;
S-35D-G1 3.5MM DBALL,EX,S 1 EA $205.20;
S-35DC-G1 3.5MM CRS DBALL,EX,S 1 EA $205.20;
S-35SB-G1 3.5MM FBALL,ST,S 1 EA $205.20;
S-35SB-HX-G1 3.5 MM FBALL, ST, HX, S 1 EA $269.80;
S-35SD-G1 3.5MM DBALL,ST,S 1 EA $205.20;
S-35SDC-G1 3.5MM CRS DBALL,ST,S 1 EA $205.20;
S-3B-C-G1 3MM FBALL,EX,CBD,S 1 EA $366.70;
S-3B-G1 3MM FBALL,EX,S 1 EA $205.20;
S-3B-HX-G1 3 MM FBALL, EX, HX, S 1 EA $269.80;
S-3D-G1 3MM DBALL,EX,S 1 EA $205.20;
S-3DC-G1 3MM CRS DBALL,EX,S 1 EA $205.20;
S-3SB-C-G1 3MM FBALL,ST,CBD,S 1 EA $366.70;
S-3SB-G1 3MM FBALL,ST,S 1 EA $205.20;
S-3SB-HX-G1 3 MM FBALL, ST, HX, S 1 EA $269.80;
S-3SBT-G1 3MM FBALL,ST TPR,S 1 EA $205.20;
S-3SD-100-G1 3MM DBALL,100/120,ST,S 1 EA $205.20;
S-3SD-G1 3MM DBALL,ST,S 1 EA $205.20;
S-3SDC-22-G1 3MM CRS DBALL,22MM SHAFT EXP,S 1 EA $205.20;
S-3SDC-50-G1 3MM CRS DBALL,50/60,ST,S 1 EA $205.20;
S-3SDC-G1 3MM CRS DBALL,ST,S 1 EA $205.20;
S-3SDCT-G1 3MM CRS DBALL,ST TPR,S 1 EA $205.20;
S-4B-C-10F-G1 4MM FBALL,10F,CBD,S 1 EA $366.70;
S-4B-C-G1 4MM FBALL,CBD,S 1 EA $366.70;
S-4B-G1 4MM FBALL,S 1 EA $205.20;
S-4B-HX-G1 4 MM FBALL, HX, S 1 EA $269.80;
S-4BL-C-G1 4MM FBALL,27MM EXP,CBD,S 1 EA $366.70;
S-4BT-G1 4MM FBALL,TPR,S 1 EA $205.20;
S-4D-100-G1 4MM DBALL,100/120,S 1 EA $205.20;
S-4D-G1 4MM DBALL,S 1 EA $205.20;
S-4D-L-G1 4MM DBALL,27MM EXP,S 1 EA $205.20;
S-4DC-22-G1 4MM CRS DBALL,22MM SHAFT EXP,S 1 EA $205.20;
S-4DC-G1 4MM CRS DBALL,S 1 EA $205.20;
S-4DRM-G1 4MM X 8.9MM FDRM,SIDE CUT,S 1 EA $259.35;
S-4DX-20-G1 4MM XCRS DBALL,20/30,S 1 EA $227.05;
S-4DX-G1 4MM XCRS DBALL,S 1 EA $205.20;
S-4OV-G1 4MM X 8MM FOVL,S 1 EA $227.05;
S-4OVD-G1 4MM X 8MM DOVL,S 1 EA $227.05;
S-5AC-G1 5MM FACN,S 1 EA $227.05;
S-5B-12F-G1 5MM FBALL,12F,S 1 EA $205.20;
S-5B-2-G1 5MM FBALL,2MM SHAFT EXP,S 1 EA $205.20;
S-5B-C-10F-G1 5MM FBALL,10F,CBD,S 1 EA $366.70;
S-5B-C-G1 5MM FBALL,CBD,S 1 EA $366.70;
S-5B-G1 5MM FBALL,S 1 EA $205.20;
S-5B-HX-G1 5 MM FBALL, HX, S 1 EA $269.80;
S-5BA-G1 5MM X 10MM FBAR,S 1 EA $237.50;
S-5D-100-G1 5MM DBALL,100/120,S 1 EA $205.20;
S-5D-2-G1 5MM DBALL,2MM SHAFT EXP,S 1 EA $205.20;
S-5D-G1 5MM DBALL,S 1 EA $205.20;
S-5DC-22-G1 5MM CRS DBALL,22MM SHAFT EXP,S 1 EA $205.20;
S-5DC-40-G1 5MM CRS DBALL,40/60,S 1 EA $205.20;
S-5DC-G1 5MM CRS DBALL,S 1 EA $205.20;
S-5DX-G1 5MM XCRS DBALL,S 1 EA $205.20;
S-5OV-G1 5MM X 10MM FOVL,S 1 EA $227.05;
S-62BE-G1 6.2MM FBELL,SIDE CUT,S 1 EA $259.35;
S-68DRMDC-G1 6.8MM X 10.6MM CRS DDRM,S 1 EA $259.35;
S-68DRMDX-G1 6.8MM X 10.6MM XCRS DDRM,S 1 EA $259.35;
S-6AC-G1 6MM FACN,S 1 EA $227.05;
S-6B-C-G1 6MM FBALL,CBD,S 1 EA $366.70;
S-6B-G1 6MM FBALL,S 1 EA $205.20;
S-6B-HX-G1 6 MM FBALL, HX, S 1 EA $269.80;
S-6D-100-G1 6MM DBALL,100/120,S 1 EA $205.20;
S-6D-G1 6MM DBALL,S 1 EA $205.20;
S-6DC-G1 6MM CRS DBALL,S 1 EA $205.20;
S-6DX-20-G1 6MM XCRS DBALL,20/30,S 1 EA $227.05;
S-6DX-G1 6MM XCRS DBALL,S 1 EA $205.20;
S-6IP-G1 6MM X 11.8MM FPEAR,S 1 EA $227.05;
S-6P-G1 6MM X 9MM FPEAR,S 1 EA $227.05;
S-6PD-G1 6MM X 9MM DPEAR,S 1 EA $227.05;
S-6R-G1 1.12MM X 6.35MM FRTR,S 1 EA $227.05;
S-7B-C-14F-G1 7MM FBALL,14F,CBD,S 1 EA $366.70;
S-7B-C-G1 7MM FBALL,CBD,S 1 EA $366.70;
S-7B-G1 7MM FBALL,S 1 EA $205.20;
S-7B-HX-G1 7 MM FBALL, HX, S 1 EA $269.80;
S-7IP-G1 7MM X 13.1MM FPEAR,INV,S 1 EA $227.05;
S-8B-G1 8MM FBALL,S 1 EA $205.20;
S-8DC-G1 8MM CRS DBALL,S 1 EA $205.20;
S-8N-18-G1 1.8MM FMSTK,S 1 EA $205.20;
S-8N-G1 2.3MM FMSTK,S 1 EA $205.20;
S-8N-L-G1 2.3MM FMSTK,22MM EXP,S 1 EA $227.05;
S-8ND-G1 2.5MM DMSTK,S 1 EA $205.20;
S-8NS-G1 3MM FMSTK,S 1 EA $205.20;
S-8NS-M-G1 3MM FMSTK,L AGG,8.9MM EXP,S 1 EA $227.05;
S-8NSD-G1 3.2MM DMSTK,S 1 EA $205.20;
S-9AC-G1 9.2MM FACN,S 1 EA $227.05;
S-9B-G1 9MM FBALL,S 1 EA $205.20;
SHD-1504TD-G1 1.15MM TWIST DR FOR 1.5 X 4MM SCW,SHD 1 EA $237.50;
SHD-17DD-G1 17MM DDISC,SHD 1 EA $453.15;
SHD-25DD-G1 25.4MM DDISC,SHD 1 EA $453.15;
SHD-25R-G1 2.15MM X 25.4MM FRTR,SHD 1 EA $227.05;
SHD-3-10-G1 1.93MM SUT PASS,1.17 EYE,SHD 1 EA $227.05;
SHD-5B-G1 5MM FBALL,SHD 1 EA $227.05;
SHD-6AC-G1 6MM FACN,SHD 1 EA $237.50;
SHD-6B-G1 6MM FBALL,SHD 1 EA $227.05;
SHD-6DX-G1 6MM XCRS DBALL,SHD 1 EA $227.05;
SHD-6R-G1 1.12MM X 6.35MM FRTR,SHD 1 EA $227.05;
SHD-75AC-A-G1 7.5MM FACN,L AGG,SHD 1 EA $237.50;
SHD-75AC-G1 7.5MM FACN,SHD 1 EA $237.50;
SHD-7B-G1 7MM FBALL,SHD 1 EA $237.50;
SHD-8NS-G1 3MM FMSTK,SHD 1 EA $227.05;
SHD-9AC-G1 9.2MM FACN,SHD 1 EA $237.50;
SHD-DS-A-G1 1.7MM X 11.9MM TWIST DR,D STOP,ASCLP,SHD 1 EA $431.30;
XLHD-25R-G1 2.15MM X 25.4MM FRTR,XLHD 1 EA $237.50;
XLHD-3SB-G1 3MM FBALL,ST,XLHD 1 EA $237.50;
XLHD-4B-G1 4MM FBALL,XLHD 1 EA $237.50;
XLHD-51C-G1 6.4MM CYL DRM,CBD,XLHD 1 EA $323.00;
XLHD-55DC-G1 5.5MM CRS DBALL,XLHD 1 EA $269.80;
XLHD-5B-G1 5MM FBALL,XLHD 1 EA $237.50;
XLHD-6AC-G1 6MM FACN,XLHD 1 EA $313.50;
XLHD-6B-G1 6MM FBALL,XLHD 1 EA $237.50;
XLHD-75AC-G1 7.5MM FACN,XLHD 1 EA $259.35;
XLHD-7B-G1 7MM FBALL,XLHD 1 EA $237.50;
XLHD-8NS-G1 3MM FMSTK,XLHD 1 EA $237.50;
XLHD-8NS-M-G1 3MM FMSTK,L AGG,XLHD 1 EA $237.50;
XLHD-95DRM-G1 9.5MM FDRM,XLHD 1 EA $259.35;
XLHD-9B-G1 9MM FBALL,XLHD 1 EA $237.50;</t>
  </si>
  <si>
    <t>This pricing becomes effective as of July 21, 2024 (the “Effective Date”) and will remain firm for the term of this agreement. These are the only time of sale discounts available on the Products and they supersede all other time of sale discount arrangements. 
The Customer’s or a Participant’s submission of an order at the offered pricing constitutes acceptance of the terms of this agreement.</t>
  </si>
  <si>
    <t>001018845~00096169.002</t>
  </si>
  <si>
    <t>650868</t>
  </si>
  <si>
    <t>Notice To Update Pricing Letter Agreement</t>
  </si>
  <si>
    <t>POWER TOOLS</t>
  </si>
  <si>
    <t>Notice to Pricing Letter Agreement (DePuy Synthes Power Tools)</t>
  </si>
  <si>
    <t>PCL Notice NDB v1 07-17-2025</t>
  </si>
  <si>
    <t>Product Deleted</t>
  </si>
  <si>
    <t>1. Contract type should be Notice to pricing letter agreement (Depuy Synthes Power Tools)
2. Start date shoould be July 21, 2024</t>
  </si>
  <si>
    <t>001018845~00099384.001</t>
  </si>
  <si>
    <t>PP-OR-2459</t>
  </si>
  <si>
    <t>GPO Agreement Supplement</t>
  </si>
  <si>
    <t>ETHICON</t>
  </si>
  <si>
    <t>GPO Agreement</t>
  </si>
  <si>
    <t>00002932
00002935
00002941
00004115
00004913
00009280
00009283
00080825
00291805
01018845
01157066
01202055
01352819
01451876
01454552
01507900
01514288
01550436</t>
  </si>
  <si>
    <t>Energy Portfolio Premier Supplement bfp v2 11.25.2024</t>
  </si>
  <si>
    <t>00002932 SOUTH MIAMI HOSPITAL 6200 SW 73RD ST SOUTH MIAMI FL 33143
00002935 BAPTIST HOSPITAL OF MIAMI 8900 N KENDALL DR MIAMI FL 33176
00002941 BOCA RATON REGIONAL HOSPITAL 800 MEADOWS RD BOCA RATON FL 33486
00004115 DOCTORS HOSPITAL 5000 UNIVERSITY DR CORAL GABLES FL 33146
00004913 BETHESDA HOSPITAL INC 2815 S SEACREST BLVD BOYNTON BEACH FL 33435
00009280 HOMESTEAD HOSPITAL 975 BAPTIST WAY HOMESTEAD FL 33033
00009283 MARINERS HOSPITAL 91500 OVERSEAS HWY MM915 TAVERNIER FL 33070
00080825 MEDICAL ARTS SURGERY CENTER 8940 N KENDALL DR MIAMI FL 33176
00291805 MENONITA CAGUAS MEDICAL CENTER CARR 172 URB VILLA DEL RE CAGUAS PR 00726
01018845 BAPTIST HEALTH SOUTH FLORIDA 8900N KENDALL DR MIAMI FL 33176
01157066 WEST KENDALL BAPTIST HOSPITAL 9555 SW 162ND AVE MIAMI FL 33196
01202055 BETHESDA WEST HOSPITAL 9655 BOYNTON BEACH BLVD BOYNTON BEACH FL 33472
01352819 CONSOLIDATED SERVICES DISTRIBUTION CENTER 9001 NW 33RD ST DORAL FL 33172
01451876 BAPTIST HEALTH SURGERY CENTER MIAMI BEACH 709 ALTON RD MIAMI BEACH FL 33139
01454552 BETHESDA HEALTH PHYSICIAN GROUP VASCULAR SURGERY 9868 S STATE ROAD 7 BOYNTON BEACH FL 33472
01507900 BAPTIST HEALTH HOSPITAL AT DORAL 9500 NW 58TH ST DORAL FL 33178
01514288 BAPTIST HEALTH SOUTH FLORIDA SURGERY AT PLANTATION 1228 S PINE ISLAND RD PLANTATION FL 33324
01550436 BAPTIST HEALTH SOUTH FLORIDA COOPERMAN MEDICAL ARTS PAVILLION 745 MEADOWS RD BOCA RATON FL 33486</t>
  </si>
  <si>
    <t xml:space="preserve">ME7251C Megadyne ACE BLADE™ 700, 2.5" Blade, Zip Pen Smoke Evacuation Pencil, C connector BX 6 $960.00
ME7251E Megadyne ACE BLADE™ 700, 2.5" Blade, Zip Pen Smoke Evacuation Pencil, E connector BX 6 $960.00
ME725M1C Megadyne ACE BLADE™ 700, 2.5" Blade, Modified, Zip Pen Smoke Evacuation Pencil, C connector BX 6 $960.00
ME725M1E Megadyne ACE BLADE™ 700, 2.5" Blade, Modified, Zip Pen Smoke Evacuation Pencil, E connector BX 6 $960.00
ME7251ST MEGADYNE™ Telescoping Smoke Evacuation Soft Tissue Dissector BX 6 $1,008.00
ME725M1ST MEGADYNE™ Telescoping Smoke Evacuation Soft Tissue Dissector, Modified BX 6 $1,008.00
ME7251T MEGADYNE™ Telescoping Soft Tissue Dissector BX 6 $900.00
ME725M1T MEGADYNE™ Telescoping Soft Tissue Dissector, Modified BX 6 $900.00
0840M2K01 Mega Soft Pediatric 0840 with M2K01 Cable BX 1 $2,173.48
0840M2K02 Mega Soft Pediatric 0840 with M2K02 Cable BX 1 $2,173.48
0840M2K03 Mega Soft Pediatric 0840 with M2K03 Cable BX 1 $2,173.48
0840M2K04 Mega Soft Pediatric 0840 with M2K04 Cable BX 1 $2,173.48
0840M2K05 Mega Soft Pediatric 0840 with M2K05 Cable BX 1 $2,173.48
0840M2K06 Mega Soft Pediatric 0840 with M2K06 Cable BX 1 $2,173.48
0840M2K08 Mega Soft Pediatric 0840 with M2K08 Cable BX 1 $2,369.48
0840M2K09 Mega Soft Pediatric 0840 with M2K09 Cable BX 1 $2,369.48
0845M2K01 Mega Soft Universal 0845 with M2K01 Cable BX 1 $2,342.55
0845M2K02 Mega Soft Universal 0845 with M2K02 Cable BX 1 $2,342.55
0845M2K03 Mega Soft Universal 0845 with M2K03 Cable BX 1 $2,342.55
0845M2K04 Mega Soft Universal 0845 with M2K04 Cable BX 1 $2.342.55
0845M2K05 Mega Soft Universal 0845 with M2K05 Cable BX 1 $2,342.55
0845M2K06 Mega Soft Universal 0845 with M2K06 Cable BX 1 $2,342.55
0845M2K08 Mega Soft Universal 0845 with M2K08 Cable BX 1 $2,538.55
0845M2K09 Mega Soft Universal 0845 with M2k09 Cable BX 1 $2,538.55
0846M2K01 Mega Soft Universal Dual Cord 0846 with two M2K01 Cables BX 1 $3,157.35
0846M2K02 Mega Soft Universal Dual Cord 0846 with two M2K02 Cables BX 1 $3,157.35
0846M2K03 Mega Soft Universal Dual Cord 0846 with two M2K03 Cables BX 1 $3,157.35
0846M2K04 Mega Soft Universal Dual Cord 0846 with two M2K04 Cables BX 1 $3,157.35
0846M2K05 Mega Soft Universal Dual Cord 0846 with two M2K05 Cables BX 1 $3,157.35
0846M2K06 Mega Soft Universal Dual Cord 0846 with two M2K06 Cables BX 1 $3,157.35
0846M2K08 Mega Soft Universal Dual Cord 0846 with two M2K08 CablesBX 1 $3,549.35
0846M2K09 Mega Soft Universal Dual Cord 0846 with two M2K09 Cables BX 1 $3,549.35
0847M2K01 MEGA SOFT UNIVERSAL PLUS 0847 WITH M2K01 CABLE BX 1 $2,342.55
0847M2K02 MEGA SOFT UNIVERSAL PLUS 0847 WITH M2K02 CABLE BX 1 $2,342.55
0847M2K03 MEGA SOFT UNIVERSAL PLUS 0847 WITH M2K03 CABLE BX 1 $2,342.55
0847M2K04 MEGA SOFT UNIVERSAL PLUS 0847 WITH M2K04 CABLE BX 1 $2,342.55
0847M2K05 MEGA SOFT UNIVERSAL PLUS 0847 WITH M2K05 CABLE BX 1 $2,342.55
0847M2K06 MEGA SOFT UNIVERSAL PLUS 0847 WITH M2K06 CABLE BX 1 $2,342.55
0847M2K08 MEGA SOFT UNIVERSAL PLUS 0847 WITH M2K08 CABLE BX 1 $2,538.55
0847M2K09 MEGA SOFT UNIVERSAL PLUS 0847 WITH M2K09 CABLE BX 1 $2,538.55
0848M2K01 MEGA SOFT UNIVERSAL PLUS DUAL CORD 0848 WITH TWO M2K01 CABLES BX 1 $3,157.35
0848M2K02 MEGA SOFT UNIVERSAL PLUS DUAL CORD 0848 WITH TWO M2K02 CABLES BX 1 $3,157.35
0848M2K03 MEGA SOFT UNIVERSAL PLUS DUAL CORD 0848 WITH TWO M2K03 CABLES BX 1 $3,157.35
0848M2K04 MEGA SOFT UNIVERSAL PLUS DUAL CORD 0848 WITH TWO M2K04 CABLES BX 1 $3,157.35
0848M2K05 MEGA SOFT UNIVERSAL PLUS DUAL CORD 0848 WITH TWO M2K05 CABLES BX 1 $3,157.35
0848M2K06 MEGA SOFT UNIVERSAL PLUS DUAL CORD 0848 WITH TWO M2K06 CABLES BX 1 $3,157.35
0848M2K08 MEGA SOFT UNIVERSAL PLUS DUAL CORD 0848 WITH TWO M2K08 CABLES BX 1 $3,549.35
0848M2K09 MEGA SOFT UNIVERSAL PLUS DUAL CORD 0848 WITH TWO M2K09 CABLES BX 1 $3,549.35
M2K01 Standard Connector, 2.4 m (8.0 ft.) BX 1 $43.00
M2K02 Standard Connector, 4.4 m (14.4 ft.) BX 1 $43.00
M2K03 Phone Plug Connector, 2.4 m (8.0 ft.), same as B-205 adapter BX 1 $43.00
M2K04 Phone Plug Connector, 4.4 m (14.4 ft.), same as B-205 adapter BX 1 $43.00
M2K05 Extended Phone Plug Connector, 4.4 m (14.4 ft.), same as B-210 adapter EA 1 $43.00
M2K06 Argon Beam Connector, 2.4 m (8.0 ft.), same as A-238 adapter BX 1 $43.00
M2K07 Mega Soft Replacement Cord, 0.6 m (2.0 ft.) BX 1 $43.00
M2K08 Compatibility Cable, MEGA SOFT® 2.4m (8.0 ft.) BX 1 $196.00
M2K09 Compatibility Cable, MEGA SOFT® 4.4m (14.4 ft.) BX 1 $196.00
1300SJ MEGA CART WITH TOP SHELF BX 1 $600.00
1400JJ MONOPOLAR FOOTSWITCH (3 METER CABLE) BX 1 $325.00
1450J BIPOLAR FOOTSWITCH (3 METER CABLE) BX 1 $198.00
1459J ROUND BIPOLAR FOOTSWITCH (AVAILABLE 9/1) BX 1 $200.00
96007 MONOPOLAR ADAPTER BX 1 $80.00
MEGEN1 MEGADYNE ™ ELECTROSURGICAL GENERATOR (AVAILABLE 9/1) BX 1 $6,995.00
2160J MEGAVAC FOOTSWITCH BX 1 $210.00
2250J RF SENSOR BX 1 $475.00
2255J MEGADYNE ™ RF SENSOR BX 1 $475.00
2403J CONNECT CABLE 1M, SMOKE EXTRACTOR BX 1 $42.10
2406J MEGADYNE™ CONNECT CABLE, 2.1M BX 1 $42.10
ECVV120 MINIVAC SMOKE EVACUATOR BX 1 $1,975.00
MGEZLINK01 EZ LINK RF SENSOR BX 1 $275.00
MESE1 MEGADYNE™ Smoke EvacuatorBX 1 $3,995.00
HP054 HARMONIC HAND PIECE BX 1 $895.00
HPBLUE HARMONIC BLUE HAND PIECE BX 1 $895.00
CRT11 GEN11 CART BX 1 $750.00
EGA11 ENSEAL GEN11 CONNECTOR BX 1 $100.00
FSW11 GEN11 FOOTSWITCH AND CABLE BX 1 $750.00
GEN11 GENERATOR G11 BX 1 $6,995.00
GEN11VK GEN11 VERIFICATION KEY BX 1 $225.00
HGA11 HARMONIC GEN11 CONNECTOR BX 1 $100.00
HARHPGR HARMONIC HAND PIECE GREY CORD BX 1 $895.00
HARHPBL HARMONIC HAND PIECE BLUE CORD BX 1 $895.00
</t>
  </si>
  <si>
    <t>Subject to the terms and conditions of this Supplement, Supplier shall offer the Participants the Discounts listed in Schedule A, if, in a given Year, the Member's performance meets or exceeds each of the performance requirements set forth on Table 1 for the tier selected by the Member.
As of the Supplement Effective Date, the Discounts stated on Schedule A will be applied to Price Book ESD94 subject to the price adjustment provisions of Section 3.</t>
  </si>
  <si>
    <t>List-Price, &amp; Price Books, please see section 7</t>
  </si>
  <si>
    <t>001018845~00101184.001</t>
  </si>
  <si>
    <t>218019</t>
  </si>
  <si>
    <t>Pricing Letter (Depuy Synthes Mitek Sports Medicine)</t>
  </si>
  <si>
    <t>01400704
01548672
01548673
01543171
01428428
01548674
01358981
01487402
00002935
00004115
00009280
01208158
00002932
01562011
01543286
01549504
01549505
01550436
01514288
00009283</t>
  </si>
  <si>
    <t>PPL Direct/Indirect v1 ls 20250323</t>
  </si>
  <si>
    <t>01400704 Baptist Health Ortho Kendall 8940 N Kendall Dr Miami FL 33176
01548672 Baptist Health Ortho Mariners 91500 Overseas Hwy Tavernier FL 33070
01548673 Baptist Health Ortho Miami Beach 709 Alton Rd Miami Beach FL 33139
01543171 Baptist Health Ortho Miami Gardens 19955 NW 27th Ave Miami Gardens FL 33056
01428428 Baptist Health Ortho Pinecrest 13101 S Dixie Hwy Miami FL 33156
01548674 Baptist Health Ortho Plantation 1228 S Pine Island Rd Plantation FL 33324
01358981 Baptist Health Ortho South Miami 6200 Sunset Dr Miami FL 33143
01487402 Baptist Health Miami Orthopedics 1150 Campo Sano Ave Coral Gables FL 33146
00002935 Baptist Hospital of Miami 8900 N Kendall Dr Miami FL 33176
00004115 Doctors Hospital 5000 University Dr Coral Gables FL 33146
00009280 Homestead Hospital 975 Baptist Way Homestead FL 33033
01208158 Miami Orthopaedics and Sports Medicine Institute West Kendall 15955 SW 96th St Miami FL 33196
00002932 South Miami Hospital 6200 SW 73rd St South Miami FL 33143
01562011 Baptist Health Orthopedics 3303 Overseas Hwy Marathon FL 33050
01543286 Baptist Health Orthopedics Downtown Doral 8400 NW 53rd St Doral FL 33166
01549504 Baptist Health Miami Orthopedics 1150 Campo Sano Ave, FL 1 Coral Gables FL 33146
01549505 Baptist Health Miami Orthopedics 1150 Campo Sano Ave, FL 3 Coral Gables FL 33146
01550436 Baptist Health South Florida Cooperman Medical Arts Pavillion 745 Meadows Rd, Boca Raton FL 33486
01514288Baptist Health South Florida Surgery at Plantation 1228 S Pine Island Rd Plantation FL 33324
00009283 Mariners Hospital 91500 Overseas Hwy MM91 5 Tavernier FL 33070</t>
  </si>
  <si>
    <t>Equivalent Net Pricing</t>
  </si>
  <si>
    <t>277515 Monovisc (NDC 59676082001) 16% $537.60 650 Units</t>
  </si>
  <si>
    <t>The table in the contract shows the discounted pricing for the Product set forth in the table available to Customer starting on the Effective Date. 
To receive the Discount, Product must be purchased directly from Company by calling Customer Service at 800–382–4682 or indirectly through the distributor indicated in Schedule C of this agreement.</t>
  </si>
  <si>
    <t xml:space="preserve">Please check pricing  under section 1. Product and Pricing "Equivalent Net Price" </t>
  </si>
  <si>
    <t>001018845~00102167.001</t>
  </si>
  <si>
    <t>Pricing Letter Agreement (Ethicon Gynecare)</t>
  </si>
  <si>
    <t>00002932
00002935
00002941
00004115
00004913
00009280
00009283
00010321
00052870
00080825
00501433
01020665
01157066
01202055
01338893
01352819
01358981
01451876
01454552
01493711
01507900
01514288</t>
  </si>
  <si>
    <t>PCL AJRP v1 04-12-2025</t>
  </si>
  <si>
    <t>00002932 SOUTH MIAMI HOSPITAL 6200 SW 73RD ST SOUTH MIAMI FL 33143
00002935 BAPTIST HOSPITAL OF MIAMI 8900 N KENDALL DR MIAMI FL 33176
00002941 BOCA RATON REGIONAL HOSPITAL 800 MEADOWS RD BOCA RATON FL 33486
00004115 DOCTORS HOSPITAL 5000 UNIVERSITY DR CORAL GABLES FL 33146
00004913 BETHESDA HOSPITAL INC 2815 S SEACREST BLVD BOYNTON BEACH FL 33435
00009280 HOMESTEAD HOSPITAL 975 BAPTIST WAY HOMESTEAD FL 33033
00009283 MARINERS HOSPITAL 91500 OVERSEAS HWY MM91 5 TAVERNIER FL 33070
00010321 FISHERMANS HOSPITAL INC 3301 OVERSEAS HWY MARATHON FL 33050
00052870 FOUNDATION FOR ADVANCE EYE CARE 3737 NW 88TH AVE SUNRISE FL 33351
00080825 MEDICAL ARTS SURGERY CENTER 8940 N KENDALL DR MIAMI FL 33176
00501433 SOUTH PALM AMBULATORY SURGERY CENTER LLC1905 CLINT MOORE RD BOCA RATON FL 33496
01020665 BOCA RATON REGIONAL HOSPITAL 1001 NW 13TH ST BOCA RATON FL 33486
01157066 WEST KENDALL BAPTIST HOSPITAL 9555 SW 162ND AVE MIAMI FL 33196
01202055 BETHESDA WEST HOSPITAL 9655 BOYNTON BEACH BLVD BOYNTON BEACH FL 33472
01338893 LYNN CANCER INSTITUTE BOCA RATON 701 NW 13TH ST BOCA RATON FL 33486
01352819 CONSOLIDATED SERVICES DISTRIBUTION CENTER 9001 NW 33RD ST DORAL FL 33172
01358981 BAPTIST HEALTH ORTHO SOUTH MIAMI 6200 SUNSET DR MIAMI FL 33143
01451876 BAPTIST HEALTH SURGERY CENTER MIAMI BEACH 709 ALTON RD MIAMI BEACH FL 33139
01454552 BETHESDA HEALTH PHYSICIAN GROUP VASCULAR SURGERY 9868 S STATE ROAD 7 BOYNTON BEACH FL 33472
01493711 BAPTIST HEALTH SOUTH FLORIDA PLANTATION INFUSION PHARMACY1228 S PINE ISLAND RD PLANTATION FL 33324
01507900 BAPTIST HEALTH HOSPITAL AT DORAL 9500 NW 58TH ST DORAL FL 33178
01514288 BAPTIST HEALTH SOUTH FLORIDA SURGERY AT PLANTATION 1228 S PINE ISLAND RD PLANTATION FL 33324
01550436 BAPTIST HEALTH SOUTH FLORIDA COOPERMAN MEDICAL ARTS PAVILLION 745 MEADOWS RD BOCA RATON FL 33486
01558125 BAPTIST HEALTH OUTPATIENT PHARMACY 6200 SUNSET DR SOUTH MIAMI FL 33143
01348293 CONSOLIDATED DISTRIBUTION AND SERVICE CENTER 9001 NW 33RD ST DORAL FL 33172</t>
  </si>
  <si>
    <t>GYNECARE TVTTM 810041A $957.76;
GYNECARE TVTTM 810041B $957.76;
GYNECARE TVTTM 810041BL $957.76;
GYNECARE TVTTM 810081 $1,073.69;
GYNECARE TVTTM 810081L $1,073.69;
GYNECARE TVTTM TVTOML $1,104.51;
GYNECARE TVTTM TVTRL $985.26;</t>
  </si>
  <si>
    <t>This pricing becomes effective as of April 12, 2025 (the “Effective Date”) and will remain  firm for the term of this agreement. 
These are the only time of sale discounts available on the Products and they supersede all other time of sale discount arrangements.</t>
  </si>
  <si>
    <t>Check effective date and end date</t>
  </si>
  <si>
    <t>001018845~00107772.001</t>
  </si>
  <si>
    <t>MS1287; MS1377…</t>
  </si>
  <si>
    <t>ETHICON BIOSURGERY AND SUTURE</t>
  </si>
  <si>
    <t>00104967
00110661
00110765
00264935
00291805
01140262
01166556
01359182
01477021
01477253
01477370
01477400
01477444
01477510
00002932
00002935
00002941
00004115
00004913
00009280
00009283
00010321
00052870
00072837
00080825
00253479
00357813
01010493
01020665
01020668
01024891
01076468
01130447
01130653
01153937
01157066
01158957
01202055
01208158
01272085
01338893
01352819
01358981
01399026
01399027
01400586
01400656
01400663
01400679
01400689
01400696
01400698
01400702
01400704
01428425
01428428
01428481
01436651
01436652
01437867
01437888
01437893
01437912
01437919
01437920
01437923
01438009
01438021
01451797
01451806
01451876
01451878
01451888
01452911
01452916
01453059
01453128
01453143
01453162
01454552
01454589
01454602
01454629
01454820
01454852
01477397
01477507
01477553
01485432
01487402
01493711
01506822
01506824
01506893
01506901
01506914
01506991
01507002
01507008
01507083
01507899
01507900
01514288
01524178
01550436
00107408
01399024
01477509</t>
  </si>
  <si>
    <t>Vizient Supp SET Bio Energy Bundle BFP V4b 062725.docx</t>
  </si>
  <si>
    <t>00104967 FARMACIA HOSPITAL MENONIT CALLE HERACLIO MENDOZA #4 CAYEY PR 634
00110661 HOSPITAL GENERAL MENONITA 2 CALLE JOSE C VAZQUEZ AIBONITO PR 00705
00110765 SAINT CROIX HOSP/COM HEALTH COURT 4007 ESTATE DIAMOND RUBY CHRISTIANSTED VI 820
00264935 HOSPITAL EPISCOPAL CRISTO REDENTOR AVE ALBIZU CAMPOS URB LA HACIENDA GUAYAMA PR 785
00291805 MENONITA CAGUAS MEDICAL CENTER CARR 172 URB VILLA DEL RE CAGUAS PR 00726
01140262 BOCA UROLOGY 825 MEADOWS RD BOCA RATON FL 33486
01166556 BOCA RATON ORTHOPAEDIC GROUP 1601 CLINT MOORE RD BOCA RATON FL 33487
01359182 BOCA CARE REGIONAL HOSPITAL URGENT CARE 3313 W HILLSBORO BLVD DEERFIELD BEACH FL 33442
01477021 BOCA RATON REGIONAL HOSPITAL DIAGNOSTIC CENTER 1905 CLINT MOORE RD BOCA RATON FL 33496
01477253 BOCA RATON REGIONAL HOSPITAL URGENT CARE 10 E PALMETTO RD BOCA RATON FL 33486
01477370 BOCACARE DEL MAR 7301A W PALMETTO PARK RD BOCA RATON FL 33433
01477400 BOCA CARE CARDIO THORACIC SURGERY 801 MEADOWS ROAD DEERFIELD BEACH FL 33442
01477444 BOCACARE SOMERSET 8903 GLADES RD BOCA RATON FL 33434
01477510 BOCA CARE THORACIC SURGERY 701 NW 13TH STREET DEERFIELD BEACH FL 33442
00002932 SOUTH MIAMI HOSPITAL 6200 SW 73RD ST SOUTH MIAMI FL 33143
00002935 BAPTIST HOSPITAL OF MIAMI 8900 N KENDALL DR MIAMI FL 33176
00002941 BOCA RATON REGIONAL HOSPITAL 800 MEADOWS RD BOCA RATON FL 33486
00004115 DOCTORS HOSPITAL 5000 UNIVERSITY DR CORAL GABLES FL 33146
00004913 BETHESDA HOSPITAL INC 2815 S SEACREST BLVD BOYNTON BEACH FL 33435
00009280 HOMESTEAD HOSPITAL 975 BAPTIST WAY HOMESTEAD FL 33033
00009283 MARINERS HOSPITAL 91500 OVERSEAS HWY TAVERNIER FL 33070
00010321 FISHERMANS HOSPITAL INC 3301 OVERSEAS HWY MARATON FL 33050
00052870 FOUNDATION FOR ADVANCE EYE CARE 3737 NW 88TH AVE SUNRISE FL 33351
00072837 BAPTIST HEALTH SYSTEM 10 GIRALDA AVE CORAL GABLES FL 33134
00080825 MEDICAL ARTS SURGERY CENTER 8940 N KENDALL DR MIAMI FL 33176
00253479 BAPTIST HEALTH SYSTEM OF S FLORIDA 6855 SW 57TH AVE CORAL GABLES FL 33143
00357813 ESTAPE MD, RICARDO 8585 SUNSET DR MIAMI FL 33143
01010493 ONCOLOGY SPECIALTY PHARM LLC 8940 N KENDALL DR MIAMI FL 33176
01020665 BOCA RATON REGIONAL HOSPITAL 1001 NW 13TH ST BOCA RATON FL 33486
01020668 BOCA RATON REGIONAL HOSPITAL INC 6282 LINTON BLVD DELRAY BEACH FL 33484
01024891 BAPT HOSPITAL OF MIAMI 9915 NW 41ST ST MIAMI FL 33178
01076468 BAPTIST HEALTH CENTER 8301 NW 12TH ST MIAMI FL 33126
01130447 DOLAN, JAMES MD 7535 AIRWAYS BLVD SOUTHAVEN MS 38671
01130653 SOUTH MIAMI HOSPITAL INC 6264 W SAMPLE RD CORAL SPRINGS FL 33067
01153937 BAPTIST OUTPATIENT SERVICES 4741 S UNIVERSITY DR DAVIE FL 33328
01157066 WEST KENDALL BAPTIST HOSPITAL 9555 SW 162ND AVE MIAMI FL 33196
01158957 HOSPITAL MENONITA HUMACAO 300 CALLE FONT MARTELO HUMACAO PR 791
01202055 BETHESDA WEST HOSPITAL 9655 BOYNTON BEACH BLVD BOYNTON BEACH FL 33472
01208158 MIAMI ORTHOPAEDICS AND SPORTS MEDICINE INSTITUTE WEST KENDALL  15955 SW 96TH ST MIAMI FL 33196
01272085 UPPER KEYS SPECIALTY PHYSICIANS 91550 OVERSEAS HWY TAVERNIER FL 33070
01338893 LYNN CANCER INSTITUTE BOCA RATON 701 NW 13TH ST BOCA RATON FL 33486
01352819 CONSOLIDATED SERVICES DISTRIBUTION CENTER 9001 NW 33RD ST DORAL FL 33172
01358981 BAPTIST HEALTH ORTHO SOUTH MIAMI 6200 SUNSET DR MIAMI FL 33143
01399026 BAPTIST HEALTH PRIMARY CARE 6280 SUNSET DR SOUTH MIAMI FL 33143
01399027 VERDEJA, JUAN CARLOS MD BAPTIST HEALTH PRIMARY CARE 7800 SW 87TH AVE MIAMI FL 33173
01400586 12314 SW 127TH AVE MIAMI FL 33186
01400656 HANIF WILLIAMS PA GROUP PRACTICE 11030 SW 88TH ST MIAMI FL 33176
01400663 BAPTIST HEALTH SOUTH FLORIDA 11535 N KENDALL DR MIAMI FL 33176
01400679 BAPTIST HEALTH MEDICAL GROUP 151 NW 11TH ST HOMESTEAD FL 33030
01400689 BAPTIST HEALTH PRIMARY CARE 15955 SW 96TH ST MIAMI FL 33196
01400696 BAPTIST HEALTH PRIMARY CARE 1691 MICHIGAN AVE MIAMI BEACH FL 33139
01400698 THE MEDICAL CENTER AT OCEAN REEF 50 BARRACUDA LN KEY LARGO FL 33037
01400702 BAPTIST HEALTH MEDICAL GROUP 8750 SW 144TH ST PALMETTO BAY FL 33176
01400704 BAPTIST HEALTH ORTHO KENDALL 8940 N KENDALL DR MIAMI FL 33176
01428425 MIAMI ORTHOPAEDIC &amp; SPORTS MEDICINE INSTITUTE 6200 SUNSET DR SOUTH MIAMI FL 33143
01428428 BAPTIST HEALTH ORTHO PINECREST 13101S DIXIE HWY MIAMI FL 33156
01428481 MIAMI ORTHOPEDICS &amp; SPORTS MEDICINE INSTITUTE 975 BAPTIST WAY HOMESTEAD FL 33033
01436651 BOCACARE WOMENS INSTITUTE 690 MEADOWS RD BOCA RATON FL 33486
01436652 BOCACARE 745 MEADOWS RD BOCA RATON FL 33486
01437867 BETHESDA HEALTH PHYSICIAN GROUP 8200 S JOG RD BOYNTON BEACH FL 33472
01437888 LEVEILLEE RAYMOND J MD OFFICE 2800 S SEACREST BLVD BOYNTON BEACH FL 33435
01437893 BETHESDA HEALTH PHYSICIAN GROUP 2465 S STATE ROAD 7 WELLINGTON FL 33414
01437912 MATERNAL FETAL MEDICINE OF THE PALM BEACHES 1325 S CONGRESS AVE BOYNTON BEACH FL 33426
01437919 BETHESDA OUTPATIENT IMAGING CENTER AT BETHESDA HEALTH CITY 10301 HAGEN RANCH RD BOYNTON BEACH FL 33437
01437920 BETHESDA WOMENS HEALTH CENTER IN WELLINGTON 10520 FOREST HILL BLVD WELLINGTON FL 33414
01437923 BETHESDA HEALTH URGENT CARE 10520 FOREST HILL BLVD WELLINGTON FL 33414
01438009 BETHESDA WOMENS HEALTH CENTER 10301 HAGEN RANCH RD BOYNTON BEACH FL 33437
01438021 BETHESDA HEALTH PHYSICIANS GROUP 2875 S OCEAN BLVD PALM BEACH FL 33480
01451797 BAPTIST HEALTH URGENT CARE AT SAWGRASS 12472 W SUNRISE BLVD SUNRISE FL 33323
01451806 BAPTIST HEALTH EMERGENCY MIAMI BEACH 14150 SW 136TH ST MIAMI FL 33186
01451876 BAPTIST HEALTH SURGERY CENTER 709 ALTON RD MIAMI BEACH FL 33139
01451878 BAPTIST HEALTH EXPRESS CARE 5673 CORAL RIDGE DR CORAL SPRINGS FL 33076
01451888 BAPTIST HEALTH PRIMARY CARE 91550 OVERSEAS HWY TAVERNIER FL 33070
01452911 BAPTIST HEALTH MEDICAL PLAZA 14660 SW 8TH ST MIAMI FL 33184
01452916 BAPTIST HEALTH ENDOSCOPY CENTER 3001 CORAL HILLS DR CORAL SPRINGS FL 33065
01453059 TERSHAKOVEC, GEORGE R MD 975 BAPTIST WAY HOMESTEAD FL 33033
01453128 BAPTIST HEALTH URGENT CARE 709 ALTON RD MIAMI BEACH FL 33139
01453143 BAPTIST HEALTH URGENT CARE  1642 TOWN CENTER CIR WESTON FL 33326
01453162 BAPTIST HEALTH COUNTRY WALK EXPRESS CARE 15721 SW 152ND ST MIAMI FL 33187
01454552 BETHESDA HEALTH PHYSICIAN GROUP VASCULAR SURGERY 9868 S STATE ROAD 7 BOYNTON BEACH FL 33472
01454589 BETHESDA HEALTH PHYSICIANS GROUP 2800 S SEACREST BLVD BOYNTON BEACH FL 33435
01454602 BETHESDA HEALTH PHYSICIANS GROUP 10301 HAGEN RANCH RD BOYNTON BEACH FL 33437
01454629 BETHESDA HEALTH PHYSICIAN GROUP UROLOGY YVON PETIOITE 2800 S SEACREST BLVD BOYNTON BEACH FL 33435
01454820BETHESDA HEALTH PHYSICIANS GROUP 237 GEORGE BUSH BLVD DELRAY BEACH FL 33444
01454852 BETHESDA HEALTH CITY 10301 HAGEN RANCH RD BOYNTON BEACH FL 33437
01477397 BOCA GLORIA DRUMMOND 650 GLADES RD BOCA RATON FL 33431
01477507 BOCA CARE ORTHOPEDICS 3313 W HILLSBORO BLVD. BOCA RATON FL 33486
01477553 BOCA CARE RADIATION ONCOLOGY 701 NW 13TH ST BOCA RATON FL 33486
01485432 BAPTIST HEALTH URGENT CARE WEST BOCA 20665 LYONS RD BOCA RATON FL 33434
01487402 BAPTIST HEALTH MIAMI ORTHOPEDICS 1150 CAMPO SANO AVE CORAL GABLES FL 33146
01493711 BAPTIST HEALTH SOUTH FLORIDA PLANTATION INFUSION PHARMACY 1228 S PINE ISLAND RD PLANTATION FL 33324
01506822 DOWNTOWN DORAL DIAGNOSTIC CENTER 8400 NW 53RD ST DORAL FL 33166
01506824 BAPTIST HOSPITAL 8840 SW 40TH ST MIAMI FL 33165
01506893 BAPTIST HEALTH INFUSION CENTER 13001 SW 88TH ST MIAMI FL 33186
01506901 BAPTIST HEALTH SOUTH FLORIDA 2815 S SEACREST BLVD BOYNTON BEACH FL 33435
01506914 GALLOWAY SOUTH BAPTIST HEALTH ENDOSCOPY CENTER 7600 SW 87TH AVE MIAMI FL 33173
01506991 BAPTIST HEALTH SOUTH FLORIDA 8950 N KENDALL DR MIAMI FL 33176
01507002 BAPTIST HOSPITAL OF MIAMI 13500 SW 152ND ST MIAMI FL 33177
01507008 BAPTIST HEALTH DIAGNOSTIC IMAGING PEMBROKE PINES 15885 PINES BLVD PEMBROKE PINES FL 33027
01507083 BAPTIST HEALTH SOUTH FLORIDA 1500 SAN REMO AVE CORAL GABLES FL 33146
01507899 FLAGLER BAPTIST HEALTH ENDOSCOPY CENTER 1117 N OLIVE AVE WEST PALM BEACH FL 33401
01507900 BAPTIST HEALTH HOSPITAL AT DORAL 9500 NW 58TH ST DORAL FL 33178
01514288 BAPTIST HEALTH SOUTH FLORIDA SURGERY AT PLANTATION 1228 S PINE ISLAND RD PLANTATION FL 33324
01524178 BAPTIST HEALTH FREE STANDING ER AT CORAL WAY 14591 SW 26TH ST MIAMI FL 33175
01550436 BAPTIST HEALTH SOUTH FLORIDA COOPERMAN MEDICAL ARTS PAVILLION 745 MEADOWS RD BOCA RATON FL 33486
00107408 HOSPITAL DE LA CONCEPCION CALLE LUNA SAN GERMAN PR 00683
01399024 BAPTIST HEALTH PRIMARY CARE 19225 SW 87TH AVE MIAMI FL 33157
01477509 BOCA RATON REGIONAL HOSPITAL 3313 W HILLSBORO BLVD BOCA RATON FL 33486</t>
  </si>
  <si>
    <t>Discount Pricing</t>
  </si>
  <si>
    <t>SUTURE 77.37%;
PLUS 77.37%;
STRATAFIX 48.29%;
ENDOMECHANICAL 83.11%;
PROXIMATE PLUS MD SKIN STPLR PMW35 $27.00;
ENDOPOUCH RETRIEVER SPEC BAG POUCH $300.00;
PROXIMATE PPH PROCEDURE SET PPH03 $1,192.50;
PROXIMATE RH REG SKIN STAPLER PRR35 $105.00;
PROXIMATE RH WIDE SKIN STPLR PRW35 $105.00;
PROXIMATE EXTRACTOR PSX $24.00;
PROXIMATE SKIN STAPLER-WIDE PXW35 $45.60;
RELOAD CURVED CUTTER STAPLER GCR40B $1,700.87;
RELOAD CURVED CUTTER STAPLER GCR40G $1,700.87;
CONTOUR CURVED CUTTER STAPLER GCS40B $1,511.50;
CONTOUR CURVED CUTTER STAPLER GCS40G $1,511.50;
ECHELON ENDOPATH ™ Staple Line Reinforcement 60mm ECH60R $1,350.00;
DERMABOND ADVANCED DNX12, DNX6 60.92%; 
DERMABOND MINI DHVM12 58.38%;
PRINEO CLR602US, CLR222US, CLR422US 77.05%;
SURGICEL Powder 3013 SP 51.54%;
SURGICEL Endoscopic Applicator 3123SPEA 51.54%;
SURGICEL® 57.43%;
SURGIFOAM® (Pad and Powder) 53.12%;
SPK 56.30%;
SURGIFLO 43.60%;
EVICEL 40.55%;
EVT5024 EVT5024 $1,550.00;
Harmonic 66.63%;
Enseal 65.82%;
MGD Core 56.33%;
MGD Smoke 58.26%;
ME7251C Megadyne ACE BLADE ™ 700, 2.5" Blade, Zip Pen Smoke Evacuation Pencil, C connector BX 6 $ 960.00;
ME7251E Megadyne ACE BLADE™ 700, 2.5" Blade, Zip Pen Smoke Evacuation Pencil, E connector BX 6 $960.00;
ME725M1C Megadyne ACE BLADE ™ 700, 2.5" Blade, Modified, Zip Pen Smoke Evacuation Pencil, C connector BX 6 $960.00;
ME725M1E Megadyne ACE BLADE ™ 700, 2.5" Blade, Modified, Zip Pen Smoke Evacuation Pencil, E connector BX 6 $960.00;
ME7251ST MEGADYNE ™ Telescoping Smoke Evacuation Soft Tissue Dissector BX 6 $1,008.00;
ME725M1ST MEGADYNE™ Telescoping Smoke Evacuation Soft Tissue Dissector, Modified BX 6 $1,008.00;
ME7251T MEGADYNE ™ Telescoping Soft Tissue Dissector BX 1 $900.00;
ME725M1T MEGADYNE ™ Telescoping Soft Tissue Dissector, Modified BX 1 $900.00;
0845M2K01 Mega Soft Universal 0845 with M2K01 Cable BX 1 $2,342.55;
0845M2K02 Mega Soft Universal 0845 with M2K02 Cable BX 1 $2,342.55;
0845M2K03 Mega Soft Universal 0845 with M2K03 Cable BX 1 $2,342.55;
0845M2K04 Mega Soft Universal 0845 with M2K04 Cable BX 1 $2,342.55;
0845M2K05 Mega Soft Universal 0845 with M2K05 Cable BX 1 $2,342.55;
0845M2K06 Mega Soft Universal 0845 with M2K06 Cable BX 1 $2,342.55;
0845M2K08 Mega Soft Universal 0845 with M2K08 Cable BX 1 $2,538.55;
0845M2K09 Mega Soft Universal 0845 with M2K09 Cable BX 1 $2,538.55;
0846M2K01 Mega Soft Universal Dual Cord 0846 with two M2K01 Cables BX 1 $3,157.35;
0846M2K02 Mega Soft Universal Dual Cord 0846 with two M2K02 Cables BX 1 $3,157.35;
0846M2K03 Mega Soft Universal Dual Cord 0846 with two M2K03 Cables BX 1 $3,157.35;
0846M2K04 Mega Soft Universal Dual Cord 0846 with two M2K04 Cables BX 1 $3,157.35;
0846M2K05 Mega Soft Universal Dual Cord 0846 with two M2K05 Cables BX 1 $3,157.35;
0846M2K06 Mega Soft Universal Dual Cord 0846 with two M2K06 Cables BX 1 $3,157.35;
0846M2K08 Mega Soft Universal Dual Cord 0846 with two M2K08 Cables BX 1 $3,549.35;
0846M2K09 Mega Soft Universal Dual Cord 0846 with two M2K09 Cables BX 1 $3,549.35;
0847M2K01 MEGA SOFT UNIVERSAL PLUS 0847 WITH M2K01 CABLE BX 1 $2,342.55;
0847M2K02 MEGA SOFT UNIVERSAL PLUS 0847 WITH M2K02 CABLE BX 1 $2,342.55;
0847M2K03 MEGA SOFT UNIVERSAL PLUS 0847 WITH M2K03 CABLE BX 1 $2,342.55;
0847M2K04 MEGA SOFT UNIVERSAL PLUS 0847 WITH M2K04 CABLE BX 1 $2,342.55;
0847M2K05 MEGA SOFT UNIVERSAL PLUS 0847 WITH M2K05 CABLE BX 1 $2,342.55;
0847M2K06 MEGA SOFT UNIVERSAL PLUS 0847 WITHM2K06 CABLE BX 1 $2,342.55;
0847M2K08 MEGA SOFT UNIVERSAL PLUS 0847 WITH M2K08 CABLE BX 1 $2,538.55; 
0847M2K09 MEGA SOFT UNIVERSAL PLUS 0847 WITH M2K09 CABLE BX 1 $2,538.55;
0848M2K01 MEGA SOFT UNIVERSAL PLUS DUAL CORD 0848 WITH TWO M2K01 CABLES BX 1 $3,157.35;
0848M2K02 MEGA SOFT UNIVERSAL PLUS DUAL CORD 0848 WITH TWO M2K02 CABLES BX 1 $3,157.35;
0848M2K03 MEGA SOFT UNIVERSAL PLUS DUAL CORD 0848 WITH TWO M2K03 CABLES BX 1 $3,157.35;
0848M2K04 MEGA SOFT UNIVERSAL PLUS DUAL CORD 0848 WITH TWO M2K04 CABLES BX 1 $3,157.35;
0848M2K05 MEGA SOFT UNIVERSAL PLUS DUAL CORD 0848 WITH TWO M2K05 CABLES BX 1 $3,157.35;
0848M2K06 MEGA SOFT UNIVERSAL PLUS DUAL CORD 0848 WITH TWO M2K06 CABLES BX 1 $3,157.35;
0848M2K08 MEGA SOFT UNIVERSAL PLUS DUAL CORD 0848 WITH TWO M2K08 CABLES BX 1 $3,549.35;
0848M2K09 MEGA SOFT UNIVERSAL PLUS DUAL CORD 0848 WITH TWO M2K09 CABLES BX 1 $3,549.35;
M2K01 Standard Connector, 2.4 m (8.0 ft.) BX  1 $41.00;
M2K02 Standard Connector, 4.4 m (14.4 ft.) BX 1 $41.00;
M2K03 Phone Plug Connector, 2.4 m (8.0 ft.), same as B- 205 adapter BX 1 $41.00;
M2K04 Phone Plug Connector, 4.4 m (14.4 ft.), same as B- 205 adapter BX 1 $41.00;
M2K05 Extended Phone Plug Connector, 4.4 m (14.4 ft.) same as B-210 adapter EA 1 $41.00;
M2K06 Argon Beam Connector, 2.4 m (8.0 ft.), same as A-238 adapter BX 1 $41.00;
M2K07 Mega Soft Replacement Cord, 0.6 m (2.0 ft.) BX 1 $41.00;
M2K08 Compatibility Cable, MEGA SOFT® 2.4m (8.0 ft.) BX 1 $196.00;
M2K09 Compatibility Cable, MEGA SOFT® 4.4m (14.4 ft.) BX 1 $196.00;
PKIT001 Mega Soft Patch Kit BX 1 $14.00;
0825 MEGA2000 PLASTIC SHEATH BX 1 $33.00;
1300SJ MEGA CART WITH TOP SHELF BX 1 $600.00;
1400JJ MONOPOLAR FOOTSWITCH (3 METER CABLE) BX 1 $325.00;
1450J BIPOLAR FOOTSWITCH (3 METER CABLE) BX 1 $198.00;
1459J ROUND BIPOLAR FOOTSWITCH (AVAILABLE 9/1) BX 1 $200.00;
96007 MONOPOLAR ADAPTER BX 1 $80.00;
MEGEN1 MEGADYNE™ ELECTROSURGICAL GENERATOR (AVAILABLE 9/1) BX 1 $6,995.00;
2255J MEGADYNE™M RF SENSOR BX 1 $475.00;
2403J CONNECT CABLE 1M, SMOKE EXTRACTOR EA 1 $42.10;
2406J MEGADYNE ™ CONNECT CABLE, 2.1M EA 1 $42.10;
ECVV120 MINIVAC SMOKE EVACUATOR BX 1 $1,975.00;
MGEZLINK01 EZ LINK RF SENSOR BX 1 $275.00;
MESE1 MEGADYNE™ Smoke Evacuator BX 1 $3,995.00;
CRT11 GEN11 CART BX 1 $750.00;
EGA11 ENSEAL GEN11 CONNECTOR BX 1 $100.00;
FSW11 GEN11 FOOTSWITCH AND CABLE BX 1 $750.00;
GEN11 GENERATOR G11 BX 1 $6,995.00;
GEN11VK GEN11 VERIFICATION KEY BX 1 $225.00;
HARHPGR HARMONIC HAND PIECE GREY CORD BX 1 $895.00;
HARHPBL HARMONIC HAND PIECE BLUE CORD BX 1 $895.00;</t>
  </si>
  <si>
    <t>Subject to the terms and conditions of this Supplement, the Supplier shall offer the Products to the Participants at the Discounts listed in Schedule A for the pricing tier selected by the Member if, in a given Year, the Member's performance meets or exceeds the performance requirements set forth for the tier selected by the Member. 
As of the Supplement Effective Date, the Discounts stated in Schedule A will be applied as follows subject to the price adjustment provisions of Section 3.</t>
  </si>
  <si>
    <t>Pricing Type: Pricing is discounted price. See Pricing Section</t>
  </si>
  <si>
    <t>001348293~00090989.001</t>
  </si>
  <si>
    <t>CSC111</t>
  </si>
  <si>
    <t>Master Consolidated Service Center Agreement</t>
  </si>
  <si>
    <t>ETHICON BIOSURGERY</t>
  </si>
  <si>
    <t xml:space="preserve"> CSC111 Eff 09.01.23_08,31.26_v7_Final.docx</t>
  </si>
  <si>
    <t>Discount Contract Pricing</t>
  </si>
  <si>
    <t>All Ethicon Products Included, except:
NEUWAVE™ Capital
LINX® Products
MEGADYNE™ Capital
VISTASEAL™ Products
SURGIFLO® Products
EVARREST® Products</t>
  </si>
  <si>
    <t>Through Contracts between the Company or its affiliates and the Customer or Participants.
Through Contracts between the Company or its affiliates and a GPO.
CSC Eligible Product from the Company's affiliates that are not covered under a Contract may be purchased by the CSC at list price for redistribution to the Participants.
CSC Eligible Product purchased by Participants through a Contract will be subject to the terms of the applicable Contract except as specifically provided otherwise in this
Agreement.
e) Participants may also be eligible for pricing programs or promotions from the Company 
or its affiliates providing rebates or additional off-invoice discounts._x000D_</t>
  </si>
  <si>
    <t>001550436~00097191.001</t>
  </si>
  <si>
    <t>Velys™ Hip Navigation Single-Site Customer Pay-Per-Case Agreement</t>
  </si>
  <si>
    <t>DEPUY SYNTHES VELYS HIP NAVIGATION</t>
  </si>
  <si>
    <t>Pay-Per-Case Agreement</t>
  </si>
  <si>
    <t>Baptist Health South Florida Cooperman
Medical Arts Pavillion</t>
  </si>
  <si>
    <t>VHN PPC rlt v.1 2024.06.25</t>
  </si>
  <si>
    <t>1550436  Baptist Health South Florida Cooperman Medical Arts Pavillion</t>
  </si>
  <si>
    <t>Rent on a per-case basis</t>
  </si>
  <si>
    <t>451580002 CYBERMED ALL IN ONE PC 1 EA;
451580011 VHRC RC STORAGE MODULE 1 EA;
451580012 MEDICAL GRADE POWER STRIP 1 EA;
451580013 MOLDED CABLE CLEAT 1 EA;
451580014 FLUSH MOUNT FOR FLAT PANEL 1 EA;
451580015 MEDICAL GRADE SILICONE KEYBOAR 1 EA;
451580016 LUNA BNC TO VGA HMDI CONVERTER 1 EA;
451580075 EPIPHAN AV.IO 4K USB VID GRAB 1 EA;
451580018 BNC Cable - Male to Male Extension Connector 1 EA;
451580037 VHN Vari HT Cart-Stand 1 EA;
451580039 VHN Vari HT Cart-Base 1 EA;
451580073 DISPLAY PORT TO HDMI CABLE 1 EA;
451580031 DVI-A TO VGA CONNECTOR CORD 1 EA;
451580074 VGA TO HDMI CONVERTER CABLE 1 EA;
Acetabular component analysis module;
Contralateral and ipsilateral analysis modules for leg length and offset;
OneTrial® technology;
Preoperative templating;
Preoperative planning and analysis module;
All related documentation, instructions, manuals, or other written instruments related to and delivered with the System;</t>
  </si>
  <si>
    <t>The fee per Case to rent the Equipment and use the Subscription Services is $750.00._x000D_</t>
  </si>
  <si>
    <t>https://jnj.sharepoint.com/teams/ContractIQ/Shared Documents/General/2025/Contracts in Scope/THE_REGENTS_OF_THE_UNIVERSITY_OF_CALIFORNIA/</t>
  </si>
  <si>
    <t>001030242~00043614.140</t>
  </si>
  <si>
    <t>IMEIMBAN</t>
  </si>
  <si>
    <t>MR504</t>
  </si>
  <si>
    <t>DEPUY SYNTHES SPINE</t>
  </si>
  <si>
    <t>Regents of the University of California</t>
  </si>
  <si>
    <t>Constitutional Corporation</t>
  </si>
  <si>
    <t>PA Fibergraft v3 JJS 20191220.docx</t>
  </si>
  <si>
    <t>00058200  THE REGENTS OF THE UNIVERSITY OF CALIFORNIA;
00005715  RONALD REAGAN UCLA MEDICAL CENTER;
00005737  UCSD MEDICAL CENTER;
00005751  UCI MEDICAL CENTER;
00006856  SANTA MONICA UCLA MEDICAL;
00010004  UNIVERSTY OF CALIFORNIA SAN DIEGO;
00019161  UNIVERSITY OF CALIFORNIA DAVIS MEDICAL CENTER;</t>
  </si>
  <si>
    <t>DEP Biologics Disposable 61000100 100mm Cannula EA $200.00 ;
DEP Biologics Disposable 61000200 200mm Cannula EA $200.00;
DEP Biologics Disposable 62000200 GPS Pusher EA $250.00;
DEP Fibergraft 46000020 2cc FIBERGRAFT Morsels EA $440.00;
DEP Fibergraft 46000050 6cc FIBERGRAFT Morsels EA $1,225.00 ;
DEP Fibergraft 46000100 11cc FIBERGRAFT Morsels EA $2,075.00 ;
DEP Fibergraft 47000010 1cc FIBERGRAFT Putty EA $240.00 ;
DEP Fibergraft 47000020 2cc FIBERGRAFT Putty EA $480.00;
DEP Fibergraft 47000040 4cc FIBERGRAFT Putty EA $960.00;
DEP Fibergraft 47000060 6cc FIBERGRAFT Putty EA $1,440.00;
DEP Fibergraft 47000110 11cc FIBERGRAFT Putty EA $2,400.00 ;
DEP Fibergraft 48000040 4cc FIBERGRAFT GPS Putty EA $1,040.00 ;
DEP Fibergraft 48000060 6cc FIBERGRAFT GPS Putty EA $1,560.00 ;
DEP Fibergraft 48000110 11cc FIBERGRAFT GPS Putty EA $2,500.00;
DEP Fibergraft 55000030 3cc FIBERGRAFT BG Matrix EA $800.00;
DEP Fibergraft 55000063 6.25cc FIBERGRAFT BG Matrix EA $1,650.00;
DEP Fibergraft 55000125 12.5cc FIBERGRAFT BG Matrix EA $2,800.00 ;
DEP Fibergraft 55000200 20cc FIBERGRAFT BG Matrix EA $4,100.00;</t>
  </si>
  <si>
    <t xml:space="preserve">To receive the pricing for the Products available under this PA, 
the Participant must purchase the Products directly from the Company or its affiliate. For orders placed 
with a local Company representative, the Participant must deliver a Purchase Order to the Company no 
later than the end of the business day immediately following the first to occur of the Product being opened 
or used. </t>
  </si>
  <si>
    <t>No SFDC Case Number</t>
  </si>
  <si>
    <t>No Parent MSA</t>
  </si>
  <si>
    <t>001030242~00043614.148</t>
  </si>
  <si>
    <t>Amendment To Product Agreement (Depuy Synthes Spine)</t>
  </si>
  <si>
    <t>PA Amnd Fibergraft JJS v2 20200714.docx</t>
  </si>
  <si>
    <t>(03) CHRONOS SPINE PREFORMS 710.038.99S SYNTHETIC VERTEFILL(TM) CHRONOS(TM) 15MM DIA‐STERILE EA $1,362.00 ;
(03) CHRONOS SPINE PREFORMS 710.039.99S SYNTHETIC VERTEFILL(TM) CHRONOS(TM) 17MM DIA‐STERILE EA $1,362.00 ;
(03) CHRONOS SPINE PREFORMS 710.937.99S CHRONOS(TM) SMALL CYLINDER‐CP SIZE 11‐STERILE EA $349.00 ;
(03) CHRONOS SPINE PREFORMS 710.936.99S CHRONOS(TM) SMALL CYLINDER‐CP SIZE 10‐STERILE EA $349.00 ;
(03) CHRONOS SPINE PREFORMS 710.935.99S CHRONOS(TM) SMALL CYLINDER‐CP SIZE 9‐STERILE EA $349.00 ;
(03) CHRONOS SPINE PREFORMS 710.934.99S CHRONOS(TM) SMALL CYLINDER‐CP SIZE 8‐STERILE EA $349.00 ;
(03) CHRONOS SPINE PREFORMS 710.933.99S CHRONOS(TM) SMALL CYLINDER‐CP SIZE 7‐STERILE EA $349.00 ;
(03) CHRONOS SPINE PREFORMS 710.932.99S CHRONOS(TM) SMALL CYLINDER‐CP SIZE 6‐STERILE EA $349.00 ;
(03) CHRONOS SPINE PREFORMS 710.931.99S CHRONOS(TM) SMALL CYLINDER‐CP SIZE 5‐STERILE EA $349.00 ;
(03) CHRONOS SPINE PREFORMS 710.928.99S CHRONOS(TM) SMALL CYLINDER‐L SIZE 12‐STERILE EA $349.00 ;
(03) CHRONOS SPINE PREFORMS 710.927.99S CHRONOS(TM) SMALL CYLINDER‐L SIZE 11‐STERILE EA $349.00 ;
(03) CHRONOS SPINE PREFORMS 710.926.99S CHRONOS(TM) SMALL CYLINDER‐L SIZE 10‐STERILE EA $349.00 ;
(03) CHRONOS SPINE PREFORMS 710.925.99S CHRONOS(TM) SMALL CYLINDER‐L SIZE 9‐STERILE EA $349.00 ;
(03) CHRONOS SPINE PREFORMS 710.924.99S CHRONOS(TM) SMALL CYLINDER‐L SIZE 8‐STERILE EA $349.00 ;
(03) CHRONOS SPINE PREFORMS 710.923.99S CHRONOS(TM) SMALL CYLINDER‐L SIZE 7‐STERILE EA $349.00 ;
(03) CHRONOS SPINE PREFORMS 710.922.99S CHRONOS(TM) SMALL CYLINDER‐L SIZE 6‐STERILE EA $349.00 ;
(03) CHRONOS SPINE PREFORMS 710.921.99S CHRONOS(TM) SMALL CYLINDER‐L SIZE 5‐STERILE EA $349.00 ;
(03) CHRONOS SPINE PREFORMS 710.938.99S CHRONOS(TM) SMALL CYLINDER‐CP SIZE 12‐STERILE EA $349.00 ;
(04) CHRONOS GRANULES 710.002.99S CHRONOS(TM) GRANULES‐SMALL 0.7‐1.4MM/1CC‐STERILE EA $105.00 ;
(04) CHRONOS GRANULES 710.027.99S CHRONOS(TM) GRANULES‐LARGE 2.8‐5.6MM/20CC‐STERILE EA $898.00 ;
(04) CHRONOS GRANULES 710.014.99S CHRONOS(TM) GRANULES‐MEDIUM 1.4‐2.8MM/5CC‐STERILE EA $326.00 ;
(04) CHRONOS GRANULES 710.019.99S CHRONOS(TM) GRANULES‐MEDIUM 1.4‐2.8MM/10CC‐STERILE EA $629.00 ;
(04) CHRONOS GRANULES 710.021.99S CHRONOS(TM) GRANULES‐MEDIUM 1.4‐2.8MM/20CC‐STERILE EA $898.00 ;
(04) CHRONOS GRANULES 710.025.99S CHRONOS(TM) GRANULES‐LARGE 2.8‐5.6MM/5CC‐STERILE EA $326.00 ;
(04) CHRONOS GRANULES 710.026.99S CHRONOS(TM) GRANULES‐LARGE 2.8‐5.6MM/10CC‐STERILE EA $629.00 ;
(06) BMA KIT 710.150.99S BONE MARROW ASPIRATION 11GAUGE 15CM NEEDLE W/DISTAL HOLE‐STER EA $98.00 ;
(06) BMA KIT 710.151.99S BONE MARROW ASPIRATION 11GAUGE 15CM NEEDLE W/SIDE HOLES‐STER EA $98.00 ;
(06) BMA KIT 710.111.99S BONE MARROW ASPIRATION 11GAUGE 11CM NEEDLE W/SIDE HOLES‐STER EA $98.00 ;
(08) CHRONOS STRIP 07.801.111.99S CHRONOS(TM) BETA‐TCP STRIP 100MM X 25MM X 6MM‐STERILE EA $1,642.00 ;
(08) CHRONOS STRIP 07.801.200.99S CHRONOS BETA‐TCP STRIP MX TWO STRIPS 47MMX18MMX3MM‐STER EA $714.00 ;
(08) CHRONOS STRIP 07.801.100.99S CHRONOS(TM) BETA‐TCP STRIP 50MM X 25MM X 3MM‐STERILE EA $548.00 ;
(08) CHRONOS STRIP 07.801.110.99S CHRONOS(TM) BETA‐TCP STRIP 50MM X 25MM X 6MM‐STERILE EA $962.00 ;
(08) CHRONOS STRIP 07.801.101.99S CHRONOS(TM) BETA‐TCP STRIP 100MM X 25MM X 3MM‐STERILE EA $962.00 ;
ASPIRATOR NEEDLE 276124002 ASPIRATOR NEEDLE 3 HOLE 4 " EA $203.00 ;
ASPIRATOR NEEDLE 276124001 ASPIRATOR NEEDLE 1 HOLE 4 " EA $178.00 ;
ASPIRATOR NEEDLE 276123201 ASPIRATOR KIT 3‐HOLE 6" NDLE EA $231.00 ;
ASPIRATOR NEEDLE 276123001 ASPIRATOR KIT 3‐HOLE 4" NDLE EA $231.00 ;
ASPIRATOR NEEDLE 276121001 ASPIRATOR KIT 1‐HOLE 4" NDLE EA $203.00 ;
ASPIRATOR NEEDLE 276124202 ASPIRATOR 3‐HOLE 6" NDLE EA $203.00 ;
DEP Biologics Disposable 61000100 100mm Cannula EA $200.00 ;
DEP Biologics Disposable 61000200 200mm Cannula EA $200.00;
DEP Biologics Disposable 62000200 GPS Pusher EA $250.00;
DEP Fibergraft 46000020 2cc FIBERGRAFT Morsels EA $440.00;
DEP Fibergraft 46000050 6cc FIBERGRAFT Morsels EA $1,225.00 ;
DEP Fibergraft 46000100 11cc FIBERGRAFT Morsels EA $2,075.00 ;
DEP Fibergraft 47000010 1cc FIBERGRAFT Putty EA $240.00 ;
DEP Fibergraft 47000020 2cc FIBERGRAFT Putty EA $480.00;
DEP Fibergraft 47000040 4cc FIBERGRAFT Putty EA $960.00;
DEP Fibergraft 47000060 6cc FIBERGRAFT Putty EA $1,440.00;
DEP Fibergraft 47000110 11cc FIBERGRAFT Putty EA $2,400.00 ;
DEP Fibergraft 48000040 4cc FIBERGRAFT GPS Putty EA $1,040.00 ;
DEP Fibergraft 48000060 6cc FIBERGRAFT GPS Putty EA $1,560.00 ;
DEP Fibergraft 48000110 11cc FIBERGRAFT GPS Putty EA $2,500.00;
DEP Fibergraft 55000030 3cc FIBERGRAFT BG Matrix EA $800.00;
DEP Fibergraft 55000063 6.25cc FIBERGRAFT BG Matrix EA $1,650.00;
DEP Fibergraft 55000125 12.5cc FIBERGRAFT BG Matrix EA $2,800.00 ;
DEP Fibergraft 55000200 20cc FIBERGRAFT BG Matrix EA $4,100.00;</t>
  </si>
  <si>
    <t>001030242~00043614.149</t>
  </si>
  <si>
    <t>Product Agreement (Depuy Synthes Mitek Sports Medicine)</t>
  </si>
  <si>
    <t>PA to Master SF 56048 v4 sb 20200629.docx</t>
  </si>
  <si>
    <t>00003871 MOUNT ZION HOSPITAL &amp; MEDICAL CENTER;
00003893 CHILDRENS HOSPITAL AND RESEARCH CENTER;
00013930 UCSF MEDICAL CENTER;
01119725 UCSF BENIOFF CHILDREN'S HOSPITAL OAKLAND;
01329321 UCSF MISSION BAY;</t>
  </si>
  <si>
    <t>210024;
210025;
210026;
210030;
210031;
210309;
210310;
210393;
210409;
210493;
210704;
210707;
210708;
210709;
210710;
210711;
210712;
210725;
210800;
210808;
210811;
210812;
210813;
210814;
210818;
210820;
210821;
210824;
210826;
210835;
211035;
211036;
211037;
211038;
211039;
211041;
211601;
212031;
212032;
212033;
212034;
212035;
212038;
212041;
212042;
212044;
212045;
212123;
212130;
212131;
212132;
212133;
212134;
212135;
212137;
212310;
212315;
212450;
212722;
212723;
212724;
212725;
212726;
212730;
212732;
212733;
212734;
212738;
212739;
212843;
212849;
212850;
212851;
212852;
212853;
212854;
212855;
212856;
212857;
212859;
212865;
212866;
212867;
214008;
214101;
214103;
214104;
214105;
214106;
214107;
214108;
214109;
214110;
214113;
214114;
214115;
214116;
214117;
214118;
214119;
214120;
214121;
214122;
214123;
214141;
214527;
214529;
214560;
214575;
214600;
214601;
214602;
214603;
214604;
214605;
214606;
214616;
214617;
214618;
214619;
214620;
214621;
214622;
214623;
214624;
214626;
214627;
214628;
214629;
214630;
214631;
214633;
214640;
214641;
214642;
214643;
214646;
216193;
216593;
219495;
222065;
222066;
222067;
222068;
222069;
222071;
222073;
222130;
222140;
222152;
222205;
222207;
222209;
222210;
222215;
222219;
222221;
222223;
222224;
222225;
222226;
222229;
222232;
222233;
222238;
222239;
222241;
222242;
222243;
222245;
222248;
222249;
222251;
222253;
222259;
222260;
222261;
222263;
222265;
222266;
222268;
222271;
222272;
222273;
222274;
222276;
222278;
222280;
222281;
222283;
222288;
222295;
222296;
222297;
222298;
222299;
222300;
222301;
222302;
222303;
222304;
222305;
222307;
222308;
222309;
222311;
222313;
222314;
222315;
222316;
222317;
222318;
222319;
222320;
222321;
222322;
222323;
222324;
222325;
222326;
222327;
222328;
222329;
222330;
222331;
222332;
222333;
222334;
222335;
222337;
222338;
222339;
222340;
222343;
222344;
222422;
222423;
222424;
222425;
222530;
222540;
222552;
222720;
222722;
222723;
222740;
222742;
222743;
222979;
222980;
222981;
222982;
222983;
222984;
222991;
222992;
222993;
222994;
223102;
223103;
223104;
223105;
223111;
223113;
223114;
223115;
223116;
223122;
223123;
223124;
223125;
223126;
223127;
223128;
223129;
223130;
223131;
223132;
223133;
223134;
223135;
223136;
223137;
223138;
223139;
223146;
223147;
223148;
223149;
223165;
223166;
223173;
231803;
231804;
231807;
231809;
231811;
231812;
231813;
231814;
251001;
251002;
251003;
251004;
251005;
251006;
251007;
251720;
251721;
251722;
251723;
270104;
270120;
285111;
285112;
285116;
285117;
285121;
285122;
285126;
285127;
285132;
285137;
285142;
285180;
285200;
285260;
288233;
281103;
281113;
281142;
281380;
283345;
283346;
283409;
283419;
283429;
283458;
283459;
283469;
283478;
283479;
283489;
283709;
283719;
283729;
283869;
283889;
284504;
284508;
284610;
284649;
287305;
287315;
287345;
287375;
287432;
287433;
287505;
287535;
287775;
287865;
211607;
211608;
211610;
211611;
213042;
213044;
214009;
214013;
214111;
214112;
214131;
214132;
214133;
214134;
214135;
214136;
214137;
214138;
214139;
214142;
214143;
214144;
214145;
214146;
214147;
214148;
214151;
214153;
214154;
215504;
215505;
215506;
215507;
215508;
215509;
215510;
260002;
260003;
260009;
260010;
260011;
260012;
210127;
210133;
210333;
210815;
210816;
210817;
211311;
211313;
211315;
211320;
211321;
211322;
211330;
211331;
211332;
211340;
213013;
213015;
214015;
214152;
215203;
215205;
218034;
219001;
219002;
219003;
219004;
219005;
219006;
219007;
219008;
219009;
219011;
219012;
219013;
219015;
219017;
219018;
219224;
219321;
219322;
219328;
219377;
219465;
219466;
219467;
219496;
219497;
219498;
219500;
219621;
219622;
219623;
219624;
219625;
219626;
219627;
219628;
219629;
219630;
219631;
219632;
219633;
219634;
219635;
219636;
219637;
219974;
220225;
220230;
220235;
220240;
220245;
220250;
220255;
220426;
220428;
220430;
220432;
220434;
220436;
220438;
220440;
220442;
220444;
220446;
220448;
220450;
220452;
220454;
220456;
220458;
220460;
220462;
220464;
220466;
220468;
220470;
220472;
220474;
220476;
221014;
221017;
221020;
221114;
221117;
223749;
223750;
228000;
228001;
228140;
228141;
228142;
228143;
228144;
228145;
228150;
228151;
228152;
228160;
228161;
228162;
228302;
228310;
228311;
228312;
228320;
228321;
228322;
228420;
228421;
228422;
230320;
230325;
230330;
230420;
230425;
230430;
230520;
230525;
230530;
231700;
231705;
231710;
231715;
231720;
231725;
231730;
231735;
231740;
231800;
231805;
231810;
231815;
231816;
231817;
231818;
231819;
231820;
231821;
231822;
231823;
231824;
231825;
231826;
231827;
231828;
231829;
231830;
231831;
231832;
231835;
231840;
231845;
231850;
231855;
231860;
231865;
232009;
232011;
232014;
232016;
232017;
232018;
232019;
232021;
232022;
232023;
232024;
232025;
232034;
232037;
232108;
232109;
232110;
232111;
232112;
232205;
232210;
232215;
232220;
232240;
232245;
232250;
232255;
232260;
232300;
232400;
232401;
232402;
232403;
232404;
232405;
232406;
232407;
232408;
232409;
232410;
232411;
232412;
232413;
232414;
232415;
232416;
232417;
232418;
232419;
232420;
232421;
232422;
232423;
232424;
232425;
232447;
232448;
232449;
232453;
252107;
252108;
252109;
252110;
252111;
252112;
252113;
253110;
253111;
253112;
253113;
254417;
254514;
254601;
254602;
254603;
254609;
254622;
254624;
254625;
254628;
254629;
254652;
254653;
254654;
254660;
254680;
254681;
254682;
254683;
254684;
254685;
254728;
254729;
254800;
254801;
254802;
254803;
254806;
254807;
254808;
254809;
254814;
254815;
254816;
254817;
254818;
254819;
254820;
254821;
254822;
254823;
254824;
254825;
254826;
254827;
254828;
254829;
254831;
254832;
254833;
254834;
254836;
254839;
254841;
254842;
254845;
254846;
254847;
254848;
225201;
225202;
225203;
225211;
225213;
225252;
225301;
225302;
225303;
225304;
225305;
225312;
225314;
225370;
227202;
227203;
227211;
227213;
227252;
227301;
227302;
227305;
227312;
227355;
227504;
228146;
228147;
228203;
228300;
228305;
228370;
228504;</t>
  </si>
  <si>
    <t xml:space="preserve">The price noted for each Product listed is the net invoice price for the item. </t>
  </si>
  <si>
    <t>001030242~00043614.152</t>
  </si>
  <si>
    <t>Product Agreement (Depuy Synthes Joint Reconstruction – H/K/S/Or Med)</t>
  </si>
  <si>
    <t>DEPUY SYNTHES JOINT RECONSTRUCTION</t>
  </si>
  <si>
    <t>DSJR PA JJS v9 20201008.docx</t>
  </si>
  <si>
    <t>01305718 UCLA Healthcare;
00005715 RONALD REAGAN UCLA MEDICAL CENTER;
00006856 SANTA MONICA UCLA MEDICAL;
01030611 University of San Diego Medical Center;
00058200 THE REGENTS OF THE UNIVERSITY OF CALIFORNIA;
00010004 UNIVERSTY OF CALIFORNIA SAN DIEGO;
00005737 UCSD MEDICAL CENTER;
01384357 UNIVERSITY OF CALIFORNIA SAN DIEGO MEDICAL CENTER;
01018666 UCSF Medical Center;
00003871 MOUNT ZION HOSPITAL &amp; MEDICAL CENTER;
00013930 UCSF MEDICAL CENTER;
01329321 UCSF MISSION BAY;
00019161 UNIVERSITY OF CALIFORNIA DAVIS;
00005751 UCI MEDICAL CENTER;</t>
  </si>
  <si>
    <t>Hips ‐ Primary Hips ‐ STEM Basic Fracture Cemented $1,150.00 $750.00 $700.00 ;
Hips ‐ Primary Hips ‐ STEM Basic Fracture Pressfit $1,275.00 $750.00 $700.00 ;
Hips ‐ Primary Hips ‐ STEM Cemented $1,925.00 $1,400.00 $1,400.00 ;
Hips ‐ Primary Hips ‐ STEM Porous‐No Cement $2,775.00 $2,500.00 $2,400.00 ;
Hips ‐ Primary Hips ‐ STEM Porous‐No Cement Dual Fixation $2,775.00 $2,500.00 $2,400.00 ;
Hips ‐ Primary Hips ‐ STEM Porous‐No Cement Bone Preserving (AA) $2,775.00 $2,550.00 $2,500.00 ;
Hips ‐ Primary Hips ‐ STEM Porous‐No Cement High Stability (AA) $2,925.00 $2,650.00 $2,500.00 ;
Hips ‐ Primary Hips ‐ STEM MODULAR SRom $2,300.00 $1,900.00 $1,850.00 ;
Hips ‐ Primary Hips ‐ SLEEVE MODULAR SRom $625.00 $650.00 $650.00 ;
Hips ‐ Primary Hips ‐ CUP All Poly $1,000.00 $950.00 $900.00 ;
Hips ‐ Primary Hips ‐ CUP Porous $1,300.00 $1,200.00 $1,100.00 ;
Hips ‐ Primary Hips ‐ CUP DuoFix $1,300.00 $1,200.00 $1,100.00 ;
Hips ‐ Primary Hips ‐ CUP Gription $1,700.00 $1,600.00 $1,500.00 ;
Hips ‐ Primary Hips ‐ CUP BIMENTUM Pressfit $2,575.00 $1,654.00 $1,600.00 ;
Hips ‐ Primary Hips ‐ CUP BIMENTUM Pressfit Plus $2,775.00 $1,854.00 $1,700.00 ;
Hips ‐ Primary Hips ‐ LINER Self Centering $800.00 $700.00 $600.00 ;
Hips ‐ Primary Hips ‐ LINER Marathon 22.225, 28, 32, 36mm $800.00 $700.00 $600.00 ;
Hips ‐ Primary Hips ‐ LINER AltrX 28, 32, 36mm $1,000.00 $900.00 $825.00 ;
Hips ‐ Primary Hips ‐ LINER Lg AltrX 40, 44, 48mm $1,125.00 $900.00 $825.00 ;
Hips ‐ Primary Hips ‐ LINER Ceramic Ceramax $1,800.00 $1,500.00 $1,500.00 ;
Hips ‐ Primary Hips ‐ Liner BIMENTUM 22, 28mm $1,650.00 $1,046.00 $1,000.00 ;
Hips ‐ Primary Hips ‐ HEAD Unipolar $574.00 $500.00 $450.00 ;
Hips ‐ Primary Hips ‐ HEAD Metal 22.225, 28mm $700.00 $500.00 $450.00 ;
Hips ‐ Primary Hips ‐ HEAD Metal 32, 36mm $700.00 $500.00 $450.00 ;
Hips ‐ Primary Hips ‐ HEAD Lg Metal 40, 44, 48mm $1,200.00 $900.00 $725.00 ;
Hips ‐ Primary Hips ‐ HEAD Ceramic Delta (not TS) 28, 32, 36mm $1,400.00 $775.00 $575.00 ;
Hips ‐ Primary Hips ‐ HEAD Ceramic Delta TS 40, 44mm $1,400.00 $875.00 $750.00 ;
Hips ‐ Primary Hips ‐ ACC Acetab. Screw $99.00 $99.00 $85.00 ;
Hips ‐ Primary Hips ‐ BIMENTUM Acetab. Screw $175.00 $175.00 $150.00 ;
Hips ‐ Primary Hips ‐ ACC Apex Hole Eliminator $111.00 $111.00 $100.00 ;
Hips ‐ Primary Hips ‐ SPACER Unipolar $163.00 $163.00 $160.00 ;
Hips ‐ Primary Hips ‐ ACC Centralizer $70.00 $70.00 $68.00 ;
Knees ‐ Primary Knees ‐ FEMUR HP Uni $1,950.00 $1,400.00 $1,300.00 ;
Knees ‐ Primary Knees ‐ FEMUR Sigma Cemented $1,950.00 $1,400.00 $1,300.00 ;
Knees ‐ Primary Knees ‐ FEMUR LCS Cemented $2,200.00 $1,400.00 $1,300.00 ;
Knees ‐ Primary Knees ‐ FEMUR Sigma Porous $2,600.00 $2,000.00 $1,800.00 ;
Knees ‐ Primary Knees ‐ FEMUR LCS Porous $3,100.00 $2,000.00 $1,800.00 ;
Knees ‐ Primary Knees ‐ FEMUR Attune Cemented $2,200.00 $1,900.00 $1,800.00 ;
Knees ‐ Primary Knees ‐ FEMUR Attune Porous $3,000.00 $2,200.00 $2,050.00 ;
Knees ‐ Primary Knees ‐ INSERT Sigma HP Uni $1,125.00 $600.00 $550.00 ;
Knees ‐ Primary Knees ‐ INSERT Sigma FB GVF $1,025.00 $650.00 $650.00 ;
Knees ‐ Primary Knees ‐ INSERT Sigma FB Xlink $1,175.00 $950.00 $850.00 ;
Knees ‐ Primary Knees ‐ INSERT Attune FB AOX $1,350.00 $1,240.00 $1,100.00 ;
Knees ‐ Primary Knees ‐ INSERT Sigma RP GVF $1,345.00 $1,000.00 $1,000.00 ;
Knees ‐ Primary Knees ‐ INSERT LCS RP GVF $1,345.00 $1,000.00 $1,000.00 ;
Knees ‐ Primary Knees ‐ INSERT Sigma RP AOX $1,375.00 $1,290.00 $1,200.00 ;
Knees ‐ Primary Knees ‐ INSERT LCS RP AOX $1,375.00 $1,290.00 $1,200.00 ;
Knees ‐ Primary Knees ‐ INSERT Attune RP AOX $1,375.00 $1,290.00 $1,250.00 ;
Knees ‐ Primary Knees ‐ TRAY Sigma HP Uni All Poly $1,700.00 $1,600.00 $1,500.00 ;
Knees ‐ Primary Knees ‐ TRAY Sigma HP Uni Metal $1,275.00 $1,000.00 $900.00 ;
Knees ‐ Primary Knees ‐ TRAY Sigma FB All Poly $1,375.00 $1,250.00 $1,125.00 ;
Knees ‐ Primary KNEES ‐ TRAY ATTUNE FB ALL POLY $2,461.00 $2,366.00 $2,041.00 ;
Knees ‐ Primary Knees ‐ TRAY Sigma FB Ti Cemented $1,350.00 $1,250.00 $1,125.00 ;
Knees ‐ Primary Knees ‐ TRAY Sigma FB Ti Porous $1,350.00 $1,250.00 $1,225.00 ;
Knees ‐ Primary Knees ‐ TRAY Sigma FB COCR Cemented $1,550.00 $1,500.00 $1,275.00 ;
Knees ‐ Primary Knees ‐ TRAY Attune FB Cemented $1,550.00 $1,500.00 $1,275.00 ;
Knees ‐ Primary Knees ‐ TRAY MBT Cemented $1,600.00 $1,550.00 $1,500.00 ;
Knees ‐ Primary Knees ‐ TRAY Attune RP Cemented $1,600.00 $1,550.00 $1,550.00 ;
Knees ‐ Primary Knees ‐ TRAY MBT Porous $1,600.00 $1,550.00 $1,550.00 ;
Knees ‐ Primary Knees ‐ TRAY Attune RP Porous $1,900.00 $1,850.00 $1,800.00 ;
Knees ‐ Primary Knees ‐ PATELLA Sigma All Poly $475.00 $300.00 $300.00 ;
Knees ‐ Primary Knees ‐ PATELLA LCS All Poly $475.00 $300.00 $300.00 ;
Knees ‐ Primary Knees ‐ PATELLA LCS Metal Back $550.00 $500.00 $500.00 ;
Knees ‐ Primary Knees ‐ PATELLA Attune All Poly Medial $750.00 $700.00 $600.00 ;
Knees ‐ Primary Knees ‐ PATELLA Attune All Poly Anatomic $750.00 $700.00 $600.00 ;
Knees ‐ Disposables Knees ‐ Pins ‐ Sterile AMK $115.00 $100.00 $100.00 ;
Knees ‐ Disposables Knees ‐ Pins ‐ NonSterile HP $215.00 $158.00 $150.00 ;
Knees ‐ Disposables Knees ‐ Pins ‐ Sterile HP $300.00 $249.00 $235.00 ;
Knees ‐ Disposables Knees ‐ Pins ‐ Sterile Attune $300.00 $158.00 $150.00 ;
Knees ‐ Trumatch Knees ‐ TruMatch Pin Guides Kit $650.00 $600.00 $550.00 ;
Knees ‐ Trumatch Knees ‐ TruMatch Pin Guides Femur Only $550.00 $500.00 $450.00 ;
Knees ‐ Trumatch Knees ‐ TruMatch Pin Guides Tibia Only $550.00 $500.00 $450.00 ;
Knees ‐ Trumatch Knees ‐ TruMatch 3.0 Hybrid Kit $800.00 $750.00 $700.00 ;
Knees ‐ Trumatch Knees ‐ TruMatch Cutting Block Kit $850.00 $800.00 $750.00 ;
Knees ‐ Trumatch Knees ‐ TruMatch Cutting Block Femur Only $650.00 $600.00 $550.00 ;
Knees ‐ Trumatch Knees ‐ TruMatch Cutting Block Tibia Only $650.00 $600.00 $550.00 ;
Shoulders ‐ Primary Shoulders ‐ RESURF HEAD Global CAP DuoFix $3,000.00 $2,600.00 $2,100.00 ;
Shoulders ‐ Primary Shoulders ‐ RESURF HEAD Global CAP CTA DuoFix $3,300.00 $2,860.00 $2,310.00 ;
Shoulders ‐ Primary Shoulders ‐ STEM Global FX Non‐Porocoat $2,775.00 $2,550.00 $2,125.00 ;
Shoulders ‐ Primary Shoulders ‐ STEM Global FX Porocoat $3,250.00 $3,000.00 $2,500.00 ;
Shoulders ‐ Primary Shoulders ‐ STEM Global Advantage Non‐Porocoat $2,775.00 $2,550.00 $2,125.00 ;
Shoulders ‐ Primary Shoulders ‐ STEM Global Advantage Porocoat $3,250.00 $3,000.00 $2,500.00 ;
Shoulders ‐ Primary Shoulders ‐ STEM Global AP Non‐Porocoat $2,475.00 $2,250.00 $1,825.00 ;
Shoulders ‐ Primary Shoulders ‐ STEM Global AP Porocoat $2,950.00 $2,700.00 $2,200.00 ;
Shoulders ‐ Primary Shoulders ‐ STEM Delta Xtend Monobloc $3,450.00 $3,175.00 $2,650.00 ;
Shoulders ‐ Primary Shoulders ‐ STEM Delta Xtend Modular $2,000.00 $1,825.00 $1,500.00 ;
Shoulders ‐ Primary Shoulders ‐ EPIPHYSIS Delta Xtend Modular HA $2,625.00 $2,425.00 $2,025.00 ;
Shoulders ‐ Primary Shoulders ‐ STEM Global Unite $2,650.00 $2,450.00 $2,050.00 ;
Shoulders ‐ Primary Shoulders ‐ PROX BODY Global Unite $1,080.00 $1,000.00 $825.00 ;
Shoulders ‐ Primary Shoulders ‐ EPIPHYSIS Global Unite FX $3,000.00 $2,780.00 $2,300.00 ;
Shoulders ‐ Primary Shoulders ‐ EPIPHYSIS Delta Xtend PC Alt Angle EPI $3,000.00 $2,780.00 $2,300.00 ;
Shoulders ‐ Primary Shoulders ‐ HEAD Global Advantage Standard $1,450.00 $1,350.00 $1,200.00 ;
Shoulders ‐ Primary Shoulders ‐ HEAD Global Advantage Eccentric $1,500.00 $1,425.00 $1,250.00 ;
Shoulders ‐ Primary Shoulders ‐ HEAD Global Advantage CTA $2,100.00 $1,950.00 $1,750.00 ;
Shoulders ‐ Primary Shoulders ‐ HEAD Global AP &amp; Unite Standard $1,450.00 $1,350.00 $1,200.00 ;
Shoulders ‐ Primary Shoulders ‐ HEAD Global AP &amp; Unite Eccentric $1,500.00 $1,425.00 $1,250.00 ;
Shoulders ‐ Primary Shoulders ‐ HEAD Global AP CTA $2,100.00 $1,950.00 $1,750.00 ;
Shoulders ‐ Primary Shoulders ‐ CUP Delta Xtend Standard &amp; Retentive Poly $1,050.00 $950.00 $850.00 ;
Shoulders ‐ Primary Shoulders ‐ CUP Delta Xtend High Mobility Poly $1,375.00 $1,235.00 $1,100.00 ;
Shoulders ‐ Primary Shoulders ‐ GLENOID Global Keeled Xlink $1,120.00 $1,040.00 $975.00 ;
Shoulders ‐ Primary Shoulders ‐ GLENOID Global APG Xlink $1,400.00 $1,300.00 $1,200.00 ;
Shoulders ‐ Primary Shoulders ‐ GLENOID Global StepTech APG Xlink $2,800.00 $2,600.00 $2,400.00 ;
Shoulders ‐ Primary Shoulders ‐ GLENOSPHERE Delta Xtend Standard &amp; Eccentric $1,600.00 $1,500.00 $1,400.00 ;
Shoulders ‐ Primary Shoulders ‐ TAPER Global AP 135 Degree &amp; Ball Taper $300.00 $300.00 $300.00 ;
Shoulders ‐ Primary Shoulders ‐ METAGLENE Delta Xtend $1,450.00 $1,300.00 $1,200.00 ;
Shoulders ‐ Primary Shoulders ‐ SPACER Delta Xtend $575.00 $575.00 $575.00 ;
Shoulders ‐ Primary Shoulders ‐ COLLAR Global Unite $500.00 $500.00 $500.00 ;
Shoulders ‐ Primary Shoulders ‐ SCREWS Delta Xtend Locking‐Non Locking $150.00 $150.00 $125.00 ;
Shoulders ‐ TruMatch Shoulders – TruMatch Glenoid Guides $1,170.00 $1,070.00 $895.00;</t>
  </si>
  <si>
    <t>a. Year 1 Pricing. 
Subject to the terms and conditions of this PA, as of the Effective Date and for the first Year, the Company shall offer the Products to the Participants of each Health Group at the discounts from List Price and prices stated in Schedule A for the Tier listed for each Health Group on Schedule B. Refer to the List Price definition in Section 7 below for any increases to List Price. The capitated construct prices and component pricing are firm for the term of this PA. 
b. For each Year following the first Year, 
    i. NCP Requirement. The Company shall offer the Products to each Health Group’s Participants at each Health Group’s eligible Tier of Schedule A based upon each Health Group’s NCP for the prior Year, and 
    ii. Vendor Performance Requirement. To remain eligible for the pricing set forth for Tier 2 and Tier 3 on Schedule A, the Health Group’s authorized representative must communicate in writing or through electronic communication a letter in the form of Exhibit 1. The communication must document that Regents of the University of California, as a system, will not contract with more than three suppliers, including the Company, for items of substantially the same kind and function as the Products (as defined in this agreement) during the term of this agreement. In addition, the letter must document that 90% of total hip and knee procedure volume (includes both primary and revision procedures) must be purchased from the three contracted suppliers including the Company. Communication must be made within 30 days after the start of each Year and must be sent to all Health Group supply chain directors, the Company’s Corporate Accounts Director responsible for the Customer’s business with the Company and to the Manager, Contract Performance 700 Orthopaedic Drive, Warsaw, IN 46581 (the “Verification Recipient”).</t>
  </si>
  <si>
    <t>Contract end date is indirectly stated as "expires at the end of the last day of the fifth Year."</t>
  </si>
  <si>
    <t>001030242~00043614.155</t>
  </si>
  <si>
    <t>PA Amendment 601716 SF 78169 v1 sb
20201012.docx</t>
  </si>
  <si>
    <t>210024;
210025;
210026;
210030;
210031;
210309;
210310;
210393;
210409;
210493;
210704;
210707;
210708;
210709;
210710;
210711;
210712;
210725;
210800;
210808;
210811;
210812;
210813;
210814;
210818;
210820;
210821;
210824;
210826;
210835;
211035;
211036;
211037;
211038;
211039;
211041;
211601;
212031;
212032;
212033;
212034;
212035;
212038;
212041;
212042;
212044;
212045;
212123;
212130;
212131;
212132;
212133;
212134;
212135;
212137;
212310;
212315;
212450;
212722;
212723;
212724;
212725;
212726;
212730;
PANACR;
212732;
212733;
212734;
212738;
212739;
212843;
212849;
212850;
212851;
212852;
212853;
212854;
212855;
212856;
212857;
212859;
212865;
212866;
212867;
214008;
214101;
214103;
214104;
214105;
214106;
214107;
214108;
214109;
214110;
214113;
214114;
214115;
214116;
214117;
214118;
214119;
214120;
214121;
214122;
214123;
214141;
214527;
214529;
214560;
214575;
214600;
214601;
214602;
214603;
214604;
214605;
214606;
214616;
214617;
214618;
214619;
214620;
214621;
214622;
214623;
214624;
214626;
214627;
214628;
214629;
214630;
214631;
214633;
214640;
214641;
214642;
214643;
214646;
216193;
216593;
219495;
222065;
222066;
222067;
222068;
222069;
222071;
222073;
222130;
222140;
222152;
222205;
222207;
222209;
222210;
222215;
222219;
222221;
222223;
222224;
222225;
222226;
222229;
222232;
222233;
222238;
222239;
222241;
222242;
222243;
222245;
222248;
222249;
222251;
222253;
222259;
222260;
222261;
222263;
222265;
222266;
222268;
222271;
222272;
222273;
222274;
222276;
222278;
222280;
PERCAN;
222281;
222283;
222288;
222295;
222296;
222297;
222298;
222299;
222300;
222301;
222302;
222303;
222304;
222305;
222307;
222308;
222309;
222311;
222313;
222314;
222315;
222316;
222317;
222318;
222319;
222320;
222321;
222322;
222323;
222324;
222325;
222326;
222327;
222328;
222329;
222330;
222331;
222332;
222333;
222334;
222335;
222337;
222338;
222339;
222340;
222343;
222344;
222422;
222424;
222530;
222540;
222552;
222720;
222722;
222723;
222740;
222742;
222743;
222979;
222980;
222981;
222982;
222983;
222984;
222991;
222992;
222993;
222994;
223102;
223103;
223104;
223105;
223111;
223113;
223114;
223115;
223116;
223122;
223123;
3/8 Ci;
223124;
223125;
223126;
223127;
Circle;
223128;
223129;
223130;
223131;
223132;
223133;
223134;
223135;
223136;
223137;
223138;
223139;
223146;
223147;
223148;
223149;
223165;
223166;
223173;
231803;
231804;
231807;
231809;
231811;
231812;
231813;
231814;
251001;
251002;
251003;
251004;
251005;
251006;
251007;
251720;
251721;
251722;
251723;
270104;
270120;
285111;
285112;
285116;
285117;
285121;
285122;
285126;
285127;
285132;
285137;
285142;
285180;
285200;
285260;
288233;
281103;
281113;
281380;
283345;
283346;
283409;
283419;
283429;
283458;
283459;
283469;
283478;
283479;
283489;
283709;
283719;
283729;
283869;
283889;
284504;
284649;
287305;
287315;
287345;
287375;
287432;
287433;
287505;
287535;
287775;
287865;
211607;
211608;
211610;
211611;
213042;
213044;
214009;
214013;
214111;
214112;
214131;
214132;
214133;
214134;
214135;
214136;
214137;
214138;
214139;
214142;
214143;
214144;
214145;
214146;
214147;
214148;
214151;
214153;
214154;
215504;
215505;
215506;
215507;
215508;
215509;
215510;
260002;
260003;
260009;
260010;
260011;
260012;
210127;
210133;
210333;
210815;
210816;
210817;
211311;
211313;
211315;
211320;
211321;
211322;
211330;
211331;
211332;
211340;
213013;
213015;
214015;
214152;
215203;
215205;
218034;
219001;
219002;
219003;
219004;
219005;
219006;
219007;
219008;
219009;
219011;
219012;
219013;
219015;
219017;
219018;
219224;
219321;
219322;
219328;
219377;
219465;
219466;
219467;
219496;
219497;
219498;
219500;
219621;
219622;
219623;
219624;
219625;
219626;
219627;
219628;
219629;
219630;
219631;
219632;
219633;
219634;
219635;
219636;
219637;
219974;
220225;
220230;
220235;
220240;
220245;
220250;
220255;
220426;
220428;
220430;
220432;
220434;
220436;
220438;
220440;
220442;
220444;
220446;
220448;
220450;
220452;
220454;
220456;
220458;
220460;
220462;
220464;
220466;
220468;
220470;
220472;
220474;
220476;
221014;
221017;
221020;
221114;
221117;
223749;
223750;
228000;
228001;
228140;
228141;
228142;
228143;
228144;
228145;
228150;
228151;
228152;
228160;
228161;
228162;
228302;
228310;
228311;
228312;
228320;
228321;
228322;
228420;
228421;
228422;
230320;
230325;
230330;
230420;
230425;
230430;
230520;
230525;
230530;
231700;
231705;
231710;
231715;
231720;
231725;
231730;
231735;
231740;
231800;
231805;
231810;
231815;
231816;
231817;
231818;
231819;
231820;
231821;
231822;
231823;
231824;
231825;
231826;
231827;
231828;
231829;
231830;
231831;
231832;
231835;
231840;
231845;
231850;
231855;
231860;
231865;
232009;
232011;
232014;
232016;
232017;
232018;
232019;
232021;
232022;
232023;
232024;
232025;
232034;
232037;
232108;
232109;
232110;
232111;
232112;
232205;
232210;
232215;
232220;
232240;
232245;
232250;
232255;
232260;
232300;
232400;
232401;
232402;
232403;
232404;
232405;
232406;
232407;
232408;
232409;
232410;
232411;
232412;
232413;
232414;
232415;
232416;
232417;
232418;
232419;
232420;
232421;
232422;
232423;
232424;
232425;
232447;
232448;
232449;
232453;
252107;
252108;
252109;
252110;
252111;
252112;
252113;
253110;
253111;
253112;
253113;
254417;
254514;
254601;
254602;
254603;
254609;
254622;
254624;
254625;
254628;
254629;
254652;
254653;
254654;
254660;
254680;
254681;
254682;
254683;
254684;
254685;
254728;
254729;
254800;
254801;
254802;
254803;
254806;
254807;
254808;
254809;
254814;
254815;
254816;
254817;
254818;
254819;
254820;
254821;
254822;
254823;
254824;
254825;
254826;
254827;
254828;
254829;
254831;
254832;
254833;
254834;
254836;
254839;
254841;
254842;
254845;
254846;
254847;
254848;
225201;
225202;
225203;
225211;
225213;
225252;
225301;
225302;
225303;
225304;
225305;
225312;
225314;
225370;
227202;
227203;
227211;
227213;
227252;
227301;
227302;
227305;
227312;
227355;
227504;
228146;
228147;
228203;
228300;
228305;
228370;
228504;
288222;
288223;
288224;
288225;
288226;
288227;
288228;
288229;
288230;
288231;
288238;</t>
  </si>
  <si>
    <t>001030242~00043614.157</t>
  </si>
  <si>
    <t>Amendment To Product Agreement (Depuy Synthes Joint Reconstruction – H/K/S/Or Med)</t>
  </si>
  <si>
    <t>PA Amnd JJS v2 20201203.docx</t>
  </si>
  <si>
    <t xml:space="preserve">Hips ‐ Primary Hips ‐ STEM Basic Fracture Cemented $1,150.00 $750.00 $700.00 ;
Hips ‐ Primary Hips ‐ STEM Basic Fracture Pressfit $1,275.00 $750.00 $700.00 ;
Hips ‐ Primary Hips ‐ STEM Cemented $1,925.00 $1,400.00 $1,400.00 ;
Hips ‐ Primary Hips ‐ STEM Porous‐No Cement $2,775.00 $2,500.00 $2,400.00 ;
Hips ‐ Primary Hips ‐ STEM Porous‐No Cement Dual Fixation $2,775.00 $2,500.00 $2,400.00 ;
Hips ‐ Primary Hips ‐ STEM Porous‐No Cement Bone Preserving (AA) $2,775.00 $2,550.00 $2,500.00 ;
Hips ‐ Primary Hips ‐ STEM Porous‐No Cement High Stability (AA) $2,925.00 $2,650.00 $2,500.00 ;
Hips ‐ Primary Hips ‐ STEM MODULAR SRom $2,300.00 $1,900.00 $1,850.00 ;
Hips ‐ Primary Hips ‐ SLEEVE MODULAR SRom $625.00 $650.00 $650.00 ;
Hips ‐ Primary Hips ‐ CUP All Poly $1,000.00 $950.00 $900.00 ;
Hips ‐ Primary Hips ‐ CUP Porous $1,300.00 $1,200.00 $1,100.00 ;
Hips ‐ Primary Hips ‐ CUP DuoFix $1,300.00 $1,200.00 $1,100.00 ;
Hips ‐ Primary Hips ‐ CUP Gription $1,700.00 $1,600.00 $1,500.00 ;
Hips ‐ Primary Hips ‐ CUP BIMENTUM Pressfit $2,575.00 $1,654.00 $1,600.00 ;
Hips ‐ Primary Hips ‐ CUP BIMENTUM Pressfit Plus $2,775.00 $1,854.00 $1,700.00 ;
Hips ‐ Primary Hips ‐ LINER Self Centering $800.00 $700.00 $600.00 ;
Hips ‐ Primary Hips ‐ LINER Marathon 22.225, 28, 32, 36mm $800.00 $700.00 $600.00 ;
Hips ‐ Primary Hips ‐ LINER AltrX 28, 32, 36mm $1,000.00 $900.00 $825.00 ;
Hips ‐ Primary Hips ‐ LINER Lg AltrX 40, 44, 48mm $1,125.00 $900.00 $825.00 ;
Hips ‐ Primary Hips ‐ LINER Ceramic Ceramax $1,800.00 $1,500.00 $1,500.00 ;
Hips ‐ Primary Hips ‐ Liner BIMENTUM 22, 28mm $1,650.00 $1,046.00 $1,000.00 ;
Hips ‐ Primary Hips ‐ HEAD Unipolar $574.00 $500.00 $450.00 ;
Hips ‐ Primary Hips ‐ HEAD Metal 22.225, 28mm $700.00 $500.00 $450.00 ;
Hips ‐ Primary Hips ‐ HEAD Metal 32, 36mm $700.00 $500.00 $450.00 ;
Hips ‐ Primary Hips ‐ HEAD Lg Metal 40, 44, 48mm $1,200.00 $900.00 $725.00 ;
Hips ‐ Primary Hips ‐ HEAD Ceramic Delta (not TS) 28, 32, 36mm $1,400.00 $775.00 $575.00 ;
Hips ‐ Primary Hips ‐ HEAD Ceramic Delta TS 40, 44mm $1,400.00 $875.00 $750.00 ;
Hips ‐ Primary Hips ‐ ACC Acetab. Screw $99.00 $99.00 $85.00 ;
Hips ‐ Primary Hips ‐ BIMENTUM Acetab. Screw $175.00 $175.00 $150.00 ;
Hips ‐ Primary Hips ‐ ACC Apex Hole Eliminator $111.00 $111.00 $100.00 ;
Hips ‐ Primary Hips ‐ SPACER Unipolar $163.00 $163.00 $160.00 ;
Hips ‐ Primary Hips ‐ ACC Centralizer $70.00 $70.00 $68.00 ;
Knees ‐ Primary Knees ‐ FEMUR HP Uni $1,950.00 $1,400.00 $1,300.00 ;
Knees ‐ Primary Knees ‐ FEMUR Sigma Cemented $1,950.00 $1,400.00 $1,300.00 ;
Knees ‐ Primary Knees ‐ FEMUR LCS Cemented $2,200.00 $1,400.00 $1,300.00 ;
Knees ‐ Primary Knees ‐ FEMUR Sigma Porous $2,600.00 $2,000.00 $1,800.00 ;
Knees ‐ Primary Knees ‐ FEMUR LCS Porous $3,100.00 $2,000.00 $1,800.00 ;
Knees ‐ Primary Knees ‐ FEMUR Attune Cemented $2,200.00 $1,900.00 $1,800.00 ;
Knees ‐ Primary Knees ‐ FEMUR Attune Porous $3,000.00 $2,200.00 $2,050.00 ;
Knees ‐ Primary Knees ‐ INSERT Sigma HP Uni $1,125.00 $600.00 $550.00 ;
Knees ‐ Primary Knees ‐ INSERT Sigma FB GVF $1,025.00 $650.00 $650.00 ;
Knees ‐ Primary Knees ‐ INSERT Sigma FB Xlink $1,175.00 $950.00 $850.00 ;
Knees ‐ Primary Knees ‐ INSERT Attune FB AOX $1,350.00 $1,240.00 $1,100.00 ;
Knees ‐ Primary Knees ‐ INSERT Sigma RP GVF $1,345.00 $1,000.00 $1,000.00 ;
Knees ‐ Primary Knees ‐ INSERT LCS RP GVF $1,345.00 $1,000.00 $1,000.00 ;
Knees ‐ Primary Knees ‐ INSERT Sigma RP AOX $1,375.00 $1,290.00 $1,200.00 ;
Knees ‐ Primary Knees ‐ INSERT LCS RP AOX $1,375.00 $1,290.00 $1,200.00 ;
Knees ‐ Primary Knees ‐ INSERT Attune RP AOX $1,375.00 $1,290.00 $1,250.00 ;
Knees ‐ Primary Knees ‐ TRAY Sigma HP Uni All Poly $1,700.00 $1,600.00 $1,500.00 ;
Knees ‐ Primary Knees ‐ TRAY Sigma HP Uni Metal $1,275.00 $1,000.00 $900.00 ;
Knees ‐ Primary Knees ‐ TRAY Sigma FB All Poly $1,375.00 $1,250.00 $1,125.00 ;
Knees ‐ Primary KNEES ‐ TRAY ATTUNE FB ALL POLY $2,461.00 $2,366.00 $2,041.00 ;
Knees ‐ Primary Knees ‐ TRAY Sigma FB Ti Cemented $1,350.00 $1,250.00 $1,125.00 ;
Knees ‐ Primary Knees ‐ TRAY Sigma FB Ti Porous $1,350.00 $1,250.00 $1,225.00 ;
Knees ‐ Primary Knees ‐ TRAY Sigma FB COCR Cemented $1,550.00 $1,500.00 $1,275.00 ;
Knees ‐ Primary Knees ‐ TRAY Attune FB Cemented $1,550.00 $1,500.00 $1,275.00 ;
Knees ‐ Primary Knees ‐ TRAY MBT Cemented $1,600.00 $1,550.00 $1,500.00 ;
Knees ‐ Primary Knees ‐ TRAY Attune RP Cemented $1,600.00 $1,550.00 $1,550.00 ;
Knees ‐ Primary Knees ‐ TRAY MBT Porous $1,600.00 $1,550.00 $1,550.00 ;
Knees ‐ Primary Knees ‐ TRAY Attune RP Porous $1,900.00 $1,850.00 $1,800.00 ;
Knees ‐ Primary Knees ‐ PATELLA Sigma All Poly $475.00 $300.00 $300.00 ;
Knees ‐ Primary Knees ‐ PATELLA LCS All Poly $475.00 $300.00 $300.00 ;
Knees ‐ Primary Knees ‐ PATELLA LCS Metal Back $550.00 $500.00 $500.00 ;
Knees ‐ Primary Knees ‐ PATELLA Attune All Poly Medial $750.00 $700.00 $600.00 ;
Knees ‐ Primary Knees ‐ PATELLA Attune All Poly Anatomic $750.00 $700.00 $600.00 ;
Knees ‐ Disposables Knees ‐ Pins ‐ Sterile AMK $115.00 $100.00 $100.00 ;
Knees ‐ Disposables Knees ‐ Pins ‐ NonSterile HP $215.00 $158.00 $150.00 ;
Knees ‐ Disposables Knees ‐ Pins ‐ Sterile HP $300.00 $249.00 $235.00 ;
Knees ‐ Disposables Knees ‐ Pins ‐ Sterile Attune $300.00 $158.00 $150.00 ;
Knees ‐ Trumatch Knees ‐ TruMatch Pin Guides Kit $650.00 $600.00 $550.00 ;
Knees ‐ Trumatch Knees ‐ TruMatch Pin Guides Femur Only $550.00 $500.00 $450.00 ;
Knees ‐ Trumatch Knees ‐ TruMatch Pin Guides Tibia Only $550.00 $500.00 $450.00 ;
Knees ‐ Trumatch Knees ‐ TruMatch 3.0 Hybrid Kit $800.00 $750.00 $700.00 ;
Knees ‐ Trumatch Knees ‐ TruMatch Cutting Block Kit $850.00 $800.00 $750.00 ;
Knees ‐ Trumatch Knees ‐ TruMatch Cutting Block Femur Only $650.00 $600.00 $550.00 ;
Knees ‐ Trumatch Knees ‐ TruMatch Cutting Block Tibia Only $650.00 $600.00 $550.00 ;
Shoulders ‐ Primary Shoulders ‐ RESURF HEAD Global CAP DuoFix $3,000.00 $2,600.00 $2,100.00 ;
Shoulders ‐ Primary Shoulders ‐ RESURF HEAD Global CAP CTA DuoFix $3,300.00 $2,860.00 $2,310.00 ;
Shoulders ‐ Primary Shoulders ‐ STEM Global FX Non‐Porocoat $2,775.00 $2,550.00 $2,125.00 ;
Shoulders ‐ Primary Shoulders ‐ STEM Global FX Porocoat $3,250.00 $3,000.00 $2,500.00 ;
Shoulders ‐ Primary Shoulders ‐ STEM Global Advantage Non‐Porocoat $2,775.00 $2,550.00 $2,125.00 ;
Shoulders ‐ Primary Shoulders ‐ STEM Global Advantage Porocoat $3,250.00 $3,000.00 $2,500.00 ;
Shoulders ‐ Primary Shoulders ‐ STEM Global AP Non‐Porocoat $2,475.00 $2,250.00 $1,825.00 ;
Shoulders ‐ Primary Shoulders ‐ STEM Global AP Porocoat $2,950.00 $2,700.00 $2,200.00 ;
Shoulders ‐ Primary Shoulders ‐ STEM Delta Xtend Monobloc $3,450.00 $3,175.00 $2,650.00 ;
Shoulders ‐ Primary Shoulders ‐ STEM Delta Xtend Modular $2,000.00 $1,825.00 $1,500.00 ;
Shoulders ‐ Primary Shoulders ‐ EPIPHYSIS Delta Xtend Modular HA $2,625.00 $2,425.00 $2,025.00 ;
Shoulders ‐ Primary Shoulders ‐ STEM Global Unite $2,650.00 $2,450.00 $2,050.00 ;
Shoulders ‐ Primary Shoulders ‐ PROX BODY Global Unite $1,080.00 $1,000.00 $825.00 ;
Shoulders ‐ Primary Shoulders ‐ EPIPHYSIS Global Unite FX $3,000.00 $2,780.00 $2,300.00 ;
Shoulders ‐ Primary Shoulders ‐ EPIPHYSIS Delta Xtend PC Alt Angle EPI $3,000.00 $2,780.00 $2,300.00 ;
Shoulders ‐ Primary Shoulders ‐ HEAD Global Advantage Standard $1,450.00 $1,350.00 $1,200.00 ;
Shoulders ‐ Primary Shoulders ‐ HEAD Global Advantage Eccentric $1,500.00 $1,425.00 $1,250.00 ;
Shoulders ‐ Primary Shoulders ‐ HEAD Global Advantage CTA $2,100.00 $1,950.00 $1,750.00 ;
Shoulders ‐ Primary Shoulders ‐ HEAD Global AP &amp; Unite Standard $1,450.00 $1,350.00 $1,200.00 ;
Shoulders ‐ Primary Shoulders ‐ HEAD Global AP &amp; Unite Eccentric $1,500.00 $1,425.00 $1,250.00 ;
Shoulders ‐ Primary Shoulders ‐ HEAD Global AP CTA $2,100.00 $1,950.00 $1,750.00 ;
Shoulders ‐ Primary Shoulders ‐ CUP Delta Xtend Standard &amp; Retentive Poly $1,050.00 $950.00 $850.00 ;
Shoulders ‐ Primary Shoulders ‐ CUP Delta Xtend High Mobility Poly $1,375.00 $1,235.00 $1,100.00 ;
Shoulders ‐ Primary Shoulders ‐ GLENOID Global Keeled Xlink $1,120.00 $1,040.00 $975.00 ;
Shoulders ‐ Primary Shoulders ‐ GLENOID Global APG Xlink $1,400.00 $1,300.00 $1,200.00 ;
Shoulders ‐ Primary Shoulders ‐ GLENOID Global StepTech APG Xlink $2,800.00 $2,600.00 $2,400.00 ;
Shoulders ‐ Primary Shoulders ‐ GLENOSPHERE Delta Xtend Standard &amp; Eccentric $1,600.00 $1,500.00 $1,400.00 ;
Shoulders ‐ Primary Shoulders ‐ TAPER Global AP 135 Degree &amp; Ball Taper $300.00 $300.00 $300.00 ;
Shoulders ‐ Primary Shoulders ‐ METAGLENE Delta Xtend $1,450.00 $1,300.00 $1,200.00 ;
Shoulders ‐ Primary Shoulders ‐ SPACER Delta Xtend $575.00 $575.00 $575.00 ;
Shoulders ‐ Primary Shoulders ‐ COLLAR Global Unite $500.00 $500.00 $500.00 ;
Shoulders ‐ Primary Shoulders ‐ SCREWS Delta Xtend Locking‐Non Locking $150.00 $150.00 $125.00 ;
Shoulders ‐ TruMatch Shoulders – TruMatch Glenoid Guides $1,170.00 $1,070.00 $895.00;
</t>
  </si>
  <si>
    <t>a. Year 1 Pricing. 
Subject to the terms and conditions of this PA, as of the Effective Date and for the first Year, the Company shall offer the Products to the Participants of each Health Group at the discounts from List Price and prices stated in Schedule A for the Tier listed for each Health Group on Schedule B. Refer to the List Price definition in Section 7 below for any increases to List Price. The capitated construct prices and component pricing are firm for the term of this PA. 
    i. Upon completion of the First Six-Month Period, a Health Group accessing Tier 3 shall have the option to access Tier 4 pricing for the remainder of the first Year if the Health Groups NCP for the First Six-Month Period is greater than $2,750,000 and 
    ii. Dual-Vendor Performance Requirement. To be eligible for the pricing set forth for Tier 4 on Schedule A, the Health Group’s authorized representative must communicate in writing or through electronic communication a letter in the form of Exhibit 2. The communication must document that the Health Group committing to Tier 4 will not contract with more than two suppliers, including the Company, for items of substantially the same kind and function as the Products (as defined in this agreement) during the term of this agreement. In addition, the
letter must document that 90% of total hip and knee procedure volume (includes both primary and revision procedures) must be purchased from the two contracted suppliers including the Company. Communication must be made within 30 days after the First Six Month Period and must be sent to all Health Group supply chain directors, the Company’s Corporate Accounts Director
responsible for the Customer’s business with the Company and to the Manager, Contract Performance 700 Orthopaedic Drive, Warsaw, IN 46581 (the “Verification Recipient”). 
b. For each Year following the first Year,
    i. NCP Requirement. The Company shall offer the Products to each Health Group’s Participants at each Health Group’s eligible Tier of Schedule A based upon each Health Group’s NCP for the prior Year, and 
       1. Tri-Vendor Performance Requirement. To be eligible for the pricing set forth for Tier 2 and Tier 3 on Schedule A, the Health Group’s authorized representative must communicate in writing or through electronic communication a letter in the form of Exhibit 1. The communication must document that the Heath Group committing to Tier 2 or Tier 3 will not contract with more than three suppliers, including the Company, for items of substantially the same kind and function as the Products (as defined in this agreement) during the term of this agreement. In addition, the letter must document that 90% of total hip and knee procedure volume (includes both primary and revision procedures) must be purchased from the three contracted suppliers including the Company. Communication must be made within 30 days after the start of each Year and must be sent to all Health Group supply chain directors, the Company’s Corporate Accounts Director responsible for the Customer’s business with the Company and to the Manager, Contract Performance 700 Orthopaedic Drive, Warsaw, IN 46581 (the “Verification Recipient”), or 
       2. Dual-Vendor Performance Requirement. To be eligible for the pricing set forth for Tier 4 on Schedule A, the Health Group’s authorized representative must communicate in writing or through electronic communication a letter in the form of Exhibit 2. The communication must document that the Health Group committing to Tier 4 will not contract with more than two suppliers, including the Company, for items of substantially the same kind and function as the Products (as defined in this agreement) during the term of this agreement. In addition, the letter 
must document that 90% of total hip and knee procedure volume (includes both primary and revision procedures) must be purchased from the two contracted suppliers including the Company. Communication must be made within 30 days after the start of each Year and must be sent to all Health Group supply chain directors, the Company’s Corporate Accounts Director responsible for the Customer’s business with the Company and to the Manager, Contract Performance 700 Orthopaedic Drive, Warsaw, IN 46581 (the “Verification Recipient”).</t>
  </si>
  <si>
    <t>001030242~00043614.160</t>
  </si>
  <si>
    <t>Member Removal Letter - Uci Medical Center</t>
  </si>
  <si>
    <t>Notice JJS v1 20201221.docx</t>
  </si>
  <si>
    <t>00058200  THE REGENTS OF THE UNIVERSITY OF CALIFORNIA;
00005715  RONALD REAGAN UCLA MEDICAL CENTER;
00005737  UCSD MEDICAL CENTER;
00006856  SANTA MONICA UCLA MEDICAL;
00010004  UNIVERSTY OF CALIFORNIA SAN DIEGO;
00019161  UNIVERSITY OF CALIFORNIA DAVIS MEDICAL CENTER;</t>
  </si>
  <si>
    <t>001030242~00043614.169</t>
  </si>
  <si>
    <t>Member Removal Letter - Ucsf Benioff Childrens Hospital Oakland</t>
  </si>
  <si>
    <t>PA BE Notice of Member Delete 20210330</t>
  </si>
  <si>
    <t>00003871 MOUNT ZION HOSPITAL &amp; MEDICAL CENTER;
00003893 CHILDRENS HOSPITAL AND RESEARCH CENTER;
00013930 UCSF MEDICAL CENTER;
01329321 UCSF MISSION BAY;</t>
  </si>
  <si>
    <t>210024;
210025;
210026;
210030;
210031;
210309;
210310;
210393;
210409;
210493;
210704;
210707;
210708;
210709;
210710;
210711;
210712;
210725;
210800;
210808;
210811;
210812;
210813;
210814;
210818;
210820;
210821;
210824;
210826;
210835;
211035;
211036;
211037;
211038;
211039;
211041;
211601;
212031;
212032;
212033;
212034;
212035;
212038;
212041;
212042;
212044;
212045;
212123;
212130;
212131;
212132;
212133;
212134;
212135;
212137;
212310;
212315;
212450;
212722;
212723;
212724;
212725;
212726;
212730;
212732;
212733;
212734;
212738;
212739;
212843;
212849;
212850;
212851;
212852;
212853;
212854;
212855;
212856;
212857;
212859;
212865;
212866;
212867;
214008;
214101;
214103;
214104;
214105;
214106;
214107;
214108;
214109;
214110;
214113;
214114;
214115;
214116;
214117;
214118;
214119;
214120;
214121;
214122;
214123;
214141;
214527;
214529;
214560;
214575;
214600;
214601;
214602;
214603;
214604;
214605;
214606;
214616;
214617;
214618;
214619;
214620;
214621;
214622;
214623;
214624;
214626;
214627;
214628;
214629;
214630;
214631;
214633;
214640;
214641;
214642;
214643;
214646;
216193;
216593;
219495;
222065;
222066;
222067;
222068;
222069;
222071;
222073;
222130;
222140;
222152;
222205;
222207;
222209;
222210;
222215;
222219;
222221;
222223;
222224;
222225;
222226;
222229;
222232;
222233;
222238;
222239;
222241;
222242;
222243;
222245;
222248;
222249;
222251;
222253;
222259;
222260;
222261;
222263;
222265;
222266;
222268;
222271;
222272;
222273;
222274;
222276;
222278;
222280;
222281;
222283;
222288;
222295;
222296;
222297;
222298;
222299;
222300;
222301;
222302;
222303;
222304;
222305;
222307;
222308;
222309;
222311;
222313;
222314;
222315;
222316;
222317;
222318;
222319;
222320;
222321;
222322;
222323;
222324;
222325;
222326;
222327;
222328;
222329;
222330;
222331;
222332;
222333;
222334;
222335;
222337;
222338;
222339;
222340;
222343;
222344;
222422;
222424;
222530;
222540;
222552;
222720;
222722;
222723;
222740;
222742;
222743;
222979;
222980;
222981;
222982;
222983;
222984;
222991;
222992;
222993;
222994;
223102;
223103;
223104;
223105;
223111;
223113;
223114;
223115;
223116;
223122;
223123;
3/8 Ci;
223124;
223125;
223126;
223127;
223128;
223129;
223130;
223131;
223132;
223133;
223134;
223135;
223136;
223137;
223138;
223139;
223146;
223147;
223148;
223149;
223165;
223166;
223173;
231803;
231804;
231807;
231809;
231811;
231812;
231813;
231814;
251001;
251002;
251003;
251004;
251005;
251006;
251007;
251720;
251721;
251722;
251723;
270104;
270120;
285111;
285112;
285116;
285117;
285121;
285122;
285126;
285127;
285132;
285137;
285142;
285180;
285200;
285260;
288233;
281103;
281113;
281380;
283345;
283346;
283409;
283419;
283429;
283458;
283459;
283469;
283478;
283479;
283489;
283709;
283719;
283729;
283869;
283889;
284504;
284649;
287305;
287315;
287345;
287375;
287432;
287433;
287505;
287535;
287775;
287865;
211607;
211608;
211610;
211611;
213042;
213044;
214009;
214013;
214111;
214112;
214131;
214132;
214133;
214134;
214135;
214136;
214137;
214138;
214139;
214142;
214143;
214144;
214145;
214146;
214147;
214148;
214151;
214153;
214154;
215504;
215505;
215506;
215507;
215508;
215509;
215510;
260002;
260003;
260009;
260010;
260011;
260012;
210127;
210133;
210333;
210815;
210816;
210817;
211311;
211313;
211315;
211320;
211321;
211322;
211330;
211331;
211332;
211340;
213013;
213015;
214015;
214152;
215203;
215205;
218034;
219001;
219002;
219003;
219004;
219005;
219006;
219007;
219008;
219009;
219011;
219012;
219013;
219015;
219017;
219018;
219224;
219321;
219322;
219328;
219377;
219465;
219466;
219467;
219496;
219497;
219498;
219500;
219621;
219622;
219623;
219624;
219625;
219626;
219627;
219628;
219629;
219630;
219631;
219632;
219633;
219634;
219635;
219636;
219637;
219974;
220225;
220230;
220235;
220240;
220245;
220250;
220255;
220426;
220428;
220430;
220432;
220434;
220436;
220438;
220440;
220442;
220444;
220446;
220448;
220450;
220452;
220454;
220456;
220458;
220460;
220462;
220464;
220466;
220468;
220470;
220472;
220474;
220476;
221014;
221017;
221020;
221114;
221117;
223749;
223750;
228000;
228001;
228140;
228141;
228142;
228143;
228144;
228145;
228150;
228151;
228152;
228160;
228161;
228162;
228302;
228310;
228311;
228312;
228320;
228321;
228322;
228420;
228421;
228422;
230320;
230325;
230330;
230420;
230425;
230430;
230520;
230525;
230530;
231700;
231705;
231710;
231715;
231720;
231725;
231730;
231735;
231740;
231800;
231805;
231810;
231815;
231816;
231817;
231818;
231819;
231820;
231821;
231822;
231823;
231824;
231825;
231826;
231827;
231828;
231829;
231830;
231831;
231832;
231835;
231840;
231845;
231850;
231855;
231860;
231865;
232009;
232011;
232014;
232016;
232017;
232018;
232019;
232021;
232022;
232023;
232024;
232025;
232034;
232037;
232108;
232109;
232110;
232111;
232112;
232205;
232210;
232215;
232220;
232240;
232245;
232250;
232255;
232260;
232300;
232400;
232401;
232402;
232403;
232404;
232405;
232406;
232407;
232408;
232409;
232410;
232411;
232412;
232413;
232414;
232415;
232416;
232417;
232418;
232419;
232420;
232421;
232422;
232423;
232424;
232425;
232447;
232448;
232449;
232453;
252107;
252108;
252109;
252110;
252111;
252112;
252113;
253110;
253111;
253112;
253113;
254417;
254514;
254601;
254602;
254603;
254609;
254622;
254624;
254625;
254628;
254629;
254652;
254653;
254654;
254660;
254680;
254681;
254682;
254683;
254684;
254685;
254728;
254729;
254800;
254801;
254802;
254803;
254806;
254807;
254808;
254809;
254814;
254815;
254816;
254817;
254818;
254819;
254820;
254821;
254822;
254823;
254824;
254825;
254826;
254827;
254828;
254829;
254831;
254832;
254833;
254834;
254836;
254839;
254841;
254842;
254845;
254846;
254847;
254848;
225201;
225202;
225203;
225211;
225213;
225252;
225301;
225302;
225303;
225304;
225305;
225312;
225314;
225370;
227202;
227203;
227211;
227213;
227252;
227301;
227302;
227305;
227312;
227355;
227504;
228146;
228147;
228203;
228300;
228305;
228370;
228504;
288222;
288223;
288224;
288225;
288226;
288227;
288228;
288229;
288230;
288231;
288238;</t>
  </si>
  <si>
    <t>Possible typo error on Contract ID: 601716</t>
  </si>
  <si>
    <t>001030242~00043614.177</t>
  </si>
  <si>
    <t>PA Amnd JJS v1 20210709.docx</t>
  </si>
  <si>
    <t>DEP Fibergraft 55000170 17cc FIBERGRAFT BG Matrix EA $ 3,550.00;
(03) CHRONOS SPINE PREFORMS 710.038.99S SYNTHETIC VERTEFILL(TM) CHRONOS(TM) 15MM DIA‐STERILE EA $1,362.00 ;
(03) CHRONOS SPINE PREFORMS 710.039.99S SYNTHETIC VERTEFILL(TM) CHRONOS(TM) 17MM DIA‐STERILE EA $1,362.00 ;
(03) CHRONOS SPINE PREFORMS 710.937.99S CHRONOS(TM) SMALL CYLINDER‐CP SIZE 11‐STERILE EA $349.00 ;
(03) CHRONOS SPINE PREFORMS 710.936.99S CHRONOS(TM) SMALL CYLINDER‐CP SIZE 10‐STERILE EA $349.00 ;
(03) CHRONOS SPINE PREFORMS 710.935.99S CHRONOS(TM) SMALL CYLINDER‐CP SIZE 9‐STERILE EA $349.00 ;
(03) CHRONOS SPINE PREFORMS 710.934.99S CHRONOS(TM) SMALL CYLINDER‐CP SIZE 8‐STERILE EA $349.00 ;
(03) CHRONOS SPINE PREFORMS 710.933.99S CHRONOS(TM) SMALL CYLINDER‐CP SIZE 7‐STERILE EA $349.00 ;
(03) CHRONOS SPINE PREFORMS 710.932.99S CHRONOS(TM) SMALL CYLINDER‐CP SIZE 6‐STERILE EA $349.00 ;
(03) CHRONOS SPINE PREFORMS 710.931.99S CHRONOS(TM) SMALL CYLINDER‐CP SIZE 5‐STERILE EA $349.00 ;
(03) CHRONOS SPINE PREFORMS 710.928.99S CHRONOS(TM) SMALL CYLINDER‐L SIZE 12‐STERILE EA $349.00 ;
(03) CHRONOS SPINE PREFORMS 710.927.99S CHRONOS(TM) SMALL CYLINDER‐L SIZE 11‐STERILE EA $349.00 ;
(03) CHRONOS SPINE PREFORMS 710.926.99S CHRONOS(TM) SMALL CYLINDER‐L SIZE 10‐STERILE EA $349.00 ;
(03) CHRONOS SPINE PREFORMS 710.925.99S CHRONOS(TM) SMALL CYLINDER‐L SIZE 9‐STERILE EA $349.00 ;
(03) CHRONOS SPINE PREFORMS 710.924.99S CHRONOS(TM) SMALL CYLINDER‐L SIZE 8‐STERILE EA $349.00 ;
(03) CHRONOS SPINE PREFORMS 710.923.99S CHRONOS(TM) SMALL CYLINDER‐L SIZE 7‐STERILE EA $349.00 ;
(03) CHRONOS SPINE PREFORMS 710.922.99S CHRONOS(TM) SMALL CYLINDER‐L SIZE 6‐STERILE EA $349.00 ;
(03) CHRONOS SPINE PREFORMS 710.921.99S CHRONOS(TM) SMALL CYLINDER‐L SIZE 5‐STERILE EA $349.00 ;
(03) CHRONOS SPINE PREFORMS 710.938.99S CHRONOS(TM) SMALL CYLINDER‐CP SIZE 12‐STERILE EA $349.00 ;
(04) CHRONOS GRANULES 710.002.99S CHRONOS(TM) GRANULES‐SMALL 0.7‐1.4MM/1CC‐STERILE EA $105.00 ;
(04) CHRONOS GRANULES 710.027.99S CHRONOS(TM) GRANULES‐LARGE 2.8‐5.6MM/20CC‐STERILE EA $898.00 ;
(04) CHRONOS GRANULES 710.014.99S CHRONOS(TM) GRANULES‐MEDIUM 1.4‐2.8MM/5CC‐STERILE EA $326.00 ;
(04) CHRONOS GRANULES 710.019.99S CHRONOS(TM) GRANULES‐MEDIUM 1.4‐2.8MM/10CC‐STERILE EA $629.00 ;
(04) CHRONOS GRANULES 710.021.99S CHRONOS(TM) GRANULES‐MEDIUM 1.4‐2.8MM/20CC‐STERILE EA $898.00 ;
(04) CHRONOS GRANULES 710.025.99S CHRONOS(TM) GRANULES‐LARGE 2.8‐5.6MM/5CC‐STERILE EA $326.00 ;
(04) CHRONOS GRANULES 710.026.99S CHRONOS(TM) GRANULES‐LARGE 2.8‐5.6MM/10CC‐STERILE EA $629.00 ;
(06) BMA KIT 710.150.99S BONE MARROW ASPIRATION 11GAUGE 15CM NEEDLE W/DISTAL HOLE‐STER EA $98.00 ;
(06) BMA KIT 710.151.99S BONE MARROW ASPIRATION 11GAUGE 15CM NEEDLE W/SIDE HOLES‐STER EA $98.00 ;
(06) BMA KIT 710.111.99S BONE MARROW ASPIRATION 11GAUGE 11CM NEEDLE W/SIDE HOLES‐STER EA $98.00 ;
(08) CHRONOS STRIP 07.801.111.99S CHRONOS(TM) BETA‐TCP STRIP 100MM X 25MM X 6MM‐STERILE EA $1,642.00 ;
(08) CHRONOS STRIP 07.801.200.99S CHRONOS BETA‐TCP STRIP MX TWO STRIPS 47MMX18MMX3MM‐STER EA $714.00 ;
(08) CHRONOS STRIP 07.801.100.99S CHRONOS(TM) BETA‐TCP STRIP 50MM X 25MM X 3MM‐STERILE EA $548.00 ;
(08) CHRONOS STRIP 07.801.110.99S CHRONOS(TM) BETA‐TCP STRIP 50MM X 25MM X 6MM‐STERILE EA $962.00 ;
(08) CHRONOS STRIP 07.801.101.99S CHRONOS(TM) BETA‐TCP STRIP 100MM X 25MM X 3MM‐STERILE EA $962.00 ;
ASPIRATOR NEEDLE 276124002 ASPIRATOR NEEDLE 3 HOLE 4 " EA $203.00 ;
ASPIRATOR NEEDLE 276124001 ASPIRATOR NEEDLE 1 HOLE 4 " EA $178.00 ;
ASPIRATOR NEEDLE 276123201 ASPIRATOR KIT 3‐HOLE 6" NDLE EA $231.00 ;
ASPIRATOR NEEDLE 276123001 ASPIRATOR KIT 3‐HOLE 4" NDLE EA $231.00 ;
ASPIRATOR NEEDLE 276121001 ASPIRATOR KIT 1‐HOLE 4" NDLE EA $203.00 ;
ASPIRATOR NEEDLE 276124202 ASPIRATOR 3‐HOLE 6" NDLE EA $203.00 ;
DEP Biologics Disposable 61000100 100mm Cannula EA $200.00 ;
DEP Biologics Disposable 61000200 200mm Cannula EA $200.00;
DEP Biologics Disposable 62000200 GPS Pusher EA $250.00;
DEP Fibergraft 46000020 2cc FIBERGRAFT Morsels EA $440.00;
DEP Fibergraft 46000050 6cc FIBERGRAFT Morsels EA $1,225.00 ;
DEP Fibergraft 46000100 11cc FIBERGRAFT Morsels EA $2,075.00 ;
DEP Fibergraft 47000010 1cc FIBERGRAFT Putty EA $240.00 ;
DEP Fibergraft 47000020 2cc FIBERGRAFT Putty EA $480.00;
DEP Fibergraft 47000040 4cc FIBERGRAFT Putty EA $960.00;
DEP Fibergraft 47000060 6cc FIBERGRAFT Putty EA $1,440.00;
DEP Fibergraft 47000110 11cc FIBERGRAFT Putty EA $2,400.00 ;
DEP Fibergraft 48000040 4cc FIBERGRAFT GPS Putty EA $1,040.00 ;
DEP Fibergraft 48000060 6cc FIBERGRAFT GPS Putty EA $1,560.00 ;
DEP Fibergraft 48000110 11cc FIBERGRAFT GPS Putty EA $2,500.00;
DEP Fibergraft 55000030 3cc FIBERGRAFT BG Matrix EA $800.00;
DEP Fibergraft 55000063 6.25cc FIBERGRAFT BG Matrix EA $1,650.00;
DEP Fibergraft 55000125 12.5cc FIBERGRAFT BG Matrix EA $2,800.00 ;
DEP Fibergraft 55000200 20cc FIBERGRAFT BG Matrix EA $4,100.00;</t>
  </si>
  <si>
    <t>001030242~00043614.179</t>
  </si>
  <si>
    <t>PA Amnd JJS v2 20210804.docx</t>
  </si>
  <si>
    <t>Hips ‐ Primary Hips ‐ STEM Basic Fracture Cemented $1,150.00 $750.00 $700.00 ;
Hips ‐ Primary Hips ‐ STEM Basic Fracture Pressfit $1,275.00 $750.00 $700.00 ;
Hips ‐ Primary Hips ‐ STEM Cemented $1,925.00 $1,400.00 $1,400.00 ;
Hips ‐ Primary Hips ‐ STEM Porous‐No Cement $2,775.00 $2,500.00 $2,400.00 ;
Hips ‐ Primary Hips ‐ STEM Porous‐No Cement Dual Fixation $2,775.00 $2,500.00 $2,400.00 ;
Hips ‐ Primary Hips ‐ STEM Porous‐No Cement Bone Preserving (AA) $2,775.00 $2,550.00 $2,500.00 ;
Hips ‐ Primary Hips ‐ STEM Porous‐No Cement High Stability (AA) $2,925.00 $2,650.00 $2,500.00 ;
Hips ‐ Primary Hips ‐ STEM MODULAR SRom $2,300.00 $1,900.00 $1,850.00 ;
Hips ‐ Primary Hips ‐ SLEEVE MODULAR SRom $625.00 $650.00 $650.00 ;
Hips ‐ Primary Hips ‐ CUP All Poly $1,000.00 $950.00 $900.00 ;
Hips ‐ Primary Hips ‐ CUP Porous $1,300.00 $1,200.00 $1,100.00 ;
Hips ‐ Primary Hips ‐ CUP DuoFix $1,300.00 $1,200.00 $1,100.00 ;
Hips ‐ Primary Hips ‐ CUP Gription $1,700.00 $1,600.00 $1,500.00 ;
Hips ‐ Primary Hips ‐ CUP BIMENTUM Pressfit $2,575.00 $1,654.00 $1,600.00 ;
Hips ‐ Primary Hips ‐ CUP BIMENTUM Pressfit Plus $2,775.00 $1,854.00 $1,700.00 ;
Hips ‐ Primary Hips ‐ LINER Self Centering $800.00 $700.00 $600.00 ;
Hips ‐ Primary Hips ‐ LINER Marathon 22.225, 28, 32, 36mm $800.00 $700.00 $600.00 ;
Hips ‐ Primary Hips ‐ LINER AltrX 28, 32, 36mm $1,000.00 $900.00 $825.00 ;
Hips ‐ Primary Hips ‐ LINER Lg AltrX 40, 44, 48mm $1,125.00 $900.00 $825.00 ;
Hips ‐ Primary Hips ‐ LINER Ceramic Ceramax $1,800.00 $1,500.00 $1,500.00 ;
Hips ‐ Primary Hips ‐ Liner BIMENTUM 22, 28mm $1,650.00 $1,046.00 $1,000.00 ;
Hips ‐ Primary Hips ‐ HEAD Unipolar $574.00 $500.00 $450.00 ;
Hips ‐ Primary Hips ‐ HEAD Metal 22.225, 28mm $700.00 $500.00 $450.00 ;
Hips ‐ Primary Hips ‐ HEAD Metal 32, 36mm $700.00 $500.00 $450.00 ;
Hips ‐ Primary Hips ‐ HEAD Lg Metal 40, 44, 48mm $1,200.00 $900.00 $725.00 ;
Hips ‐ Primary Hips ‐ HEAD Ceramic Delta (not TS) 28, 32, 36mm $1,400.00 $775.00 $575.00 ;
Hips ‐ Primary Hips ‐ HEAD Ceramic Delta TS 40, 44mm $1,400.00 $875.00 $750.00 ;
Hips ‐ Primary Hips ‐ ACC Acetab. Screw $99.00 $99.00 $85.00 ;
Hips ‐ Primary Hips ‐ BIMENTUM Acetab. Screw $175.00 $175.00 $150.00 ;
Hips ‐ Primary Hips ‐ ACC Apex Hole Eliminator $111.00 $111.00 $100.00 ;
Hips ‐ Primary Hips ‐ SPACER Unipolar $163.00 $163.00 $160.00 ;
Hips ‐ Primary Hips ‐ ACC Centralizer $70.00 $70.00 $68.00 ;
Knees ‐ Primary Knees ‐ FEMUR HP Uni $1,950.00 $1,400.00 $1,300.00 ;
Knees ‐ Primary Knees ‐ FEMUR Sigma Cemented $1,950.00 $1,400.00 $1,300.00 ;
Knees ‐ Primary Knees ‐ FEMUR LCS Cemented $2,200.00 $1,400.00 $1,300.00 ;
Knees ‐ Primary Knees ‐ FEMUR Sigma Porous $2,600.00 $2,000.00 $1,800.00 ;
Knees ‐ Primary Knees ‐ FEMUR LCS Porous $3,100.00 $2,000.00 $1,800.00 ;
Knees ‐ Primary Knees ‐ FEMUR Attune Cemented $2,200.00 $1,900.00 $1,800.00 ;
Knees ‐ Primary Knees ‐ FEMUR Attune Porous $3,000.00 $2,200.00 $2,050.00 ;
Knees ‐ Primary Knees ‐ INSERT Sigma HP Uni $1,125.00 $600.00 $550.00 ;
Knees ‐ Primary Knees ‐ INSERT Sigma FB GVF $1,025.00 $650.00 $650.00 ;
Knees ‐ Primary Knees ‐ INSERT Sigma FB Xlink $1,175.00 $950.00 $850.00 ;
Knees ‐ Primary Knees ‐ INSERT Attune FB AOX $1,350.00 $1,240.00 $1,100.00 ;
Knees ‐ Primary Knees ‐ INSERT Sigma RP GVF $1,345.00 $1,000.00 $1,000.00 ;
Knees ‐ Primary Knees ‐ INSERT LCS RP GVF $1,345.00 $1,000.00 $1,000.00 ;
Knees ‐ Primary Knees ‐ INSERT Sigma RP AOX $1,375.00 $1,290.00 $1,200.00 ;
Knees ‐ Primary Knees ‐ INSERT LCS RP AOX $1,375.00 $1,290.00 $1,200.00 ;
Knees ‐ Primary Knees ‐ INSERT Attune RP AOX $1,375.00 $1,290.00 $1,250.00 ;
Knees ‐ Primary Knees ‐ TRAY Sigma HP Uni All Poly $1,700.00 $1,600.00 $1,500.00 ;
Knees ‐ Primary Knees ‐ TRAY Sigma HP Uni Metal $1,275.00 $1,000.00 $900.00 ;
Knees ‐ Primary Knees ‐ TRAY Sigma FB All Poly $1,375.00 $1,250.00 $1,125.00 ;
Knees ‐ Primary KNEES ‐ TRAY ATTUNE FB ALL POLY $2,461.00 $2,366.00 $2,041.00 ;
Knees ‐ Primary Knees ‐ TRAY Sigma FB Ti Cemented $1,350.00 $1,250.00 $1,125.00 ;
Knees ‐ Primary Knees ‐ TRAY Sigma FB Ti Porous $1,350.00 $1,250.00 $1,225.00 ;
Knees ‐ Primary Knees ‐ TRAY Sigma FB COCR Cemented $1,550.00 $1,500.00 $1,275.00 ;
Knees ‐ Primary Knees ‐ TRAY Attune FB Cemented $1,550.00 $1,500.00 $1,275.00 ;
Knees ‐ Primary Knees ‐ TRAY MBT Cemented $1,600.00 $1,550.00 $1,500.00 ;
Knees ‐ Primary Knees ‐ TRAY Attune RP Cemented $1,600.00 $1,550.00 $1,550.00 ;
Knees ‐ Primary Knees ‐ TRAY MBT Porous $1,600.00 $1,550.00 $1,550.00 ;
Knees ‐ Primary Knees ‐ TRAY Attune RP Porous $1,900.00 $1,850.00 $1,800.00 ;
Knees ‐ Primary Knees ‐ PATELLA Sigma All Poly $475.00 $300.00 $300.00 ;
Knees ‐ Primary Knees ‐ PATELLA LCS All Poly $475.00 $300.00 $300.00 ;
Knees ‐ Primary Knees ‐ PATELLA LCS Metal Back $550.00 $500.00 $500.00 ;
Knees ‐ Primary Knees ‐ PATELLA Attune All Poly Medial $750.00 $700.00 $600.00 ;
Knees ‐ Primary Knees ‐ PATELLA Attune All Poly Anatomic $750.00 $700.00 $600.00 ;
Knees ‐ Disposables Knees ‐ Pins ‐ Sterile AMK $115.00 $100.00 $100.00 ;
Knees ‐ Disposables Knees ‐ Pins ‐ NonSterile HP $215.00 $158.00 $150.00 ;
Knees ‐ Disposables Knees ‐ Pins ‐ Sterile HP $300.00 $249.00 $235.00 ;
Knees ‐ Disposables Knees ‐ Pins ‐ Sterile Attune $300.00 $158.00 $150.00 ;
Knees ‐ Trumatch Knees ‐ TruMatch Pin Guides Kit $650.00 $600.00 $550.00 ;
Knees ‐ Trumatch Knees ‐ TruMatch Pin Guides Femur Only $550.00 $500.00 $450.00 ;
Knees ‐ Trumatch Knees ‐ TruMatch Pin Guides Tibia Only $550.00 $500.00 $450.00 ;
Knees ‐ Trumatch Knees ‐ TruMatch 3.0 Hybrid Kit $800.00 $750.00 $700.00 ;
Knees ‐ Trumatch Knees ‐ TruMatch Cutting Block Kit $850.00 $800.00 $750.00 ;
Knees ‐ Trumatch Knees ‐ TruMatch Cutting Block Femur Only $650.00 $600.00 $550.00 ;
Knees ‐ Trumatch Knees ‐ TruMatch Cutting Block Tibia Only $650.00 $600.00 $550.00 ;
Shoulders ‐ Primary Shoulders ‐ RESURF HEAD Global CAP DuoFix $3,000.00 $2,600.00 $2,100.00 ;
Shoulders ‐ Primary Shoulders ‐ RESURF HEAD Global CAP CTA DuoFix $3,300.00 $2,860.00 $2,310.00 ;
Shoulders ‐ Primary Shoulders ‐ STEM Global FX Non‐Porocoat $2,775.00 $2,550.00 $2,125.00 ;
Shoulders ‐ Primary Shoulders ‐ STEM Global FX Porocoat $3,250.00 $3,000.00 $2,500.00 ;
Shoulders ‐ Primary Shoulders ‐ STEM Global Advantage Non‐Porocoat $2,775.00 $2,550.00 $2,125.00 ;
Shoulders ‐ Primary Shoulders ‐ STEM Global Advantage Porocoat $3,250.00 $3,000.00 $2,500.00 ;
Shoulders ‐ Primary Shoulders ‐ STEM Global AP Non‐Porocoat $2,475.00 $2,250.00 $1,825.00 ;
Shoulders ‐ Primary Shoulders ‐ STEM Global AP Porocoat $2,950.00 $2,700.00 $2,200.00 ;
Shoulders ‐ Primary Shoulders ‐ STEM Delta Xtend Monobloc $3,450.00 $3,175.00 $2,650.00 ;
Shoulders ‐ Primary Shoulders ‐ STEM Delta Xtend Modular $2,000.00 $1,825.00 $1,500.00 ;
Shoulders ‐ Primary Shoulders ‐ EPIPHYSIS Delta Xtend Modular HA $2,625.00 $2,425.00 $2,025.00 ;
Shoulders ‐ Primary Shoulders ‐ STEM Global Unite $2,650.00 $2,450.00 $2,050.00 ;
Shoulders ‐ Primary Shoulders ‐ PROX BODY Global Unite $1,080.00 $1,000.00 $825.00 ;
Shoulders ‐ Primary Shoulders ‐ EPIPHYSIS Global Unite FX $3,000.00 $2,780.00 $2,300.00 ;
Shoulders ‐ Primary Shoulders ‐ EPIPHYSIS Delta Xtend PC Alt Angle EPI $3,000.00 $2,780.00 $2,300.00 ;
Shoulders ‐ Primary Shoulders ‐ HEAD Global Advantage Standard $1,450.00 $1,350.00 $1,200.00 ;
Shoulders ‐ Primary Shoulders ‐ HEAD Global Advantage Eccentric $1,500.00 $1,425.00 $1,250.00 ;
Shoulders ‐ Primary Shoulders ‐ HEAD Global Advantage CTA $2,100.00 $1,950.00 $1,750.00 ;
Shoulders ‐ Primary Shoulders ‐ HEAD Global AP &amp; Unite Standard $1,450.00 $1,350.00 $1,200.00 ;
Shoulders ‐ Primary Shoulders ‐ HEAD Global AP &amp; Unite Eccentric $1,500.00 $1,425.00 $1,250.00 ;
Shoulders ‐ Primary Shoulders ‐ HEAD Global AP CTA $2,100.00 $1,950.00 $1,750.00 ;
Shoulders ‐ Primary Shoulders ‐ CUP Delta Xtend Standard &amp; Retentive Poly $1,050.00 $950.00 $850.00 ;
Shoulders ‐ Primary Shoulders ‐ CUP Delta Xtend High Mobility Poly $1,375.00 $1,235.00 $1,100.00 ;
Shoulders ‐ Primary Shoulders ‐ GLENOID Global Keeled Xlink $1,120.00 $1,040.00 $975.00 ;
Shoulders ‐ Primary Shoulders ‐ GLENOID Global APG Xlink $1,400.00 $1,300.00 $1,200.00 ;
Shoulders ‐ Primary Shoulders ‐ GLENOID Global StepTech APG Xlink $2,800.00 $2,600.00 $2,400.00 ;
Shoulders ‐ Primary Shoulders ‐ GLENOSPHERE Delta Xtend Standard &amp; Eccentric $1,600.00 $1,500.00 $1,400.00 ;
Shoulders ‐ Primary Shoulders ‐ TAPER Global AP 135 Degree &amp; Ball Taper $300.00 $300.00 $300.00 ;
Shoulders ‐ Primary Shoulders ‐ METAGLENE Delta Xtend $1,450.00 $1,300.00 $1,200.00 ;
Shoulders ‐ Primary Shoulders ‐ SPACER Delta Xtend $575.00 $575.00 $575.00 ;
Shoulders ‐ Primary Shoulders ‐ COLLAR Global Unite $500.00 $500.00 $500.00 ;
Shoulders ‐ Primary Shoulders ‐ SCREWS Delta Xtend Locking‐Non Locking $150.00 $150.00 $125.00 ;
Shoulders ‐ TruMatch Shoulders – TruMatch Glenoid Guides $1,170.00 $1,070.00 $895.00;
LPS - KNEES 151106000 ATT REV SLV LPS FEM ADP +0 $773.25 $670.15 $567.05 $567.05;
LPS - KNEES 151106005 ATT REV SLV LPS FEM ADP +5 $773.25 $670.15 $567.05 $567.05;
LPS - KNEES 151106010 ATT REV SLV LPS FEM ADP +10 $773.25 $670.15 $567.05 $567.05;
VELYS - Single Use Instruments VELYS ROBOT SAW BLADE 451570000 1 EA $65.00;
VELYS - Single Use Instruments VELYS ROBOT ARRAY SET 451570001 1 EA $384.00;
VELYS - Single Use Instruments VELYS ARRAY FULL SET KNEE 451570203 1 EA $384.00;
VELYS - Single Use Instruments VELYS ARRAY SET KNEE 451570011 1 EA $384.00;
VELYS - Single Use Instruments VELYS ARRAY DRILL PIN 100X4 MM 451570004 1 EA $40.00;
VELYS - Single Use Instruments VELYS ARRAY DRILL PIN 125X4 MM 451570005 1 EA $40.00;
VELYS - Single Use Instruments VELYS ARRAY DRILL PIN 175X4 MM 451570006 1 EA $40.00;
VELYS - Single Use Instruments VELYS ROBOT STRL DRAPE 20 PKG 451570008 1 PK $1,710.00;
VELYS - Single Use Instruments VELYS SATEL STRL DRAPE 20 PKG 451570009 1 PK $1,110.00;</t>
  </si>
  <si>
    <t>001030242~00043614.181</t>
  </si>
  <si>
    <t>Product Agreement (Torax Medical, Inc.)</t>
  </si>
  <si>
    <t>LINX REFLUX MANAGEMENT SYSTEM</t>
  </si>
  <si>
    <t>00005737 UCSD Medical Center;
00005751 UCI Medical Center;
00006856 Santa Monica UCLA Medical;
00019161 University of California Davis Medical Center;
00058200 The Regents of the University of California;</t>
  </si>
  <si>
    <t>Full Stocking Order Component Pricing, Half Stocking Order Component Pricing, Individual Component Pricing</t>
  </si>
  <si>
    <t xml:space="preserve">LXMC13 LINX™13 Bead Device EA 2 $5,500.00 $11,000.00;
LXMC14 LINX™14 Bead Device EA 2 $5,500.00 $11,000.00;
LXMC15 LINX™15 Bead Device EA 2 $5,500.00 $11,000.00;
LXMC16 LINX™16 Bead Device EA 2 $5,500.00 $11,000.00;
LXMC17 LINX™17 Bead Device EA 2 $5,500.00 $11,000.00;
LST LINX™ Esophagus Sizing Tool (Box of 5) BX 1 $750.00 $750.00;
LXMC13 LINX™13 Bead Device EA 1 $5,500.00 $5,500.00;
LXMC14 LINX™14 Bead Device EA 1 $5,500.00 $5,500.00;
LXMC15 LINX™15 Bead Device EA 1 $5,500.00 $5,500.00;
LXMC16 LINX™16 Bead Device EA 1 $5,500.00 $5,500.00;
LXMC17 LINX™17 Bead Device EA 1 $5,500.00 $5,500.00;
LST LINX™ Esophagus Sizing Tool (Box of 5) BX 1 $750.00 $750.00;
LXMC13 LINX™13 Bead Device EA 1 $5,500.00 $5,500.00;
LXMC14 LINX™14 Bead Device EA 1 $5,500.00 $5,500.00;
LXMC15 LINX™15 Bead Device EA 1 $5,500.00 $5,500.00;
LXMC16 LINX™16 Bead Device EA 1 $5,500.00 $5,500.00;
LXMC17 LINX™17 Bead Device EA 1 $5,500.00 $5,500.00;
LST LINX™ Esophagus Sizing Tool (Box of 5) BX 1 $750.00 $750.00;
</t>
  </si>
  <si>
    <t xml:space="preserve">Pricing shall remain firm for two (2) years from the Effective Date. Thereafter, the Company may change pricing upon prior written notice. </t>
  </si>
  <si>
    <t>001030242~00043614.183</t>
  </si>
  <si>
    <t>Amendment To Product Agreement (Depuy Synthes Joint Reconstruction H/K/S/Or Med)</t>
  </si>
  <si>
    <t>PA Amnd JJS v1 20210915.docx</t>
  </si>
  <si>
    <t>Hips ‐ Primary Hips ‐ STEM Basic Fracture Cemented $1,150.00 $750.00 $700.00 ;
Hips ‐ Primary Hips ‐ STEM Basic Fracture Pressfit $1,275.00 $750.00 $700.00 ;
Hips ‐ Primary Hips ‐ STEM Cemented $1,925.00 $1,400.00 $1,400.00 ;
Hips ‐ Primary Hips ‐ STEM Porous‐No Cement $2,775.00 $2,500.00 $2,400.00 ;
Hips ‐ Primary Hips ‐ STEM Porous‐No Cement Dual Fixation $2,775.00 $2,500.00 $2,400.00 ;
Hips ‐ Primary Hips ‐ STEM Porous‐No Cement Bone Preserving (AA) $2,775.00 $2,550.00 $2,500.00 ;
Hips ‐ Primary Hips ‐ STEM Porous‐No Cement High Stability (AA) $2,925.00 $2,650.00 $2,500.00 ;
Hips ‐ Primary Hips ‐ STEM MODULAR SRom $2,300.00 $1,900.00 $1,850.00 ;
Hips ‐ Primary Hips ‐ SLEEVE MODULAR SRom $625.00 $650.00 $650.00 ;
Hips ‐ Primary Hips ‐ CUP All Poly $1,000.00 $950.00 $900.00 ;
Hips ‐ Primary Hips ‐ CUP Porous $1,300.00 $1,200.00 $1,100.00 ;
Hips ‐ Primary Hips ‐ CUP DuoFix $1,300.00 $1,200.00 $1,100.00 ;
Hips ‐ Primary Hips ‐ CUP Gription $1,700.00 $1,600.00 $1,500.00 ;
Hips ‐ Primary Hips ‐ CUP BIMENTUM Pressfit $2,575.00 $1,654.00 $1,600.00 ;
Hips ‐ Primary Hips ‐ CUP BIMENTUM Pressfit Plus $2,775.00 $1,854.00 $1,700.00 ;
Hips ‐ Primary Hips ‐ LINER Self Centering $800.00 $700.00 $600.00 ;
Hips ‐ Primary Hips ‐ LINER Marathon 22.225, 28, 32, 36mm $800.00 $700.00 $600.00 ;
Hips ‐ Primary Hips ‐ LINER AltrX 28, 32, 36mm $1,000.00 $900.00 $825.00 ;
Hips ‐ Primary Hips ‐ LINER Lg AltrX 40, 44, 48mm $1,125.00 $900.00 $825.00 ;
Hips ‐ Primary Hips ‐ LINER Ceramic Ceramax $1,800.00 $1,500.00 $1,500.00 ;
Hips ‐ Primary Hips ‐ Liner BIMENTUM 22, 28mm $1,650.00 $1,046.00 $1,000.00 ;
Hips ‐ Primary Hips ‐ HEAD Unipolar $574.00 $500.00 $450.00 ;
Hips ‐ Primary Hips ‐ HEAD Metal 22.225, 28mm $700.00 $500.00 $450.00 ;
Hips ‐ Primary Hips ‐ HEAD Metal 32, 36mm $700.00 $500.00 $450.00 ;
Hips ‐ Primary Hips ‐ HEAD Lg Metal 40, 44, 48mm $1,200.00 $900.00 $725.00 ;
Hips ‐ Primary Hips ‐ HEAD Ceramic Delta (not TS) 28, 32, 36mm $1,400.00 $775.00 $575.00 ;
Hips ‐ Primary Hips ‐ HEAD Ceramic Delta TS 40, 44mm $1,400.00 $875.00 $750.00 ;
Hips ‐ Primary Hips ‐ ACC Acetab. Screw $99.00 $99.00 $85.00 ;
Hips ‐ Primary Hips ‐ BIMENTUM Acetab. Screw $175.00 $175.00 $150.00 ;
Hips ‐ Primary Hips ‐ ACC Apex Hole Eliminator $111.00 $111.00 $100.00 ;
Hips ‐ Primary Hips ‐ SPACER Unipolar $163.00 $163.00 $160.00 ;
Hips ‐ Primary Hips ‐ ACC Centralizer $70.00 $70.00 $68.00 ;
Knees ‐ Primary Knees ‐ FEMUR HP Uni $1,950.00 $1,400.00 $1,300.00 ;
Knees ‐ Primary Knees ‐ FEMUR Sigma Cemented $1,950.00 $1,400.00 $1,300.00 ;
Knees ‐ Primary Knees ‐ FEMUR LCS Cemented $2,200.00 $1,400.00 $1,300.00 ;
Knees ‐ Primary Knees ‐ FEMUR Sigma Porous $2,600.00 $2,000.00 $1,800.00 ;
Knees ‐ Primary Knees ‐ FEMUR LCS Porous $3,100.00 $2,000.00 $1,800.00 ;
Knees ‐ Primary Knees ‐ FEMUR Attune Cemented $2,200.00 $1,900.00 $1,800.00 ;
Knees ‐ Primary Knees ‐ FEMUR Attune Porous $3,000.00 $2,200.00 $2,050.00 ;
Knees ‐ Primary Knees ‐ INSERT Sigma HP Uni $1,125.00 $600.00 $550.00 ;
Knees ‐ Primary Knees ‐ INSERT Sigma FB GVF $1,025.00 $650.00 $650.00 ;
Knees ‐ Primary Knees ‐ INSERT Sigma FB Xlink $1,175.00 $950.00 $850.00 ;
Knees ‐ Primary Knees ‐ INSERT Attune FB AOX $1,350.00 $1,240.00 $1,100.00 ;
Knees ‐ Primary Knees ‐ INSERT Sigma RP GVF $1,345.00 $1,000.00 $1,000.00 ;
Knees ‐ Primary Knees ‐ INSERT LCS RP GVF $1,345.00 $1,000.00 $1,000.00 ;
Knees ‐ Primary Knees ‐ INSERT Sigma RP AOX $1,375.00 $1,290.00 $1,200.00 ;
Knees ‐ Primary Knees ‐ INSERT LCS RP AOX $1,375.00 $1,290.00 $1,200.00 ;
Knees ‐ Primary Knees ‐ INSERT Attune RP AOX $1,375.00 $1,290.00 $1,250.00 ;
Knees ‐ Primary Knees ‐ TRAY Sigma HP Uni All Poly $1,700.00 $1,600.00 $1,500.00 ;
Knees ‐ Primary Knees ‐ TRAY Sigma HP Uni Metal $1,275.00 $1,000.00 $900.00 ;
Knees ‐ Primary Knees ‐ TRAY Sigma FB All Poly $1,375.00 $1,250.00 $1,125.00 ;
Knees ‐ Primary KNEES ‐ TRAY ATTUNE FB ALL POLY $2,461.00 $2,366.00 $2,041.00 ;
Knees - Primary KNEES - TRAY ATTUNE FB POROUS $1,850 $1,800 $1,575 $1,450;
Knees ‐ Primary Knees ‐ TRAY Sigma FB Ti Cemented $1,350.00 $1,250.00 $1,125.00 ;
Knees ‐ Primary Knees ‐ TRAY Sigma FB Ti Porous $1,350.00 $1,250.00 $1,225.00 ;
Knees ‐ Primary Knees ‐ TRAY Sigma FB COCR Cemented $1,550.00 $1,500.00 $1,275.00 ;
Knees ‐ Primary Knees ‐ TRAY Attune FB Cemented $1,550.00 $1,500.00 $1,275.00 ;
Knees ‐ Primary Knees ‐ TRAY MBT Cemented $1,600.00 $1,550.00 $1,500.00 ;
Knees ‐ Primary Knees ‐ TRAY Attune RP Cemented $1,600.00 $1,550.00 $1,550.00 ;
Knees ‐ Primary Knees ‐ TRAY MBT Porous $1,600.00 $1,550.00 $1,550.00 ;
Knees ‐ Primary Knees ‐ TRAY Attune RP Porous $1,900.00 $1,850.00 $1,800.00 ;
Knees ‐ Primary Knees ‐ PATELLA Sigma All Poly $475.00 $300.00 $300.00 ;
Knees ‐ Primary Knees ‐ PATELLA LCS All Poly $475.00 $300.00 $300.00 ;
Knees ‐ Primary Knees ‐ PATELLA LCS Metal Back $550.00 $500.00 $500.00 ;
Knees ‐ Primary Knees ‐ PATELLA Attune All Poly Medial $750.00 $700.00 $600.00 ;
Knees ‐ Primary Knees ‐ PATELLA Attune All Poly Anatomic $750.00 $700.00 $600.00 ;
Knees ‐ Disposables Knees ‐ Pins ‐ Sterile AMK $115.00 $100.00 $100.00 ;
Knees ‐ Disposables Knees ‐ Pins ‐ NonSterile HP $215.00 $158.00 $150.00 ;
Knees ‐ Disposables Knees ‐ Pins ‐ Sterile HP $300.00 $249.00 $235.00 ;
Knees ‐ Disposables Knees ‐ Pins ‐ Sterile Attune $300.00 $158.00 $150.00 ;
Knees ‐ Trumatch Knees ‐ TruMatch Pin Guides Kit $650.00 $600.00 $550.00 ;
Knees ‐ Trumatch Knees ‐ TruMatch Pin Guides Femur Only $550.00 $500.00 $450.00 ;
Knees ‐ Trumatch Knees ‐ TruMatch Pin Guides Tibia Only $550.00 $500.00 $450.00 ;
Knees ‐ Trumatch Knees ‐ TruMatch 3.0 Hybrid Kit $800.00 $750.00 $700.00 ;
Knees ‐ Trumatch Knees ‐ TruMatch Cutting Block Kit $850.00 $800.00 $750.00 ;
Knees ‐ Trumatch Knees ‐ TruMatch Cutting Block Femur Only $650.00 $600.00 $550.00 ;
Knees ‐ Trumatch Knees ‐ TruMatch Cutting Block Tibia Only $650.00 $600.00 $550.00 ;
Shoulders ‐ Primary Shoulders ‐ RESURF HEAD Global CAP DuoFix $3,000.00 $2,600.00 $2,100.00 ;
Shoulders ‐ Primary Shoulders ‐ RESURF HEAD Global CAP CTA DuoFix $3,300.00 $2,860.00 $2,310.00 ;
Shoulders ‐ Primary Shoulders ‐ STEM Global FX Non‐Porocoat $2,775.00 $2,550.00 $2,125.00 ;
Shoulders ‐ Primary Shoulders ‐ STEM Global FX Porocoat $3,250.00 $3,000.00 $2,500.00 ;
Shoulders ‐ Primary Shoulders ‐ STEM Global Advantage Non‐Porocoat $2,775.00 $2,550.00 $2,125.00 ;
Shoulders ‐ Primary Shoulders ‐ STEM Global Advantage Porocoat $3,250.00 $3,000.00 $2,500.00 ;
Shoulders ‐ Primary Shoulders ‐ STEM Global AP Non‐Porocoat $2,475.00 $2,250.00 $1,825.00 ;
Shoulders ‐ Primary Shoulders ‐ STEM Global AP Porocoat $2,950.00 $2,700.00 $2,200.00 ;
Shoulders ‐ Primary Shoulders ‐ STEM Delta Xtend Monobloc $3,450.00 $3,175.00 $2,650.00 ;
Shoulders ‐ Primary Shoulders ‐ STEM Delta Xtend Modular $2,000.00 $1,825.00 $1,500.00 ;
Shoulders ‐ Primary Shoulders ‐ EPIPHYSIS Delta Xtend Modular HA $2,625.00 $2,425.00 $2,025.00 ;
Shoulders ‐ Primary Shoulders ‐ STEM Global Unite $2,650.00 $2,450.00 $2,050.00 ;
Shoulders ‐ Primary Shoulders ‐ PROX BODY Global Unite $1,080.00 $1,000.00 $825.00 ;
Shoulders ‐ Primary Shoulders ‐ EPIPHYSIS Global Unite FX $3,000.00 $2,780.00 $2,300.00 ;
Shoulders ‐ Primary Shoulders ‐ EPIPHYSIS Delta Xtend PC Alt Angle EPI $3,000.00 $2,780.00 $2,300.00 ;
Shoulders ‐ Primary Shoulders ‐ HEAD Global Advantage Standard $1,450.00 $1,350.00 $1,200.00 ;
Shoulders ‐ Primary Shoulders ‐ HEAD Global Advantage Eccentric $1,500.00 $1,425.00 $1,250.00 ;
Shoulders ‐ Primary Shoulders ‐ HEAD Global Advantage CTA $2,100.00 $1,950.00 $1,750.00 ;
Shoulders ‐ Primary Shoulders ‐ HEAD Global AP &amp; Unite Standard $1,450.00 $1,350.00 $1,200.00 ;
Shoulders ‐ Primary Shoulders ‐ HEAD Global AP &amp; Unite Eccentric $1,500.00 $1,425.00 $1,250.00 ;
Shoulders ‐ Primary Shoulders ‐ HEAD Global AP CTA $2,100.00 $1,950.00 $1,750.00 ;
Shoulders ‐ Primary Shoulders ‐ CUP Delta Xtend Standard &amp; Retentive Poly $1,050.00 $950.00 $850.00 ;
Shoulders ‐ Primary Shoulders ‐ CUP Delta Xtend High Mobility Poly $1,375.00 $1,235.00 $1,100.00 ;
Shoulders ‐ Primary Shoulders ‐ GLENOID Global Keeled Xlink $1,120.00 $1,040.00 $975.00 ;
Shoulders ‐ Primary Shoulders ‐ GLENOID Global APG Xlink $1,400.00 $1,300.00 $1,200.00 ;
Shoulders ‐ Primary Shoulders ‐ GLENOID Global StepTech APG Xlink $2,800.00 $2,600.00 $2,400.00 ;
Shoulders ‐ Primary Shoulders ‐ GLENOSPHERE Delta Xtend Standard &amp; Eccentric $1,600.00 $1,500.00 $1,400.00 ;
Shoulders ‐ Primary Shoulders ‐ TAPER Global AP 135 Degree &amp; Ball Taper $300.00 $300.00 $300.00 ;
Shoulders ‐ Primary Shoulders ‐ METAGLENE Delta Xtend $1,450.00 $1,300.00 $1,200.00 ;
Shoulders ‐ Primary Shoulders ‐ SPACER Delta Xtend $575.00 $575.00 $575.00 ;
Shoulders ‐ Primary Shoulders ‐ COLLAR Global Unite $500.00 $500.00 $500.00 ;
Shoulders ‐ Primary Shoulders ‐ SCREWS Delta Xtend Locking‐Non Locking $150.00 $150.00 $125.00 ;
SHOULDERS - Primary Shoulders - STEM GLOBAL UNITE SHORT $2,650 $2,450 $2,050 $2,000;
SHOULDERS - Primary Shoulders - STEM INHANCE SHORT STEM $3,730 $3,450 $2,875 $2,775;
SHOULDERS - Primary Shoulders - STEM INHANCE STEMLESS $4,980 $4,616 $3,899 $3,762;
SHOULDERS - Primary Shoulders - HEAD INHANCE $1,500 $1,425 $1,250 $1,200;
SHOULDERS - Primary Shoulders - GLENOID INHANCE AO &amp; SU INSERTER $2,800 $2,600 $2,400 $2,350;
SHOULDERS - Primary Shoulders - ADAPTER INHANCE $300 $300 $300 $255;
SHOULDERS - Primary Shoulders - STND CS METAGLENE DELTA XTEND $1,825 $1,675 $1,575 $1,525;
SHOULDERS - Primary Shoulders - COLLET DELTA XTEND CS METAGLENE $300 $300 $300 $255;
SHOULDERS - Primary Shoulders - SCREWS DELTA XTEND CS METAGLENE SCREWS $280 $280 $255 $255;
Shoulders ‐ TruMatch Shoulders – TruMatch Glenoid Guides $1,170.00 $1,070.00 $895.00;
LPS - KNEES 151106000 ATT REV SLV LPS FEM ADP +0 $773.25 $670.15 $567.05 $567.05;
LPS - KNEES 151106005 ATT REV SLV LPS FEM ADP +5 $773.25 $670.15 $567.05 $567.05;
LPS - KNEES 151106010 ATT REV SLV LPS FEM ADP +10 $773.25 $670.15 $567.05 $567.05;
VELYS - Single Use Instruments VELYS ROBOT SAW BLADE 451570000 1 EA $65.00;
VELYS - Single Use Instruments VELYS ROBOT ARRAY SET 451570001 1 EA $384.00;
VELYS - Single Use Instruments VELYS ARRAY FULL SET KNEE 451570203 1 EA $384.00;
VELYS - Single Use Instruments VELYS ARRAY SET KNEE 451570011 1 EA $384.00;
VELYS - Single Use Instruments VELYS ARRAY DRILL PIN 100X4 MM 451570004 1 EA $40.00;
VELYS - Single Use Instruments VELYS ARRAY DRILL PIN 125X4 MM 451570005 1 EA $40.00;
VELYS - Single Use Instruments VELYS ARRAY DRILL PIN 175X4 MM 451570006 1 EA $40.00;
VELYS - Single Use Instruments VELYS ROBOT STRL DRAPE 20 PKG 451570008 1 PK $1,710.00;
VELYS - Single Use Instruments VELYS SATEL STRL DRAPE 20 PKG 451570009 1 PK $1,110.00;</t>
  </si>
  <si>
    <t>001030242~00043614.185</t>
  </si>
  <si>
    <t>PA Amdmt BFP V1 9.17.2021</t>
  </si>
  <si>
    <t>210024;
210025;
210026;
210030;
210031;
210309;
210310;
210393;
210409;
210493;
210704;
210707;
210708;
210709;
210710;
210711;
210712;
210725;
210800;
210808;
210811;
210812;
210813;
210814;
210818;
210820;
210821;
210824;
210826;
210835;
211035;
211036;
211037;
211038;
211039;
211041;
211601;
212031;
212032;
212033;
212034;
212035;
212038;
212041;
212042;
212044;
212045;
212123;
212130;
212131;
212132;
212133;
212134;
212135;
212137;
212310;
212315;
212450;
212722;
212723;
212724;
212725;
212726;
212730;
212732;
212733;
212734;
212738;
212739;
212843;
212849;
212850;
212851;
212852;
212853;
212854;
212855;
212856;
212857;
212859;
212865;
212866;
212867;
214008;
214101;
214103;
214104;
214105;
214106;
214107;
214108;
214109;
214110;
214113;
214114;
214115;
214116;
214117;
214118;
214119;
214120;
214121;
214122;
214123;
214141;
214527;
214529;
214560;
214575;
214600;
214601;
214602;
214603;
214604;
214605;
214606;
214616;
214617;
214618;
214619;
214620;
214621;
214622;
214623;
214624;
214626;
214627;
214628;
214629;
214630;
214631;
214633;
214640;
214641;
214642;
214643;
214646;
216193;
216593;
219495;
222065;
222066;
222067;
222068;
222069;
222071;
222073;
222130;
222140;
222152;
222205;
222207;
222209;
222210;
222215;
222219;
222221;
222223;
222224;
222225;
222226;
222229;
222232;
222233;
222238;
222239;
222241;
222242;
222243;
222245;
222248;
222249;
222251;
222253;
222259;
222260;
222261;
222263;
222265;
222266;
222268;
222271;
222272;
222273;
222274;
222276;
222278;
222280;
222281;
222283;
222288;
222295;
222296;
222297;
222298;
222299;
222300;
222301;
222302;
222303;
222304;
222305;
222307;
222308;
222309;
222311;
222313;
222314;
222315;
222316;
222317;
222318;
222319;
222320;
222321;
222322;
222323;
222324;
222325;
222326;
222327;
222328;
222329;
222330;
222331;
222332;
222333;
222334;
222335;
222337;
222338;
222339;
222340;
222343;
222344;
222422;
222424;
222530;
222540;
222552;
222720;
222722;
222723;
222740;
222742;
222743;
222979;
222980;
222981;
222982;
222983;
222984;
222991;
222992;
222993;
222994;
223102;
223103;
223104;
223105;
223111;
223113;
223114;
223115;
223116;
223122;
223123;
223124;
223125;
223126;
223127;
223128;
223129;
223130;
223131;
223132;
223133;
223134;
223135;
223136;
223137;
223138;
223139;
223146;
223147;
223148;
223149;
223165;
223166;
223173;
231803;
231804;
231807;
231809;
231811;
231812;
231813;
231814;
251001;
251002;
251003;
251004;
251005;
251006;
251007;
251720;
251721;
251722;
251723;
270104;
270120;
285111;
285112;
285116;
285117;
285121;
285122;
285126;
285127;
285132;
285137;
285142;
285180;
285200;
285260;
288233;
281103;
281113;
281380;
283345;
283346;
283409;
283419;
283429;
283458;
283459;
283469;
283478;
283479;
283489;
283709;
283719;
283729;
283869;
283889;
284504;
284649;
287305;
287315;
287345;
287375;
287432;
287433;
287505;
287535;
287775;
287865;
211607;
211608;
211610;
211611;
213042;
213044;
214009;
214013;
214111;
214112;
214131;
214132;
214133;
214134;
214135;
214136;
214137;
214138;
214139;
214142;
214143;
214144;
214145;
214146;
214147;
214148;
214151;
214153;
214154;
215504;
215505;
215506;
215507;
215508;
215509;
215510;
260002;
260003;
260009;
260010;
260011;
260012;
210127;
210133;
210333;
210815;
210816;
210817;
211311;
211313;
211315;
211320;
211321;
211322;
211330;
211331;
211332;
211340;
213013;
213015;
214015;
214152;
215203;
215205;
218034;
219001;
219002;
219003;
219004;
219005;
219006;
219007;
219008;
219009;
219011;
219012;
219013;
219015;
219017;
219018;
219224;
219321;
219322;
219328;
219377;
219465;
219466;
219467;
219496;
219497;
219498;
219500;
219621;
219622;
219623;
219624;
219625;
219626;
219627;
219628;
219629;
219630;
219631;
219632;
219633;
219634;
219635;
219636;
219637;
219974;
220225;
220230;
220235;
220240;
220245;
220250;
220255;
220426;
220428;
220430;
220432;
220434;
220436;
220438;
220440;
220442;
220444;
220446;
220448;
220450;
220452;
220454;
220456;
220458;
220460;
220462;
220464;
220466;
220468;
220470;
220472;
220474;
220476;
221014;
221017;
221020;
221114;
221117;
223749;
223750;
228000;
228001;
228140;
228141;
228142;
228143;
228144;
228145;
228150;
228151;
228152;
228160;
228161;
228162;
228302;
228310;
228311;
228312;
228320;
228321;
228322;
228420;
228421;
228422;
230320;
230325;
230330;
230420;
230425;
230430;
230520;
230525;
230530;
231700;
231705;
231710;
231715;
231720;
231725;
231730;
231735;
231740;
231800;
231805;
231810;
231815;
231816;
231817;
231818;
231819;
231820;
231821;
231822;
231823;
231824;
231825;
231826;
231827;
231828;
231829;
231830;
231831;
231832;
231835;
231840;
231845;
231850;
231855;
231860;
231865;
232009;
232011;
232014;
232016;
232017;
232018;
232019;
232021;
232022;
232023;
232024;
232025;
232034;
232037;
232108;
232109;
232110;
232111;
232112;
232205;
232210;
232215;
232220;
232240;
232245;
232250;
232255;
232260;
232300;
232400;
232401;
232402;
232403;
232404;
232405;
232406;
232407;
232408;
232409;
232410;
232411;
232412;
232413;
232414;
232415;
232416;
232417;
232418;
232419;
232420;
232421;
232422;
232423;
232424;
232425;
232447;
232448;
232449;
232453;
252107;
252108;
252109;
252110;
252111;
252112;
252113;
253110;
253111;
253112;
253113;
254417;
254514;
254601;
254602;
254603;
254609;
254622;
254624;
254625;
254628;
254629;
254652;
254653;
254654;
254660;
254680;
254681;
254682;
254683;
254684;
254685;
254728;
254729;
254800;
254801;
254802;
254803;
254806;
254807;
254808;
254809;
254814;
254815;
254816;
254817;
254818;
254819;
254820;
254821;
254822;
254823;
254824;
254825;
254826;
254827;
254828;
254829;
254831;
254832;
254833;
254834;
254836;
254839;
254841;
254842;
254845;
254846;
254847;
254848;
225201;
225202;
225203;
225211;
225213;
225252;
225301;
225302;
225303;
225304;
225305;
225312;
225314;
225370;
227202;
227203;
227211;
227213;
227252;
227301;
227302;
227305;
227312;
227355;
227504;
228146;
228147;
228203;
228300;
228305;
228370;
228504;
288222;
288223;
288224;
288225;
288226;
288227;
288228;
288229;
288230;
288231;
288238;
210166;
210167;
210168;
210170;
210171;
210199;
210203;</t>
  </si>
  <si>
    <t>001030242~00043614.193</t>
  </si>
  <si>
    <t>PA Amendment arc v1 11.10.2021.docx</t>
  </si>
  <si>
    <t>210024;
210025;
210026;
210030;
210031;
210309;
210310;
210393;
210409;
210493;
210704;
210707;
210708;
210709;
210710;
210711;
210712;
210725;
210800;
210808;
210811;
210812;
210813;
210814;
210818;
210820;
210821;
210824;
210826;
210835;
211035;
211036;
211037;
211038;
211039;
211041;
211601;
212031;
212032;
212033;
212034;
212035;
212038;
212041;
212042;
212044;
212045;
212123;
212130;
212131;
212132;
212133;
212134;
212135;
212137;
212310;
212315;
212450;
212722;
212723;
212724;
212725;
212726;
212730;
PANACR;
212732;
212733;
212734;
212738;
212739;
212843;
212849;
212850;
212851;
212852;
212853;
212854;
212855;
212856;
212857;
212859;
212865;
212866;
212867;
214008;
214101;
214103;
214104;
214105;
214106;
214107;
214108;
214109;
214110;
214113;
214114;
214115;
214116;
214117;
214118;
214119;
214120;
214121;
214122;
214123;
214141;
214527;
214529;
214560;
214575;
214600;
214601;
214602;
214603;
214604;
214605;
214606;
214616;
214617;
214618;
214619;
214620;
214621;
214622;
214623;
214624;
214626;
214627;
214628;
214629;
214630;
214631;
214633;
214640;
214641;
214642;
214643;
214646;
216193;
216593;
219495;
222065;
222066;
222067;
222068;
222069;
222071;
222073;
222130;
222140;
222152;
222205;
222207;
222209;
222210;
222215;
222219;
222221;
222223;
222224;
222225;
222226;
222229;
222232;
222233;
222238;
222239;
222241;
222242;
222243;
222245;
222248;
222249;
222251;
222253;
222259;
222260;
222261;
222263;
222265;
222266;
222268;
222271;
222272;
222273;
222274;
222276;
222278;
222280;
PERCAN;
222281;
222283;
222288;
222295;
222296;
222297;
222298;
222299;
222300;
222301;
222302;
222303;
222304;
222305;
222307;
222308;
222309;
222311;
222313;
222314;
222315;
222316;
222317;
222318;
222319;
222320;
222321;
222322;
222323;
222324;
222325;
222326;
222327;
222328;
222329;
222330;
222331;
222332;
222333;
222334;
222335;
222337;
222338;
222339;
222340;
222343;
222344;
222422;
222424;
222530;
222540;
222552;
222720;
222722;
222723;
222740;
222742;
222743;
222979;
222980;
222981;
222982;
222983;
222984;
222991;
222992;
222993;
222994;
223102;
223103;
223104;
223105;
223111;
223113;
223114;
223115;
223116;
223122;
223123;
3/8 Ci;
223124;
223125;
223126;
223127;
Circle;
223128;
223129;
223130;
223131;
223132;
223133;
223134;
223135;
223136;
223137;
223138;
223139;
223146;
223147;
223148;
223149;
223165;
223166;
223173;
231803;
231804;
231807;
231809;
231811;
231812;
231813;
231814;
251001;
251002;
251003;
251004;
251005;
251006;
251007;
251720;
251721;
251722;
251723;
270104;
270120;
285111;
285112;
285116;
285117;
285121;
285122;
285126;
285127;
285132;
285137;
285142;
285180;
285200;
285260;
288233;
281103;
281113;
281380;
283345;
283346;
283409;
283419;
283429;
283458;
283459;
283469;
283478;
283479;
283489;
283709;
283719;
283729;
283869;
283889;
284504;
284649;
287305;
287315;
287345;
287375;
287432;
287433;
287505;
287535;
287775;
287865;
211607;
211608;
211610;
211611;
213042;
213044;
214009;
214013;
214111;
214112;
214131;
214132;
214133;
214134;
214135;
214136;
214137;
214138;
214139;
214142;
214143;
214144;
214145;
214146;
214147;
214148;
214151;
214153;
214154;
215504;
215505;
215506;
215507;
215508;
215509;
215510;
260002;
260003;
260009;
260010;
260011;
260012;
210127;
210133;
210333;
210815;
210816;
210817;
211311;
211313;
211315;
211320;
211321;
211322;
211330;
211331;
211332;
211340;
213013;
213015;
214015;
214152;
215203;
215205;
218034;
219001;
219002;
219003;
219004;
219005;
219006;
219007;
219008;
219009;
219011;
219012;
219013;
219015;
219017;
219018;
219224;
219321;
219322;
219328;
219377;
219465;
219466;
219467;
219496;
219497;
219498;
219500;
219621;
219622;
219623;
219624;
219625;
219626;
219627;
219628;
219629;
219630;
219631;
219632;
219633;
219634;
219635;
219636;
219637;
219974;
220225;
220230;
220235;
220240;
220245;
220250;
220255;
220426;
220428;
220430;
220432;
220434;
220436;
220438;
220440;
220442;
220444;
220446;
220448;
220450;
220452;
220454;
220456;
220458;
220460;
220462;
220464;
220466;
220468;
220470;
220472;
220474;
220476;
221014;
221017;
221020;
221114;
221117;
223749;
223750;
228000;
228001;
228140;
228141;
228142;
228143;
228144;
228145;
228150;
228151;
228152;
228160;
228161;
228162;
228302;
228310;
228311;
228312;
228320;
228321;
228322;
228420;
228421;
228422;
230320;
230325;
230330;
230420;
230425;
230430;
230520;
230525;
230530;
231700;
231705;
231710;
231715;
231720;
231725;
231730;
231735;
231740;
231800;
231805;
231810;
231815;
231816;
231817;
231818;
231819;
231820;
231821;
231822;
231823;
231824;
231825;
231826;
231827;
231828;
231829;
231830;
231831;
231832;
231835;
231840;
231845;
231850;
231855;
231860;
231865;
232009;
232011;
232014;
232016;
232017;
232018;
232019;
232021;
232022;
232023;
232024;
232025;
232034;
232037;
232108;
232109;
232110;
232111;
232112;
232205;
232210;
232215;
232220;
232240;
232245;
232250;
232255;
232260;
232300;
232400;
232401;
232402;
232403;
232404;
232405;
232406;
232407;
232408;
232409;
232410;
232411;
232412;
232413;
232414;
232415;
232416;
232417;
232418;
232419;
232420;
232421;
232422;
232423;
232424;
232425;
232447;
232448;
232449;
232453;
252107;
252108;
252109;
252110;
252111;
252112;
252113;
253110;
253111;
253112;
253113;
254417;
254514;
254601;
254602;
254603;
254609;
254622;
254624;
254625;
254628;
254629;
254652;
254653;
254654;
254660;
254680;
254681;
254682;
254683;
254684;
254685;
254728;
254729;
254800;
254801;
254802;
254803;
254806;
254807;
254808;
254809;
254814;
254815;
254816;
254817;
254818;
254819;
254820;
254821;
254822;
254823;
254824;
254825;
254826;
254827;
254828;
254829;
254831;
254832;
254833;
254834;
254836;
254839;
254841;
254842;
254845;
254846;
254847;
254848;
225201;
225202;
225203;
225211;
225213;
225252;
225301;
225302;
225303;
225304;
225305;
225312;
225314;
225370;
227202;
227203;
227211;
227213;
227252;
227301;
227302;
227305;
227312;
227355;
227504;
228146;
228147;
228203;
228300;
228305;
228370;
228504;
288222;
288223;
288224;
288225;
288226;
288227;
288228;
288229;
288230;
288231;
288238;
210166;
210167;
210168;
210170;
210171;
210199;
210203;</t>
  </si>
  <si>
    <t>001030242~00043614.194</t>
  </si>
  <si>
    <t>PA Amnd JJS v1 20211208.docx</t>
  </si>
  <si>
    <t>Hips ‐ Primary Hips ‐ STEM Basic Fracture Cemented $1,150.00 $750.00 $700.00 ;
Hips ‐ Primary Hips ‐ STEM Basic Fracture Pressfit $1,275.00 $750.00 $700.00 ;
Hips ‐ Primary Hips ‐ STEM Cemented $1,925.00 $1,400.00 $1,400.00 ;
Hips ‐ Primary Hips ‐ STEM Porous‐No Cement $2,775.00 $2,500.00 $2,400.00 ;
Hips ‐ Primary Hips ‐ STEM Porous‐No Cement Dual Fixation $2,775.00 $2,500.00 $2,400.00 ;
Hips ‐ Primary Hips ‐ STEM Porous‐No Cement Bone Preserving (AA) $2,775.00 $2,550.00 $2,500.00 ;
Hips ‐ Primary Hips ‐ STEM Porous‐No Cement High Stability (AA) $2,925.00 $2,650.00 $2,500.00 ;
Hips ‐ Primary Hips ‐ STEM MODULAR SRom $2,300.00 $1,900.00 $1,850.00 ;
Hips ‐ Primary Hips ‐ SLEEVE MODULAR SRom $625.00 $650.00 $650.00 ;
Hips ‐ Primary Hips ‐ CUP All Poly $1,000.00 $950.00 $900.00 ;
Hips ‐ Primary Hips ‐ CUP Porous $1,300.00 $1,200.00 $1,100.00 ;
Hips ‐ Primary Hips ‐ CUP DuoFix $1,300.00 $1,200.00 $1,100.00 ;
Hips ‐ Primary Hips ‐ CUP Gription $1,700.00 $1,600.00 $1,500.00 ;
Hips ‐ Primary Hips ‐ CUP BIMENTUM Pressfit $2,575.00 $1,654.00 $1,600.00 ;
Hips ‐ Primary Hips ‐ CUP BIMENTUM Pressfit Plus $2,775.00 $1,854.00 $1,700.00 ;
Hips ‐ Primary Hips ‐ LINER Self Centering $800.00 $700.00 $600.00 ;
Hips ‐ Primary Hips ‐ LINER Marathon 22.225, 28, 32, 36mm $800.00 $700.00 $600.00 ;
Hips ‐ Primary Hips ‐ LINER AltrX 28, 32, 36mm $1,000.00 $900.00 $825.00 ;
Hips ‐ Primary Hips ‐ LINER Lg AltrX 40, 44, 48mm $1,125.00 $900.00 $825.00 ;
Hips ‐ Primary Hips ‐ LINER Ceramic Ceramax $1,800.00 $1,500.00 $1,500.00 ;
Hips ‐ Primary Hips ‐ Liner BIMENTUM 22, 28mm $1,650.00 $1,046.00 $1,000.00 ;
Hips ‐ Primary Hips ‐ HEAD Unipolar $574.00 $500.00 $450.00 ;
Hips ‐ Primary Hips ‐ HEAD Metal 22.225, 28mm $700.00 $500.00 $450.00 ;
Hips ‐ Primary Hips ‐ HEAD Metal 32, 36mm $700.00 $500.00 $450.00 ;
Hips ‐ Primary Hips ‐ HEAD Lg Metal 40, 44, 48mm $1,200.00 $900.00 $725.00 ;
Hips ‐ Primary Hips ‐ HEAD Ceramic Delta (not TS) 28, 32, 36mm $1,400.00 $775.00 $575.00 ;
Hips ‐ Primary Hips ‐ HEAD Ceramic Delta TS 40, 44mm $1,400.00 $875.00 $750.00 ;
Hips ‐ Primary Hips ‐ ACC Acetab. Screw $99.00 $99.00 $85.00 ;
Hips ‐ Primary Hips ‐ BIMENTUM Acetab. Screw $175.00 $175.00 $150.00 ;
Hips ‐ Primary Hips ‐ ACC Apex Hole Eliminator $111.00 $111.00 $100.00 ;
Hips ‐ Primary Hips ‐ SPACER Unipolar $163.00 $163.00 $160.00 ;
Hips ‐ Primary Hips ‐ ACC Centralizer $70.00 $70.00 $68.00 ;
Knees ‐ Primary Knees ‐ FEMUR HP Uni $1,950.00 $1,400.00 $1,300.00 ;
Knees ‐ Primary Knees ‐ FEMUR Sigma Cemented $1,950.00 $1,400.00 $1,300.00 ;
Knees ‐ Primary Knees ‐ FEMUR LCS Cemented $2,200.00 $1,400.00 $1,300.00 ;
Knees ‐ Primary Knees ‐ FEMUR Sigma Porous $2,600.00 $2,000.00 $1,800.00 ;
Knees ‐ Primary Knees ‐ FEMUR LCS Porous $3,100.00 $2,000.00 $1,800.00 ;
Knees ‐ Primary Knees ‐ FEMUR Attune Cemented $2,200.00 $1,900.00 $1,800.00 ;
Knees ‐ Primary Knees ‐ FEMUR Attune Porous $3,000.00 $2,200.00 $2,050.00 ;
Knees ‐ Primary Knees ‐ INSERT Sigma HP Uni $1,125.00 $600.00 $550.00 ;
Knees ‐ Primary Knees ‐ INSERT Sigma FB GVF $1,025.00 $650.00 $650.00 ;
Knees ‐ Primary Knees ‐ INSERT Sigma FB Xlink $1,175.00 $950.00 $850.00 ;
Knees ‐ Primary Knees ‐ INSERT Attune FB AOX $1,350.00 $1,240.00 $1,100.00 ;
Knees ‐ Primary Knees ‐ INSERT Sigma RP GVF $1,345.00 $1,000.00 $1,000.00 ;
Knees ‐ Primary Knees ‐ INSERT LCS RP GVF $1,345.00 $1,000.00 $1,000.00 ;
Knees ‐ Primary Knees ‐ INSERT Sigma RP AOX $1,375.00 $1,290.00 $1,200.00 ;
Knees ‐ Primary Knees ‐ INSERT LCS RP AOX $1,375.00 $1,290.00 $1,200.00 ;
Knees ‐ Primary Knees ‐ INSERT Attune RP AOX $1,375.00 $1,290.00 $1,250.00 ;
Knees ‐ Primary Knees ‐ TRAY Sigma HP Uni All Poly $1,700.00 $1,600.00 $1,500.00 ;
Knees ‐ Primary Knees ‐ TRAY Sigma HP Uni Metal $1,275.00 $1,000.00 $900.00 ;
Knees ‐ Primary Knees ‐ TRAY Sigma FB All Poly $1,375.00 $1,250.00 $1,125.00 ;
Knees ‐ Primary KNEES ‐ TRAY ATTUNE FB ALL POLY $2,461.00 $2,366.00 $2,041.00 ;
Knees - Primary KNEES - TRAY ATTUNE FB POROUS $1,850 $1,800 $1,575 $1,450;
Knees ‐ Primary Knees ‐ TRAY Sigma FB Ti Cemented $1,350.00 $1,250.00 $1,125.00 ;
Knees ‐ Primary Knees ‐ TRAY Sigma FB Ti Porous $1,350.00 $1,250.00 $1,225.00 ;
Knees ‐ Primary Knees ‐ TRAY Sigma FB COCR Cemented $1,550.00 $1,500.00 $1,275.00 ;
Knees ‐ Primary Knees ‐ TRAY Attune FB Cemented $1,550.00 $1,500.00 $1,275.00 ;
Knees ‐ Primary Knees ‐ TRAY MBT Cemented $1,600.00 $1,550.00 $1,500.00 ;
Knees ‐ Primary Knees ‐ TRAY Attune RP Cemented $1,600.00 $1,550.00 $1,550.00 ;
Knees ‐ Primary Knees ‐ TRAY MBT Porous $1,600.00 $1,550.00 $1,550.00 ;
Knees ‐ Primary Knees ‐ TRAY Attune RP Porous $1,900.00 $1,850.00 $1,800.00 ;
Knees ‐ Primary Knees ‐ PATELLA Sigma All Poly $475.00 $300.00 $300.00 ;
Knees ‐ Primary Knees ‐ PATELLA LCS All Poly $475.00 $300.00 $300.00 ;
Knees ‐ Primary Knees ‐ PATELLA LCS Metal Back $550.00 $500.00 $500.00 ;
Knees ‐ Primary Knees ‐ PATELLA Attune All Poly Medial $750.00 $700.00 $600.00 ;
Knees ‐ Primary Knees ‐ PATELLA Attune All Poly Anatomic $750.00 $700.00 $600.00 ;
Knees ‐ Disposables Knees ‐ Pins ‐ Sterile AMK $115.00 $100.00 $100.00 ;
Knees ‐ Disposables Knees ‐ Pins ‐ NonSterile HP $215.00 $158.00 $150.00 ;
Knees ‐ Disposables Knees ‐ Pins ‐ Sterile HP $300.00 $249.00 $235.00 ;
Knees ‐ Disposables Knees ‐ Pins ‐ Sterile Attune $300.00 $158.00 $150.00 ;
Knees ‐ Trumatch Knees ‐ TruMatch Pin Guides Kit $650.00 $600.00 $550.00 ;
Knees ‐ Trumatch Knees ‐ TruMatch Pin Guides Femur Only $550.00 $500.00 $450.00 ;
Knees ‐ Trumatch Knees ‐ TruMatch Pin Guides Tibia Only $550.00 $500.00 $450.00 ;
Knees ‐ Trumatch Knees ‐ TruMatch 3.0 Hybrid Kit $800.00 $750.00 $700.00 ;
Knees ‐ Trumatch Knees ‐ TruMatch Cutting Block Kit $850.00 $800.00 $750.00 ;
Knees ‐ Trumatch Knees ‐ TruMatch Cutting Block Femur Only $650.00 $600.00 $550.00 ;
Knees ‐ Trumatch Knees ‐ TruMatch Cutting Block Tibia Only $650.00 $600.00 $550.00 ;
Shoulders ‐ Primary Shoulders ‐ RESURF HEAD Global CAP DuoFix $3,000.00 $2,600.00 $2,100.00 ;
Shoulders ‐ Primary Shoulders ‐ RESURF HEAD Global CAP CTA DuoFix $3,300.00 $2,860.00 $2,310.00 ;
Shoulders ‐ Primary Shoulders ‐ STEM Global FX Non‐Porocoat $2,775.00 $2,550.00 $2,125.00 ;
Shoulders ‐ Primary Shoulders ‐ STEM Global FX Porocoat $3,250.00 $3,000.00 $2,500.00 ;
Shoulders ‐ Primary Shoulders ‐ STEM Global Advantage Non‐Porocoat $2,775.00 $2,550.00 $2,125.00 ;
Shoulders ‐ Primary Shoulders ‐ STEM Global Advantage Porocoat $3,250.00 $3,000.00 $2,500.00 ;
Shoulders ‐ Primary Shoulders ‐ STEM Global AP Non‐Porocoat $2,475.00 $2,250.00 $1,825.00 ;
Shoulders ‐ Primary Shoulders ‐ STEM Global AP Porocoat $2,950.00 $2,700.00 $2,200.00 ;
Shoulders ‐ Primary Shoulders ‐ STEM Delta Xtend Monobloc $3,450.00 $3,175.00 $2,650.00 ;
Shoulders ‐ Primary Shoulders ‐ STEM Delta Xtend Modular $2,000.00 $1,825.00 $1,500.00 ;
Shoulders ‐ Primary Shoulders ‐ EPIPHYSIS Delta Xtend Modular HA $2,625.00 $2,425.00 $2,025.00 ;
Shoulders ‐ Primary Shoulders ‐ STEM Global Unite $2,650.00 $2,450.00 $2,050.00 ;
Shoulders ‐ Primary Shoulders ‐ PROX BODY Global Unite $1,080.00 $1,000.00 $825.00 ;
Shoulders ‐ Primary Shoulders ‐ EPIPHYSIS Global Unite FX $3,000.00 $2,780.00 $2,300.00 ;
Shoulders ‐ Primary Shoulders ‐ EPIPHYSIS Delta Xtend PC Alt Angle EPI $3,000.00 $2,780.00 $2,300.00 ;
Shoulders ‐ Primary Shoulders ‐ HEAD Global Advantage Standard $1,450.00 $1,350.00 $1,200.00 ;
Shoulders ‐ Primary Shoulders ‐ HEAD Global Advantage Eccentric $1,500.00 $1,425.00 $1,250.00 ;
Shoulders ‐ Primary Shoulders ‐ HEAD Global Advantage CTA $2,100.00 $1,950.00 $1,750.00 ;
Shoulders ‐ Primary Shoulders ‐ HEAD Global AP &amp; Unite Standard $1,450.00 $1,350.00 $1,200.00 ;
Shoulders ‐ Primary Shoulders ‐ HEAD Global AP &amp; Unite Eccentric $1,500.00 $1,425.00 $1,250.00 ;
Shoulders ‐ Primary Shoulders ‐ HEAD Global AP CTA $2,100.00 $1,950.00 $1,750.00 ;
Shoulders ‐ Primary Shoulders ‐ CUP Delta Xtend Standard &amp; Retentive Poly $1,050.00 $950.00 $850.00 ;
Shoulders ‐ Primary Shoulders ‐ CUP Delta Xtend High Mobility Poly $1,375.00 $1,235.00 $1,100.00 ;
Shoulders ‐ Primary Shoulders ‐ GLENOID Global Keeled Xlink $1,120.00 $1,040.00 $975.00 ;
Shoulders ‐ Primary Shoulders ‐ GLENOID Global APG Xlink $1,400.00 $1,300.00 $1,200.00 ;
Shoulders ‐ Primary Shoulders ‐ GLENOID Global StepTech APG Xlink $2,800.00 $2,600.00 $2,400.00 ;
Shoulders ‐ Primary Shoulders ‐ GLENOSPHERE Delta Xtend Standard &amp; Eccentric $1,600.00 $1,500.00 $1,400.00 ;
Shoulders ‐ Primary Shoulders ‐ TAPER Global AP 135 Degree &amp; Ball Taper $300.00 $300.00 $300.00 ;
Shoulders ‐ Primary Shoulders ‐ METAGLENE Delta Xtend $1,450.00 $1,300.00 $1,200.00 ;
Shoulders ‐ Primary Shoulders ‐ SPACER Delta Xtend $575.00 $575.00 $575.00 ;
Shoulders ‐ Primary Shoulders ‐ COLLAR Global Unite $500.00 $500.00 $500.00 ;
Shoulders ‐ Primary Shoulders ‐ SCREWS Delta Xtend Locking‐Non Locking $150.00 $150.00 $125.00 ;
SHOULDERS - Primary Shoulders - STEM GLOBAL UNITE SHORT $2,650 $2,450 $2,050 $2,000;
SHOULDERS - Primary Shoulders - STEM INHANCE SHORT STEM $3,730 $3,450 $2,875 $2,775;
SHOULDERS - Primary Shoulders - STEM INHANCE STEMLESS $4,980 $4,616 $3,899 $3,762;
SHOULDERS - Primary Shoulders - HEAD INHANCE $1,500 $1,425 $1,250 $1,200;
SHOULDERS - Primary Shoulders - GLENOID INHANCE AO &amp; SU INSERTER $2,800 $2,600 $2,400 $2,350;
SHOULDERS - Primary Shoulders - ADAPTER INHANCE $300 $300 $300 $255;
SHOULDERS - Primary Shoulders - STND CS METAGLENE DELTA XTEND $1,825 $1,675 $1,575 $1,525;
SHOULDERS - Primary Shoulders - COLLET DELTA XTEND CS METAGLENE $300 $300 $300 $255;
SHOULDERS - Primary Shoulders - SCREWS DELTA XTEND CS METAGLENE SCREWS $280 $280 $255 $255;
Shoulders ‐ TruMatch Shoulders – TruMatch Glenoid Guides $1,170.00 $1,070.00 $895.00;
LPS - KNEES 151106000 ATT REV SLV LPS FEM ADP +0 $773.25 $670.15 $567.05 $567.05;
LPS - KNEES 151106005 ATT REV SLV LPS FEM ADP +5 $773.25 $670.15 $567.05 $567.05;
LPS - KNEES 151106010 ATT REV SLV LPS FEM ADP +10 $773.25 $670.15 $567.05 $567.05;
VELYS - Single Use Instruments VELYS ROBOT SAW BLADE 451570000 1 EA $65.00;
VELYS - Single Use Instruments VELYS ROBOT ARRAY SET 451570001 1 EA $384.00;
VELYS - Single Use Instruments VELYS ARRAY FULL SET KNEE 451570203 1 EA $384.00;
VELYS - Single Use Instruments VELYS ARRAY SET KNEE 451570011 1 EA $384.00;
VELYS - Single Use Instruments VELYS ARRAY DRILL PIN 100X4 MM 451570004 1 EA $40.00;
VELYS - Single Use Instruments VELYS ARRAY DRILL PIN 125X4 MM 451570005 1 EA $40.00;
VELYS - Single Use Instruments VELYS ARRAY DRILL PIN 175X4 MM 451570006 1 EA $40.00;
VELYS - Single Use Instruments VELYS ROBOT STRL DRAPE 20 PKG 451570008 1 PK $1,710.00;
VELYS - Single Use Instruments VELYS SATEL STRL DRAPE 20 PKG 451570009 1 PK $1,110.00;
KNEES - PRIMARY KNEES - INSERT ATTUNE MS FB AOX $1,500.00 $1,390.00 $1,250.00 $1,250.00;
HIPS - PRIMARY HIPS - LINER BIMENTUM ALTRX $1,900.00 $1,300.00 $1,250.00 $1,200.00;</t>
  </si>
  <si>
    <t>001030242~00043614.197</t>
  </si>
  <si>
    <t>Amendment To Product Agreement (Depuy Synthes Spine/Trauma Orthobiologics)</t>
  </si>
  <si>
    <t>PA Fibergraft v1 JJS 20220217.docx</t>
  </si>
  <si>
    <t>DEP Fibergraft 55000170 17cc FIBERGRAFT BG Matrix EA $ 3,550.00;
(03) CHRONOS SPINE PREFORMS 710.038.99S SYNTHETIC VERTEFILL(TM) CHRONOS(TM) 15MM DIA‐STERILE EA $1,362.00 ;
(03) CHRONOS SPINE PREFORMS 710.039.99S SYNTHETIC VERTEFILL(TM) CHRONOS(TM) 17MM DIA‐STERILE EA $1,362.00 ;
(03) CHRONOS SPINE PREFORMS 710.937.99S CHRONOS(TM) SMALL CYLINDER‐CP SIZE 11‐STERILE EA $349.00 ;
(03) CHRONOS SPINE PREFORMS 710.936.99S CHRONOS(TM) SMALL CYLINDER‐CP SIZE 10‐STERILE EA $349.00 ;
(03) CHRONOS SPINE PREFORMS 710.935.99S CHRONOS(TM) SMALL CYLINDER‐CP SIZE 9‐STERILE EA $349.00 ;
(03) CHRONOS SPINE PREFORMS 710.934.99S CHRONOS(TM) SMALL CYLINDER‐CP SIZE 8‐STERILE EA $349.00 ;
(03) CHRONOS SPINE PREFORMS 710.933.99S CHRONOS(TM) SMALL CYLINDER‐CP SIZE 7‐STERILE EA $349.00 ;
(03) CHRONOS SPINE PREFORMS 710.932.99S CHRONOS(TM) SMALL CYLINDER‐CP SIZE 6‐STERILE EA $349.00 ;
(03) CHRONOS SPINE PREFORMS 710.931.99S CHRONOS(TM) SMALL CYLINDER‐CP SIZE 5‐STERILE EA $349.00 ;
(03) CHRONOS SPINE PREFORMS 710.928.99S CHRONOS(TM) SMALL CYLINDER‐L SIZE 12‐STERILE EA $349.00 ;
(03) CHRONOS SPINE PREFORMS 710.927.99S CHRONOS(TM) SMALL CYLINDER‐L SIZE 11‐STERILE EA $349.00 ;
(03) CHRONOS SPINE PREFORMS 710.926.99S CHRONOS(TM) SMALL CYLINDER‐L SIZE 10‐STERILE EA $349.00 ;
(03) CHRONOS SPINE PREFORMS 710.925.99S CHRONOS(TM) SMALL CYLINDER‐L SIZE 9‐STERILE EA $349.00 ;
(03) CHRONOS SPINE PREFORMS 710.924.99S CHRONOS(TM) SMALL CYLINDER‐L SIZE 8‐STERILE EA $349.00 ;
(03) CHRONOS SPINE PREFORMS 710.923.99S CHRONOS(TM) SMALL CYLINDER‐L SIZE 7‐STERILE EA $349.00 ;
(03) CHRONOS SPINE PREFORMS 710.922.99S CHRONOS(TM) SMALL CYLINDER‐L SIZE 6‐STERILE EA $349.00 ;
(03) CHRONOS SPINE PREFORMS 710.921.99S CHRONOS(TM) SMALL CYLINDER‐L SIZE 5‐STERILE EA $349.00 ;
(03) CHRONOS SPINE PREFORMS 710.938.99S CHRONOS(TM) SMALL CYLINDER‐CP SIZE 12‐STERILE EA $349.00 ;
(04) CHRONOS GRANULES 710.002.99S CHRONOS(TM) GRANULES‐SMALL 0.7‐1.4MM/1CC‐STERILE EA $105.00 ;
(04) CHRONOS GRANULES 710.027.99S CHRONOS(TM) GRANULES‐LARGE 2.8‐5.6MM/20CC‐STERILE EA $898.00 ;
(04) CHRONOS GRANULES 710.014.99S CHRONOS(TM) GRANULES‐MEDIUM 1.4‐2.8MM/5CC‐STERILE EA $326.00 ;
(04) CHRONOS GRANULES 710.019.99S CHRONOS(TM) GRANULES‐MEDIUM 1.4‐2.8MM/10CC‐STERILE EA $629.00 ;
(04) CHRONOS GRANULES 710.021.99S CHRONOS(TM) GRANULES‐MEDIUM 1.4‐2.8MM/20CC‐STERILE EA $898.00 ;
(04) CHRONOS GRANULES 710.025.99S CHRONOS(TM) GRANULES‐LARGE 2.8‐5.6MM/5CC‐STERILE EA $326.00 ;
(04) CHRONOS GRANULES 710.026.99S CHRONOS(TM) GRANULES‐LARGE 2.8‐5.6MM/10CC‐STERILE EA $629.00 ;
(06) BMA KIT 710.150.99S BONE MARROW ASPIRATION 11GAUGE 15CM NEEDLE W/DISTAL HOLE‐STER EA $98.00 ;
(06) BMA KIT 710.151.99S BONE MARROW ASPIRATION 11GAUGE 15CM NEEDLE W/SIDE HOLES‐STER EA $98.00 ;
(06) BMA KIT 710.111.99S BONE MARROW ASPIRATION 11GAUGE 11CM NEEDLE W/SIDE HOLES‐STER EA $98.00 ;
(08) CHRONOS STRIP 07.801.111.99S CHRONOS(TM) BETA‐TCP STRIP 100MM X 25MM X 6MM‐STERILE EA $1,642.00 ;
(08) CHRONOS STRIP 07.801.200.99S CHRONOS BETA‐TCP STRIP MX TWO STRIPS 47MMX18MMX3MM‐STER EA $714.00 ;
(08) CHRONOS STRIP 07.801.100.99S CHRONOS(TM) BETA‐TCP STRIP 50MM X 25MM X 3MM‐STERILE EA $548.00 ;
(08) CHRONOS STRIP 07.801.110.99S CHRONOS(TM) BETA‐TCP STRIP 50MM X 25MM X 6MM‐STERILE EA $962.00 ;
(08) CHRONOS STRIP 07.801.101.99S CHRONOS(TM) BETA‐TCP STRIP 100MM X 25MM X 3MM‐STERILE EA $962.00 ;
ASPIRATOR NEEDLE 276124002 ASPIRATOR NEEDLE 3 HOLE 4 " EA $203.00 ;
ASPIRATOR NEEDLE 276124001 ASPIRATOR NEEDLE 1 HOLE 4 " EA $178.00 ;
ASPIRATOR NEEDLE 276123201 ASPIRATOR KIT 3‐HOLE 6" NDLE EA $231.00 ;
ASPIRATOR NEEDLE 276123001 ASPIRATOR KIT 3‐HOLE 4" NDLE EA $231.00 ;
ASPIRATOR NEEDLE 276121001 ASPIRATOR KIT 1‐HOLE 4" NDLE EA $203.00 ;
ASPIRATOR NEEDLE 276124202 ASPIRATOR 3‐HOLE 6" NDLE EA $203.00 ;
DEP Biologics Disposable 61000100 100mm Cannula EA $200.00 ;
DEP Biologics Disposable 61000200 200mm Cannula EA $200.00;
DEP Biologics Disposable 62000200 GPS Pusher EA $250.00;
DEP Fibergraft 46000020 2cc FIBERGRAFT Morsels EA $440.00;
DEP Fibergraft 46000050 6cc FIBERGRAFT Morsels EA $1,225.00 ;
DEP Fibergraft 46000100 11cc FIBERGRAFT Morsels EA $2,075.00 ;
DEP Fibergraft 47000010 1cc FIBERGRAFT Putty EA $240.00 ;
DEP Fibergraft 47000020 2cc FIBERGRAFT Putty EA $480.00;
DEP Fibergraft 47000040 4cc FIBERGRAFT Putty EA $960.00;
DEP Fibergraft 47000060 6cc FIBERGRAFT Putty EA $1,440.00;
DEP Fibergraft 47000110 11cc FIBERGRAFT Putty EA $2,400.00 ;
DEP Fibergraft 48000040 4cc FIBERGRAFT GPS Putty EA $1,040.00 ;
DEP Fibergraft 48000060 6cc FIBERGRAFT GPS Putty EA $1,560.00 ;
DEP Fibergraft 48000110 11cc FIBERGRAFT GPS Putty EA $2,500.00;
DEP Fibergraft 55000030 3cc FIBERGRAFT BG Matrix EA $800.00;
DEP Fibergraft 55000063 6.25cc FIBERGRAFT BG Matrix EA $1,650.00;
DEP Fibergraft 55000125 12.5cc FIBERGRAFT BG Matrix EA $2,800.00 ;
DEP Fibergraft 55000200 20cc FIBERGRAFT BG Matrix EA $4,100.00;
77000020 FIBERGRAFT BG Morsels - X-Small - 2 cc EA $440.00;
77000060 FIBERGRAFT BG Morsels - Medium - 6 cc EA $1,225.00;
77000110 FIBERGRAFT BG Morsels - Large - 11 cc EA $2,075.00;
78000010 FIBERGRAFT BG Putty - XX-Small - 1 cc EA $240.00;
78000020 FIBERGRAFT BG Putty - X-Small - 2 cc EA $480.00;
78000040 FIBERGRAFT BG Putty - Small - 4 cc EA $960.00;
78000060 FIBERGRAFT BG Putty - Medium - 6 cc EA $1,440.00;
78000110 FIBERGRAFT BG Putty - Large - 11 cc EA $2,400.00;
76000040 FIBERGRAFT BG Putty GPS - Small - 4 cc EA $1,040.00;
76000060 FIBERGRAFT BG Putty GPS - Medium - 6 cc EA $1,560.00;
76000110 FIBERGRAFT BG Putty GPS - Large - 11 cc EA $2,500.00;
74000030 FIBERGRAFT BG Matrix - Small - 3 cc EA $800.00;
74000063 FIBERGRAFT BG Matrix - Medium - 6.25 cc EA $1,650.00;
74000125 FIBERGRAFT BG Matrix - Large - 12.5 cc EA $2,800.00;
74000170 FIBERGRAFT BG Matrix - X-Long - 17 cc, 20 cm EA $3,550.00;
74000200 FIBERGRAFT BG Matrix - X-Large - 20 cc EA $4,100.00;
75000100 GPS Cannula - 100 mm EA $200.00;
75000200 GPS Cannula - 200 mm EA $200.00;</t>
  </si>
  <si>
    <t>000005751~00086808.001</t>
  </si>
  <si>
    <t>MRONOLO</t>
  </si>
  <si>
    <t>138907</t>
  </si>
  <si>
    <t>RX6045</t>
  </si>
  <si>
    <t>ORC/GELATIN/POWDER, FLOWABLES/FIBRIN SEALANT/ADVANCED PATCH AND BIOSURGERY</t>
  </si>
  <si>
    <t>UCI Medical Center</t>
  </si>
  <si>
    <t>California state corporation</t>
  </si>
  <si>
    <t>Biosurgery Vizient Supp JJS v1 20221005.docx</t>
  </si>
  <si>
    <t>00005751 UCI MEDICAL CENTER</t>
  </si>
  <si>
    <t>Tier Commitment Pricing</t>
  </si>
  <si>
    <t>ORC/Gelatin/Powder; Flowables/Fibrin Sealant/Advanced Patch and Biosurgery</t>
  </si>
  <si>
    <t>ORC/Gelatin/Powder SURGICEL TM (excl. SURGICELTM Powder) 55.89%
ORC/Gelatin/Powder SURGIFOAMTM (Pad and Powder) 49.78%
Flowables SURGIFOAMTM Powder Kit (SPK) 54.71%
Flowables SURGIFLOTM 41.55%
Fibrin Sealants 41.55%
EVT5024 (Advanced Patch) $1,550.00
3013SP (SURGICELTM Powder) 49.78%
3123SPEA (SURGICELTM Powder) 49.78%</t>
  </si>
  <si>
    <t>Parent ID: "Vizient Contract Number RX6045"
Contract ID: Since relationship with 000005751~00086808.002 have been established, use Contract ID found in 000005751~00086808.002.
End Date: Should be the end date of the supplement agreement
Type of Pricing: Tier Commitment Pricing
Product Line: ORC/Gelatin/Powder, Flowables/Fibrin Sealant/Advanced Patch and Biosurgery
Product Details:
ORC/Gelatin/Powder SURGICEL TM (excl. SURGICELTM Powder) 55.89%
ORC/Gelatin/Powder SURGIFOAMTM (Pad and Powder) 49.78%
Flowables SURGIFOAMTM Powder Kit (SPK) 54.71%
Flowables SURGIFLOTM 41.55%
Fibrin Sealants 41.55%
EVT5024 (Advanced Patch) $1,550.00
3013SP (SURGICELTM Powder) 49.78%
3123SPEA (SURGICELTM Powder) 49.78%</t>
  </si>
  <si>
    <t>000005751~00086808.002</t>
  </si>
  <si>
    <t>Amendments Of GPO Supplement</t>
  </si>
  <si>
    <t>Biosurgery Viz Supp Amend v1 BTS 5.19.2025.docx</t>
  </si>
  <si>
    <t>UCI Medical Center; Chao Comprensive cancer center and ambulatory care; UCI Medical Center (Irvine)</t>
  </si>
  <si>
    <t>Contract Period: Should inherit from Version 0, see 000005751~00086808.001
Customer: Should apply new Customer information from bullet #1 of amendment.
Eligible Participants:
00005751 UCI MEDICAL CENTER
01552810 CHAO COMPRENSIVE CANCER CENTER AND AMBULATORY CARE
01270635 UCI MEDICAL CENTER</t>
  </si>
  <si>
    <t>001030242~00075019.001</t>
  </si>
  <si>
    <t>MS6992</t>
  </si>
  <si>
    <t>Letter Of Participation (Depuy Synthes Vertebral Compression Fracture)</t>
  </si>
  <si>
    <t>DEPUY SYNTHES VERTEBRAL COMPRESSION FRACTURE</t>
  </si>
  <si>
    <t>Letter of Participation - Local Market Agreement</t>
  </si>
  <si>
    <t>Vizient LOPLM VCF JJS v1 20200610.docx</t>
  </si>
  <si>
    <t>5715 Ronald Reagan Ucla Medical Center; 5737 UCSD Medical Center; 5835 University of California Davis; 6856 Santa Monica UCLA Medical; 10004 University of California San Diego; 19161 University of California Davis Medical Center; 58200 The Regents of the University of California</t>
  </si>
  <si>
    <t>(11) VERTECEM 03.702.220S VERTEBROPLASTY NEEDLE KIT 12G DIAMOND TIP EA $328.00;
(11) VERTECEM 03.702.221S VERTEBROPLASTY NEEDLE KIT 12G BEVELED TIP EA $328.00;
(11) VERTECEM 03.702.216S VERTEBROPLASTY NEEDLE KIT8G DIAMOND TIP EA $328.00;
(11) VERTECEM 03.702.218S VERTEBROPLASTY NEEDLE KIT 10G DIAMOND TIP EA $328.00;
(11) VERTECEM 03.702.219S VERTEBROPLASTY NEEDLE KIT 10G BEVELED TIP EA $328.00;
(11) VERTECEM 03.702.215S VERTECEM V+ SYRINGE KIT EA $153.00;
(11) VERTECEM 08.702.017S VERTECEM II MIXING KIT-STERILE EA $342.00;
(11) VERTECEM 03.702.223S BIOPSY NEEDLE KIT 10G EA $70.00;
(11) VERTECEM 03.702.222S BIOPSY NEEDLE KIT 8G EA $70.00;
(12) VERTEBRAL BODY BALLOON 03.804.500S VERTEBRAL BODY BALLOON/SMALL- STERILE EA $1,074.00;
(12) VERTEBRAL BODY BALLOON 03.804.501S VERTEBRAL BODY BALLOON/MEDIUM- STERILE EA $1,074.00;
(12) VERTEBRAL BODY BALLOON 03.804.502S VERTEBRAL BODY BALLOON/LARGE- STERILE EA $1,074.00;
(12) VERTEBRAL BODY BALLOON 03.804.512S VERTEBRAL AUGMENTATION ACCESS KIT EA $406.00;
(12) VERTEBRAL BODY BALLOON 03.804.613S BIOPSY KIT-STERILE EA $70.80;
(12) VERTEBRAL BODY BALLOON 03.804.413S INFLATION SYSTEM-STERILE EA $122.00;
(13) CAVITY CREATION 03.702.750S CAVITY CREATION INSTRUMENT 10MM-STERILE EA $1,188.00;
(13) CAVITY CREATION 03.702.751S CAVITY CREATION INSTRUMENT 15MM-STERILE EA $1,188.00;
(13) SYNFLATE 03.804.521S ACCESS DRILL 10G-STERILE EA $144.00;
(13) SYNFLATE 03.804.522S BIOPSY KIT 10G-STERILE EA $88.00;
(13) SYNFLATE 03.804.700S SYNFLATE BALLOON/SMALL- STERILE EA $800.00;
(13) SYNFLATE 03.804.701S SYNFLATE BALLOON/MEDIUM- STERILE EA $800.00;
(13) SYNFLATE 03.804.702S SYNFLATE BALLOON/LARGE-STERILE EA $800.00;
(13) SYNFLATE 03.804.517S ACCESS KIT 10 GAUGE-DIAMOND TIP/END-OPENING-STERILE EA $173.00;
(13) SYNFLATE 03.804.520S ACCESS KIT 10 GAUGE-BEVEL TIP SIDE-OPENING-STERILE EA $173.00;
(13) SYNFLATE 03.804.518S ACCESS KIT 10 GAUGE-BEVEL TIP END-OPENING-STERILE EA $173.00;
(13) SYNFLATE 03.804.519S ACCESS KIT 10 GAUGE-DIAMOND TIP/SIDE-OPENING-STERILE EA $173.00;
CONFIDENCE 283904611 11GX6IN SIDE-FIRE NEEDLE EA $82.00;
CONFIDENCE 283999002 LUER ADAPTOR CONF CEMENT-PK/10 PK $136.00;
CONFIDENCE 283901915 CONFIDENCE BIOPSY NDLE, 15G 9" EA $135.00;
CONFIDENCE 283902411 CONF INTRO NDLE, BEV, 11G 4" EA $100.00;
CONFIDENCE 283902413 CONF INTRO NDLE, BEV, 13G 4" EA $100.00;
CONFIDENCE 283902510 10G X 5IN BEVELED NEEDLE EA $61.00;
CONFIDENCE 283902611 CONF INTRO NDLE, BEV, 11G 6" EA $100.00;
CONFIDENCE 283902613 CONF INTRO NDLE, BEV, 13G 6" EA $100.00;
CONFIDENCE 283903411 CONF INTRO NDLE, DIA, 11G 4" EA $100.00;
CONFIDENCE 283903413 CONF INTRO NDLE, DIA, 13G 4" EA $100.00;
CONFIDENCE 283903415 CONF INTRO NDLE, DIA, 15G 4" EA $100.00;
CONFIDENCE 283903510 10G X 5IN DIAMOND NEEDLE EA $61.00;
CONFIDENCE 283903611 CONF INTRO NDLE, DIA, 11G 6" EA $100.00;
CONFIDENCE 283903613 CONF INTRO NDLE, DIA, 13G 6" EA $100.00;
CONFIDENCE 283904411 11GX4IN SIDE-FIRE NEEDLE EA $82.00;
CONFIDENCE 283904413 CONF INTRO NDLE, SIDE, 13G 4” EA $189.00;
CONFIDENCE 283904613 13GX6IN SIDE-FIRE NEEDLE EA $82.00;
CONFIDENCE 283905000 CONFIDENCE HALF DOSE KIT (5CC) EA $800.00;
CONFIDENCE 283910000 CONFIDENCE SPINAL CMT SYS, 11C EA $1,450.00;
CONFIDENCE 283999001 LUER ADAPTOR CONF NEEDLE-PK/10 PK $144.00;
CONFIDENCE 283913000 CONFIDENCE KIT, NO NEEDLES EA $960.00;
CONFIDENCE 283901913 13GX9IN BIOPSY NEEDLE EA $105.00</t>
  </si>
  <si>
    <t xml:space="preserve"> Subject to the terms and conditions of this LOP-LM, the Supplier shall offer the Products 
listed in Exhibit A-1 to the participants referenced in Table 1 at the prices stated in Exhibit A-1. Products not listed on 
Exhibit A-1 and participants not referenced in Table 1 are not eligible for price concessions under this LOP-LM. The 
component pricing is firm for the term of the LOP-LM.</t>
  </si>
  <si>
    <t>Pricing:  Subject to the terms and conditions of this LOP-LM, the Supplier shall offer the Products 
listed in Exhibit A-1 to the participants referenced in Table 1 at the prices stated in Exhibit A-1. Products not listed on 
Exhibit A-1 and participants not referenced in Table 1 are not eligible for price concessions under this LOP-LM. The 
component pricing is firm for the term of the LOP-LM.</t>
  </si>
  <si>
    <t>001030242~00075019.002</t>
  </si>
  <si>
    <t>Notice Of Letter Of Participation-Local Market End Date Extension Under The Vizient Vertebral Compression Fracture Agreement</t>
  </si>
  <si>
    <t>Amendment to the Letter of Participation - Local Market</t>
  </si>
  <si>
    <t>VBA LOPLM ext JJS v1 20211026.docx</t>
  </si>
  <si>
    <t xml:space="preserve"> End date: GPO has been extended to October 31, 2023. Contract ID: 00601291
Effective Date: Letter is dated 2021. Original contract expiration was Oct 2021. Effective Date cannot be in 2023. If not stated, let us use the date of the letter.
Contract End Date: Please see first paragraph of letter body.
Contract Type: Amendment to the LOP-LM
Other details: Inherit from Version 0, see 001030242~00075019.001</t>
  </si>
  <si>
    <t>001030242~00075019.003</t>
  </si>
  <si>
    <t>Amendments To Letter Of Participation-Local Market (Depuy Synthes Vertebral Compression Fracture)</t>
  </si>
  <si>
    <t>LOP-LM Amendment sg v1 11-7-23.docx</t>
  </si>
  <si>
    <t>Effective date of amendment  : The amendment is effective as of November 1, 
2023 Amendment Effective Date .
Contract Type: Amendment to the LOP-LM
Other details: Inherit from last version, see 001030242~00075019.002</t>
  </si>
  <si>
    <t>001030242~00075019.004</t>
  </si>
  <si>
    <t>Amendments To Letter Of Participation-Local Market (Depuy Synthes Spine)</t>
  </si>
  <si>
    <t>VCF LOPLM Amend sl v2 05-02-2025.docx</t>
  </si>
  <si>
    <t>VBA_CAVITY CREATION INSTRUMENT_DISPOSABLE 03.702.750S CAVITY CREATION INSTRUMENT 10MM-STERILE EA $1,188.00;
VBA_CAVITY CREATION INSTRUMENT_DISPOSABLE 03.702.751S CAVITY CREATION INSTRUMENT 15MM-STERILE EA $1,188.00;
VBA_VBA_DISPOSABLE 03.804.512S VERTEBRAL AUGMENTATION ACCESS KIT EA $406.00;
VBA_VERTEBRAL BODY BALLOON (VBB)_DISPOSABLE 03.804.500S VERTEBRAL BODY BALLOON/SMALL- STERILE EA $1,074.00;
VBA_VERTEBRAL BODY BALLOON (VBB)_DISPOSABLE 03.804.501S VERTEBRAL BODY BALLOON/MEDIUM- STERILE EA $1,074.00;
VBA_VERTEBRAL BODY BALLOON (VBB)_DISPOSABLE 03.804.502S VERTEBRAL BODY BALLOON/LARGE- STERILE EA $1,074.00</t>
  </si>
  <si>
    <t>Amendment Effective Date:The amendment is effective as of ____________________ 
(the “Amendment Effective Date”).
Contract ID: 00601291
Contract Type: Amendment to the LOP-LM
Other details: Inherit from last version, see 001030242~00075019.002</t>
  </si>
  <si>
    <t>001030242~00087923.001</t>
  </si>
  <si>
    <t>MS8852</t>
  </si>
  <si>
    <t>Letter Of Participation (Spinal Implant Product)</t>
  </si>
  <si>
    <t>SPINAL IMPLANT PRODUCTS</t>
  </si>
  <si>
    <t>LOPLM JJS sg v9 1-10-23.docx</t>
  </si>
  <si>
    <t>UCLA Healthcare (01305718)
00005715 RONALD REAGAN UCLA MEDICAL CENTER
00006856 SANTA MONICA UCLA MEDICAL
University of San Diego Medical Center (01030611)
00058200 THE REGENTS OF THE UNIVERSITY OF CALIFORNIA
00010004 UNIVERSTY OF CALIFORNIA SAN DIEGO
00005737 UCSD MEDICAL CENTER
01384357 UNIVERSITY OF CALIFORNIA SAN DIEGO MEDICAL CENTER
UCSF Medical Center(01018666)
00003871 MOUNT ZION HOSPITAL &amp; MEDICAL CENTER
00013930 UCSF MEDICAL CENTER
01329321 UCSF MISSION BAY
0019161 UNIVERSITY OF CALIFORNIA DAVIS MEDICAL CENTER
0005751 UCI MEDICAL CENTER 
00003893 CHILDRENS HOSPITAL AND RESEARCH CENTER AT</t>
  </si>
  <si>
    <t>Matrix 04.632.312 TI ROD-TO-ROD CONNECTOR 12MM EA $878.70 $580.00 $540.00 $500.00
Matrix 04.632.315 TI ROD-TO-ROD CONNECTOR 15MM EA $878.70 $580.00 $540.00 $500.00
Matrix 04.632.317 TI ROD-TO-ROD CONNECTOR 17MM EA $878.70 $580.00 $540.00 $500.00
MIS Disposable 275720000 GUIDE WIRE 26 EA $200.00 $195.00 $190.00 $170.00
MIS Disposable 286705230 VIPER2 1.45 DIA GUIDEWIRE, SHA EA $200.00 $195.00 $190.00 $170.00
MIS Disposable 272350250 RG WIRE GUIDE, SHARP, 1.57MM EA $200.00 $195.00 $190.00 $170.00
MIS Disposable 286705200 1.37MM GUIDEWIRE, BLUNT EA $200.00 $195.00 $190.00 $170.00
MIS Disposable 286705210 1.37MM GUIDEWIRE, SHARP EA $200.00 $195.00 $190.00 $170.00
Matrix 04.632.000 TI MATRIX LOCKING CAP EA $227.94 $190.00 $175.00 $150.00
Matrix 09.632.099 MATRIX LOCKING CAP WITHOUT SADDLE EA $227.94 $190.00 $175.00 $150.00
MIS Disposable 286705220 VIPER2 1.45 DIA GUIDEWIRE, BLU EA $200.00 $195.00 $190.00 $170.00
MIS Disposable 04.616.500 FLEXIBLE GUIDE WIRE WITH CONICAL TIP 480MM EA $200.00 $195.00 $190.00 $170.00
Expedium 188310001 COCR DD ROD 3.5-4.75 X 420 EA $1,057.34 $733.00 $650.00 $650.00
Mountaineer 188310002 COCR DD ROD 3.5-5.5 X 420 EA $1,635.60 $733.00 $387.84 $387.84
Mountaineer 188310003 COCR DD ROD 3.5-6.35 X 420 EA $1,635.60 $733.00 $650.00 $650.00
Mountaineer 188310005 COCR DD ROD 3.5-4.5 X 420 EA $1,635.60 $733.00 $650.00 $650.00
Mountaineer 188310012 COCR DD ROD 3.5-5.5 X 600 EA $1,635.60 $733.00 $387.84 $387.84
Mountaineer 188310013 COCR DD ROD 3.5-6.35 X 600 EA $1,635.60 $733.00 $650.00 $650.00
Mountaineer 188310015 COCR DD ROD 3.5-4.5 X 600 EA $1,635.60 $733.00 $650.00 $650.00
Mountaineer 188310025 COCR 3.5MM ROD 25MM EA $954.10 $333.00 $316.00 $316.00
Mountaineer 188310030 COCR 3.5MM ROD 30MM EA $954.10 $333.00 $316.00 $316.00
Mountaineer 188310035 COCR 3.5MM ROD 35MM EA $954.10 $333.00 $316.00 $316.00
Mountaineer 188310040 COCR 3.5MM ROD 40MM EA $954.10 $333.00 $316.00 $316.00
Mountaineer 188310045 COCR 3.5MM ROD 45MM EA $954.10 $333.00 $316.00 $316.00
Mountaineer 188310050 COCR 3.5MM ROD 50MM EA $954.10 $333.00 $316.00 $316.00
Mountaineer 188310055 COCR 3.5MM ROD 55MM EA $954.10 $333.00 $316.00 $316.00
Mountaineer 188310060 COCR 3.5MM ROD 60MM EA $954.10 $333.00 $316.00 $316.00
Mountaineer 188310065 COCR 3.5MM ROD 65MM EA $954.10 $333.00 $316.00 $316.00
Mountaineer 188310070 COCR 3.5MM ROD 70MM EA $954.10 $333.00 $316.00 $316.00
Mountaineer 188310075 COCR 3.5MM ROD 75MM EA $954.10 $333.00 $316.00 $316.00
Mountaineer 188310080 COCR 3.5MM ROD 80MM EA $954.10 $333.00 $316.00 $316.00
Mountaineer 188310085 COCR 3.5MM ROD 85MM EA $954.10 $333.00 $316.00 $316.00
Mountaineer 188310090 COCR 3.5MM ROD 90MM EA $954.10 $333.00 $316.00 $316.00
Mountaineer 188310095 COCR 3.5MM ROD 95MM EA $954.10 $333.00 $316.00 $316.00
Mountaineer 188310100 COCR 3.5MM ROD 100MM EA $954.10 $333.00 $316.00 $316.00
Mountaineer 188310120 COCR 3.5 ROD -120MM EA $1,172.18 $333.00 $316.00 $316.00
Mountaineer 188310200 COCR 3.5 ROD - 200MM EA $1,172.18 $384.00 $368.00 $368.00
Mountaineer 188310300 COCR 3.5 X 300MM ROD EA $1,172.18 $384.00 $368.00 $368.00
Mountaineer 188310400 COCR 3.5MM ROD 400MM EA $1,172.18 $384.00 $368.00 $368.00
Mountaineer 188311001 DUAL DIA ROD 3.5-4.75 X 420 EA $1,090.40 $463.00 $450.00 $450.00
Mountaineer 188311002 DUAL DIAMETER ROD 3.5-5.5 EA $1,090.40 $463.00 $450.00 $450.00
Mountaineer 188311003 DUAL DIA ROD 3.5-6.35 X 420 EA $1,090.40 $463.00 $450.00 $450.00
Mountaineer 188311005 DUAL DIAMTR ROD 3.5-4.5 X 420 EA $1,090.40 $463.00 $450.00 $450.00
Mountaineer 188311012 DUAL DIAMETER ROD 3.5X5.5, 600 EA $1,090.40 $463.00 $450.00 $450.00
Mountaineer 188311013 DUAL DIAMETER ROD 3.5X6.35, 60 EA $1,090.40 $463.00 $450.00 $450.00
Mountaineer 188311015 DUAL DIAMTR ROD 3.5-4.5 X 600 EA $1,090.40 $463.00 $450.00 $450.00
Custom Cervical Rod 188311022 DUAL DIA ROD 3.5-5.5x900 Ti EA $1,090.40 $463.00 $450.00 $450.00
Mountaineer 188311100 AXIAL CONNECTOR 3.5X3.5 EA $1,133.90 $535.00 $528.21 $528.21
Mountaineer 188311104 AXIAL CONNECTOR ASSY 3.5-4.5 EA $1,133.90 $534.00 $508.00 $508.00
Mountaineer 188312000 SHERPA M5SET SCREW EA $237.80 $54.00 $54.00 $54.00
Mountaineer 188312001 LATERAL OFFSET CONNECTOR ASSY EA $1,133.90 $413.00 $406.56 $406.56
Mountaineer 188312002 MNTR CABLE CONNECTOR ASS'Y EA $835.20 $386.00 $364.94 $364.94
Mountaineer 188312003 J HOOK CONNECTOR ASSY EA $768.50 $360.00 $326.53 $326.53
Mountaineer 188312020 MNTR 20MM OFFSET CONN EA $1,133.90 $452.00 $406.56 $406.56
Mountaineer 188312220 ANGLED LOC 20MM EA $1,133.90 $542.00 $448.18 $448.18
Mountaineer 188312221 LATERAL OFFSET CONNECTOR,20MM EA $1,133.90 $542.00 $386.00 $386.00
Mountaineer 188316025 3.5MM ROD 25MM EA $545.20 $264.00 $224.09 $224.09
Mountaineer 188316030 3.5MM ROD 30MM EA $545.20 $264.00 $224.09 $224.09
Mountaineer 188316035 3.5MM ROD 35MM EA $545.20 $264.00 $224.09 $224.09
Mountaineer 188316040 3.5MM ROD 40MM EA $545.20 $264.00 $224.09 $224.09
Mountaineer 188316045 3.5MM ROD 45MM EA $545.20 $264.00 $224.09 $224.09
Mountaineer 188316050 3.5MM ROD 50MM EA $545.20 $264.00 $224.09 $224.09
Mountaineer 188316055 3.5MM ROD 55MM EA $545.20 $264.00 $224.09 $224.09
Mountaineer 188316060 3.5 ROD 60MM EA $545.20 $264.00 $224.09 $224.09
Mountaineer 188316065 3.5MM ROD 65MM EA $545.20 $264.00 $224.09 $224.09
Mountaineer 188316070 3.5MM ROD 70MM EA $545.20 $264.00 $224.09 $224.09
Mountaineer 188316075 3.5MM ROD 75MM EA $545.20 $264.00 $224.09 $224.09
Mountaineer 188316080 3.5MM ROD 80MM EA $545.20 $264.00 $224.09 $224.09
Mountaineer 188316085 3.5MM ROD 85MM EA $545.20 $264.00 $224.09 $224.09
Mountaineer 188316090 3.5MM ROD 90MM EA $545.20 $264.00 $224.09 $224.09
Mountaineer 188316095 3.5MM ROD 95MM EA $545.20 $264.00 $224.09 $224.09
Mountaineer 188316100 3.5MM ROD 100MM EA $545.20 $264.00 $224.09 $224.09
Mountaineer 188316120 3.5 ROD -120MM EA $599.72 $384.00 $365.00 $365.00
Mountaineer 188316200 3.5 ROD - 200MM EA $599.72 $384.00 $365.00 $365.00
Mountaineer 188316260 3.5MM ROD 260MM EA $599.72 $384.00 $365.00 $365.00
Mountaineer 188316300 3.5 X 300MM ROD EA $599.72 $384.00 $365.00 $365.00
Mountaineer 188316340 3.5MM ROD 340MM EA $599.72 $384.00 $365.00 $365.00
Mountaineer 188316400 3.5MM ROD 400MM EA $599.72 $384.00 $365.00 $365.00
Mountaineer 188318308 MNTR F/A SCREW 3.5DIA X 8MM EA $1,751.00 $816.00 $771.50 $771.50
Mountaineer 188318310 MNTR F/A SCREW 3.5DIA X 10 EA $1,751.00 $816.00 $771.50 $771.50
Mountaineer 188318312 MNTR F/A SCREW 3.5X12 EA $1,751.00 $816.00 $771.50 $771.50
Mountaineer 188318314 MNTR F/A SCREW 3.5X14 EA $1,751.00 $816.00 $771.50 $771.50
Mountaineer 188318316 MNTR F/A SCREW 3.5X16 EA $1,751.00 $816.00 $771.50 $771.50
Mountaineer 188318318 MNTR F/A SCREW 3.5X18 EA $1,751.00 $816.00 $771.50 $771.50
Mountaineer 188318320 MNTR F/A SCREW 3.5X20 EA $1,751.00 $816.00 $771.50 $771.50
Mountaineer 188318322 MNTR F/A SCREW 3.5X22 EA $1,751.00 $816.00 $771.50 $771.50
Mountaineer 188318324 MNTR F/A SCREW 3.5X24 EA $1,751.00 $816.00 $771.50 $771.50
Mountaineer 188318326 MNTR F/A SCREW 3.5X26 EA $1,751.00 $816.00 $771.50 $771.50
Mountaineer 188318328 MNTR F/A SCREW 3.5DIA X 28MM EA $1,751.00 $816.00 $771.50 $771.50
Mountaineer 188318330 MNTR F/A SCREW 3.5DIA X 30MM EA $1,751.00 $816.00 $771.50 $771.50
Mountaineer 188318332 MNTR F/A SCREW 3.5DIA X 32MM EA $1,751.00 $816.00 $771.50 $771.50
Mountaineer 188318334 MNTR F/A SCREW 3.5DIA X 34MM EA $1,751.00 $816.00 $771.50 $771.50
Mountaineer 188318336 MNTR F/A SCREW 3.5DIA X 36MM EA $1,751.00 $816.00 $771.50 $771.50
Mountaineer 188318338 MNTR F/A SCREW 3.5DIA X 38MM EA $1,751.00 $816.00 $771.50 $771.50
Mountaineer 188318340 MNTR F/A SCREW 3.5DIA X 40MM EA $1,751.00 $816.00 $771.50 $771.50
Mountaineer 188318342 MNTR F/A SCREW 3.5DIA X 42MM EA $1,751.00 $816.00 $771.50 $771.50
Mountaineer 188318344 MNTR F/A SCREW 3.5DIA X 44MM EA $1,751.00 $816.00 $771.50 $771.50
Mountaineer 188318346 MNTR F/A SCREW 3.5DIA X 46MM EA $1,751.00 $816.00 $771.50 $771.50
Mountaineer 188318348 MNTR F/A SCREW 3.5DIA X 48MM EA $1,751.00 $816.00 $771.50 $771.50
Mountaineer 188318350 MNTR F/A SCREW 3.5X50 EA $1,751.00 $816.00 $771.50 $771.50
Mountaineer 188318408 MNTR F/A SCREW 4.0DIA X 8MM EA $1,751.00 $816.00 $771.50 $771.50
Mountaineer 188318410 SHERPA FA 4.0X10 EA $1,751.00 $816.00 $771.50 $771.50
Mountaineer 188318412 MNTR F/A SCREW 4.0 DIA X 12 EA $1,751.00 $816.00 $781.11 $781.11
Mountaineer 188318414 MNTR F/A SCREW 4.0 DIA X 14 EA $1,751.00 $816.00 $781.11 $781.11
Mountaineer 188318416 MNTR F/A SCREW 4.0 DIA X 16 EA $1,751.00 $816.00 $781.11 $781.11
Mountaineer 188318418 MNTR F/A SCREW 4.0 DIA X 18 EA $1,751.00 $816.00 $781.11 $781.11
Mountaineer 188318420 MNTR F/A SCREW 4.0 DIA X 20 EA $1,751.00 $816.00 $781.11 $781.11
Mountaineer 188318422 MNTR F/A SCREW 4.0 DIA X 22 EA $1,751.00 $816.00 $781.11 $781.11
Mountaineer 188318424 MNTR F/A SCREW 4.0 DIA X 24 EA $1,751.00 $816.00 $781.11 $781.11
Mountaineer 188318426 MNTR F/A SCREW 4.0 DIA X 26 EA $1,751.00 $816.00 $781.11 $781.11
Mountaineer 188318428 MNTR F/A SCREW 4.0 DIA X 28 EA $1,751.00 $816.00 $781.11 $781.11
Mountaineer 188318430 MNTR F/A SCREW 4.0 DIA X 30 EA $1,751.00 $816.00 $781.11 $781.11
Mountaineer 188318432 MNTR F/A SCREW 4.0 DIA X 32 EA $1,751.00 $816.00 $781.11 $781.11
Mountaineer 188318434 MNTR F/A SCREW 4.0 DIA X 34 EA $1,751.00 $816.00 $781.11 $781.11
Mountaineer 188318436 MNTR F/A SCREW 4.0 DIA X 36 EA $1,751.00 $816.00 $781.11 $781.11
Mountaineer 188318438 MNTR F/A SCREW 4.0 DIA X 38 EA $1,751.00 $816.00 $781.11 $781.11
Mountaineer 188318440 MNTR F/A SCREW 4.0 DIA X 40 EA $1,751.00 $816.00 $781.11 $781.11
Mountaineer 188318442 MNTR F/A SCREW 4.0 DIA X 42 EA $1,751.00 $816.00 $781.11 $781.11
Mountaineer 188318444 MNTR F/A SCREW 4.0 DIA X 44 EA $1,751.00 $816.00 $781.11 $781.11
Mountaineer 188318446 MNTR F/A SCREW 4.0 DIA X 46 EA $1,751.00 $816.00 $781.11 $781.11
Mountaineer 188318450 MNTR F/A SCREW 4.0 DIA X 50 EA $1,751.00 $816.00 $781.11 $781.11
Mountaineer 188318525 MNTR F/A SCREW 4.35 DIA X 25 EA $1,751.00 $816.00 $781.11 $781.11
Mountaineer 188318530 MNTR F/A SCREW 4.35 DIA X 30 EA $1,751.00 $816.00 $781.11 $781.11
Mountaineer 188318535 MNTR F/A SCREW 4.35 DIA X 35 EA $1,751.00 $816.00 $781.11 $781.11
Mountaineer 188319308 MNTR M/L SCREW 3.5 DIA X 8 EA $1,751.00 $825.00 $781.11 $781.11
Mountaineer 188319310 MNTR M/L SCREW 3.5 DIA X 10 EA $1,751.00 $825.00 $771.50 $771.50
Mountaineer 188319312 MNTR M/L SCREW 3.5 DIA X 12 EA $1,751.00 $825.00 $771.50 $771.50
Mountaineer 188319314 MNTR M/L SCREW 3.5X14 EA $1,751.00 $825.00 $771.50 $771.50
Mountaineer 188319316 MNTR M/L SCREW 3.5X16 EA $1,751.00 $825.00 $771.50 $771.50
Mountaineer 188319318 MNTR M/L SCREW 3.5 DIA X 18 EA $1,751.00 $825.00 $771.50 $771.50
Mountaineer 188319320 MNTR M/L SCREW 3.5 DIA X 20 EA $1,751.00 $825.00 $771.50 $771.50
Mountaineer 188319322 MNTR M/L SCREW 3.5 DIA X 22 EA $1,751.00 $825.00 $771.50 $771.50
Mountaineer 188319324 MNTR M/L SCREW 3.5X24 EA $1,751.00 $825.00 $771.50 $771.50
Mountaineer 188319326 MNTR M/L SCREW 3.5 DIA X 26 EA $1,751.00 $825.00 $771.50 $771.50
Mountaineer 188319328 MNTR M/L SCREW 3.5 DIA X 28 EA $1,751.00 $825.00 $771.50 $771.50
Mountaineer 188319330 MNTR M/L SCREW 3.5 DIA X 30 EA $1,751.00 $825.00 $771.50 $771.50
Mountaineer 188319332 MNTR M/L SCREW 3.5 DIA X 32 EA $1,751.00 $825.00 $771.50 $771.50
Mountaineer 188319334 MNTR M/L SCREW 3.5 DIA X 34 EA $1,751.00 $825.00 $771.50 $771.50
Mountaineer 188319336 MNTR M/L SCREW 3.5 DIA X 36 EA $1,751.00 $825.00 $771.50 $771.50
Mountaineer 188319338 MNTR M/L SCREW 3.5 DIA X 38 EA $1,751.00 $825.00 $771.50 $771.50
Mountaineer 188319340 MNTR M/L SCREW 3.5 DIA X 40 EA $1,751.00 $825.00 $771.50 $771.50
Mountaineer 188319342 MNTR M/L SCREW 3.5 DIA X 42 EA $1,751.00 $825.00 $771.50 $771.50
Mountaineer 188319344 MNTR M/L SCREW 3.5 DIA X 44 EA $1,751.00 $825.00 $771.50 $771.50
Mountaineer 188319346 MNTR M/L SCREW 3.5 DIA X 46 EA $1,751.00 $825.00 $771.50 $771.50
Mountaineer 188319348 MNTR M/L SCREW 3.5 DIA X 48 EA $1,751.00 $825.00 $771.50 $771.50
Mountaineer 188319350 MNTR M/L SCREW 3.5 DIA X 50 EA $1,751.00 $825.00 $771.50 $771.50
Mountaineer 188319408 MNTR M/L SCREW 4.0 DIA X 8 EA $1,751.00 $825.00 $771.50 $771.50
Mountaineer 188319410 MNTR M/L SCREW 4.0 DIA X 10 EA $1,751.00 $825.00 $771.50 $771.50
Mountaineer 188319412 MNTR M/L SCREW 4.0 DIA X 12 EA $1,751.00 $825.00 $781.11 $781.11
Mountaineer 188319414 MNTR M/L SCREW 4.0 DIA X 14 EA $1,751.00 $825.00 $781.11 $781.11
Mountaineer 188319416 MNTR M/L SCREW 4.0 DIA X 16 EA $1,751.00 $825.00 $781.11 $781.11
Mountaineer 188319418 MNTR M/L SCREW 4.0 DIA X 18 EA $1,751.00 $825.00 $781.11 $781.11
Mountaineer 188319420 MNTR M/L SCREW 4.0 DIA X 20 EA $1,751.00 $825.00 $781.11 $781.11
Mountaineer 188319422 MNTR M/L SCREW 4.0 DIA X 22 EA $1,751.00 $825.00 $781.11 $781.11
Mountaineer 188319424 MNTR M/L SCREW 4.0 DIA X 24 EA $1,751.00 $825.00 $781.11 $781.11
Mountaineer 188319426 MNTR M/L SCREW 4.0 DIA X 26 EA $1,751.00 $825.00 $781.11 $781.11
Mountaineer 188319428 MNTR M/L SCREW 4.0 DIA X 28 EA $1,751.00 $825.00 $781.11 $781.11
Mountaineer 188319430 MNTR M/L SCREW 4.0 DIA X 30 EA $1,751.00 $825.00 $781.11 $781.11
Mountaineer 188319432 MNTR M/L SCREW 4.0 DIA X 32 EA $1,751.00 $825.00 $781.11 $781.11
Mountaineer 188319434 MNTR M/L SCREW 4.0 DIA X 34 EA $1,751.00 $825.00 $781.11 $781.11
Mountaineer 188319436 MNTR M/L SCREW 4.0 DIA X 36 EA $1,751.00 $825.00 $781.11 $781.11
Mountaineer 188319438 MNTR M/L SCREW 4.0 DIA X 38 EA $1,751.00 $825.00 $781.11 $781.11
Mountaineer 188319440 MNTR M/L SCREW 4.0 DIA X 40 EA $1,751.00 $825.00 $781.11 $781.11
Mountaineer 188319442 MNTR M/L SCREW 4.0 DIA X 42 EA $1,751.00 $825.00 $781.11 $781.11
Mountaineer 188319444 MNTR M/L SCREW 4.0 DIA X 44 EA $1,751.00 $825.00 $781.11 $781.11
Mountaineer 188319446 MNTR M/L SCREW 4.0 DIA X 46 EA $1,751.00 $825.00 $781.11 $781.11
Mountaineer 188319448 MNTR M/L SCREW 4.0 DIA X 48 EA $1,751.00 $825.00 $781.11 $781.11
Mountaineer 188319450 MNTR M/L SCREW 4.0 DIA X 50 EA $1,751.00 $825.00 $781.11 $781.11
Mountaineer 188319520 MNTR M/L SCREW 4.35X20 EA $1,751.00 $825.00 $781.11 $781.11
Mountaineer 188319525 MNTR M/L SCREW 4.35 DIA X 25 EA $1,751.00 $825.00 $781.11 $781.11
Mountaineer 188319530 MNTR M/L SCREW 4.35X30 EA $1,751.00 $825.00 $781.11 $781.11
Mountaineer 188319535 MNTR M/L SCREW 4.35X35 EA $1,751.00 $825.00 $781.11 $781.11
Mountaineer 188319540 MNTR M/L SCREW 4.35X40 EA $1,751.00 $825.00 $781.11 $781.11
Mountaineer 188319545 MNTR M/L SCREW 4.35 DIA X 45 EA $1,751.00 $825.00 $781.11 $781.11
Mountaineer 188319550 MNTR M/L SCREW 4.35X50 EA $1,751.00 $825.00 $781.11 $781.11
Mountaineer 188320320 MNTR LS SCREW 3.5X20 EA $1,751.00 $825.00 $781.11 $781.11
Mountaineer 188320322 MNTR LS SCREW 3.5X22 EA $1,751.00 $825.00 $781.11 $781.11
Mountaineer 188320324 MNTR LS SCREW 3.5 DIA X 24 LNG EA $1,751.00 $825.00 $781.11 $781.11
Mountaineer 188320326 MNTR LS SCREW 3.5X26 EA $1,751.00 $825.00 $781.11 $781.11
Mountaineer 188320328 MNTR LS SCREW 3.5X28 EA $1,751.00 $825.00 $781.11 $781.11
Mountaineer 188320330 MNTR LS SCREW 3.5X30 EA $1,751.00 $825.00 $781.11 $781.11
Mountaineer 188320332 MNTR LS SCREW 3.5X32 EA $1,751.00 $825.00 $781.11 $781.11
Mountaineer 188320334 MNTR LS SCREW 3.5X34 EA $1,751.00 $825.00 $781.11 $781.11
Mountaineer 188320336 MNTR LS SCREW 3.5X36 EA $1,751.00 $825.00 $781.11 $781.11
Mountaineer 188320338 MNTR LS SCREW 3.5X38 EA $1,751.00 $825.00 $781.11 $781.11
Mountaineer 188320340 MNTR LS SCREW 3.5X40 EA $1,751.00 $825.00 $781.11 $781.11
Mountaineer 188320342 MNTR LS SCREW 3.5 DIA X 42 LNG EA $1,751.00 $825.00 $781.11 $781.11
Mountaineer 188320344 MNTR LS SCREW 3.5 DIA X 44 LNG EA $1,751.00 $825.00 $781.11 $781.11
Mountaineer 188320346 MNTR LS SCREW 3.5 DIA X 46 LNG EA $1,751.00 $825.00 $781.11 $781.11
Mountaineer 188320348 MNTR LS SCREW 3.5 DIA X 48 LNG EA $1,751.00 $825.00 $781.11 $781.11
Mountaineer 188320350 MNTR LS SCREW 3.5 DIA X 50 LNG EA $1,751.00 $825.00 $781.11 $781.11
Mountaineer 188320426 MNTR LS SCREW 4.0 DIA X 26 LNG EA $1,751.00 $825.00 $781.11 $781.11
Mountaineer 188320428 MNTR LS SCREW 4.0 DIA X 28 LNG EA $1,751.00 $825.00 $781.11 $781.11
Mountaineer 188320430 MNTR LS SCREW 4.0 DIA X 30 LNG EA $1,751.00 $825.00 $781.11 $781.11
Mountaineer 188320432 MNTR LS SCREW 4.0 DIA X 32 LNG EA $1,751.00 $825.00 $781.11 $781.11
Mountaineer 188320434 MNTR LS SCREW 4.0 DIA X 34 LNG EA $1,751.00 $825.00 $781.11 $781.11
Mountaineer 188320436 MNTR LS SCREW 4.0 DIA X 36 LNG EA $1,751.00 $825.00 $781.11 $781.11
Mountaineer 188320438 MNTR LS SCREW 4.0 DIA X 38 LNG EA $1,751.00 $825.00 $781.11 $781.11
Mountaineer 188320440 MNTR LS SCREW 4.0 DIA X 40 LNG EA $1,751.00 $825.00 $781.11 $781.11
Mountaineer 188320444 MNTR LS SCREW 4.0 DIA X 44 LNG EA $1,751.00 $825.00 $781.11 $781.11
Mountaineer 188328310 MNTR F/A SCREW 3.0 X 10MM EA $1,751.00 $816.00 $733.00 $733.00
Mountaineer 188328312 MNTR F/A SCREW 3.0 X 12MM EA $1,751.00 $816.00 $733.00 $733.00
Mountaineer 188328314 MNTR F/A SCREW 3.0 X 14MM EA $1,751.00 $816.00 $733.00 $733.00
Mountaineer 188328316 MNTR F/A SCREW 3.0 X 16MM EA $1,751.00 $816.00 $733.00 $733.00
Mountaineer 188328318 MNTR F/A SCREW 3.0 X 18MM EA $1,751.00 $816.00 $733.00 $733.00
Mountaineer 188328320 MNTR F/A SCREW 3.0 X 20MM EA $1,751.00 $816.00 $733.00 $733.00
Mountaineer 188341021 MNTR H/H X-CONN 21MM PLATE EA $1,133.90 $810.00 $611.44 $611.44
Mountaineer 188341028 MNTR H/H X-CONN 28MM PLATE EA $1,133.90 $810.00 $611.44 $611.44
Mountaineer 188341035 MNTR H/H X-CONN 35MM PLATE EA $1,133.90 $810.00 $611.44 $611.44
Mountaineer 188341042 MNTR H/H X-CONN 42MM PLATE EA $1,133.90 $810.00 $611.44 $611.44
Mountaineer 188341049 MNTR H/H X-CONN 49MM PLATE EA $1,133.90 $810.00 $611.44 $611.44
Mountaineer 188341056 MNTR H/H X-CONN 56MM PLATE EA $1,133.90 $810.00 $611.44 $611.44
Mountaineer 188341100 MNTR H/H X-CONN OUTER NUT EA $150.80 $123.00 $86.43 $86.43
Mountaineer 188341200 MNTR H/H X-CONN INNER SCREW EA $237.80 $123.00 $86.43 $86.43
Mountaineer 188341300 H2H CROSS CONNECTOR HOOK EA $835.20 $524.00 $497.00 $497.00
Mountaineer 188343000 MNTR SMALL HOOK EA $768.50 $519.00 $339.33 $339.33
Mountaineer 188343001 MNTR SMALL HOOK, ML EA $768.50 $519.00 $339.33 $339.33
Mountaineer 188343002 MNTR LARGE HOOK EA $768.50 $519.00 $339.33 $339.33
Mountaineer 188343003 MNTR LARGE HOOK, ML EA $768.50 $519.00 $339.33 $339.33
ACIS Sterile 208843357 ACIS PROTI 20 DG HL X 9mm H EA $1,879.20 $1,522.73 $950.00 $950.00
ACIS Sterile 208843358 ACIS PROTI 20 DG HL X 10mm H EA $1,879.20 $1,522.73 $950.00 $950.00
ACIS Sterile 208843359 ACIS PROTI 20 DG HL X 11mm H EA $1,879.20 $1,522.73 $950.00 $950.00
ACIS Sterile 208843360 ACIS PROTI 20 DG HL X 12mm H EA $1,879.20 $1,522.73 $950.00 $950.00
Cervical Disposable 288302030 3.0 TAP EA $432.00 $307.00 $292.00 $292.00
Cervical Disposable 288302035 3.5 TAP EA $432.00 $307.00 $292.00 $292.00
Cervical Disposable 288302043 4.35 TAP EA $432.00 $307.00 $292.00 $292.00
Cervical Disposable 301019036 2.2MM Navigated Drill EA $1,445.00 $892.50 $803.25 $803.25
Cervical Disposable 301019038 2.8MM Navigated Drill EA $1,445.00 $892.50 $803.25 $803.25
Cervical Disposable 301019039 3.2MM Navigated Drill EA $1,445.00 $892.50 $803.25 $803.25
Synfix Evolution 08.815.101S SynFix Evolution Spacer, small, 10.5 mm height, 6° EA $9,000.00 $6,056.00 $5,577.00 $5,577.00
Synfix Evolution 08.815.102S SynFix Evolution Spacer, small, 12 mm height, 6° EA $9,000.00 $6,056.00 $5,577.00 $5,577.00
Synfix Evolution 08.815.103S SynFix Evolution Spacer, small, 13.5 mm height, 6° EA $9,000.00 $6,056.00 $5,577.00 $5,577.00
Synfix Evolution 08.815.104S SynFix Evolution Spacer, small, 15 mm height, 6° EA $9,000.00 $6,056.00 $5,577.00 $5,577.00
Synfix Evolution 08.815.105S SynFix Evolution Spacer, small, 17 mm height, 6° EA $9,000.00 $6,056.00 $5,577.00 $5,577.00
Synfix Evolution 08.815.106S SynFix Evolution Spacer, small, 19 mm height, 6° EA $9,000.00 $6,056.00 $5,577.00 $5,577.00
Synfix Evolution 08.815.111S SynFix Evolution Spacer, small, 10.5 mm height, 10° EA $9,000.00 $6,056.00 $5,577.00 $5,577.00
Synfix Evolution 08.815.112S SynFix Evolution Spacer, small, 12 mm height, 10° EA $9,000.00 $6,056.00 $5,577.00 $5,577.00
Synfix Evolution 08.815.113S SynFix Evolution Spacer, small, 13.5 mm height, 10° EA $9,000.00 $6,056.00 $5,577.00 $5,577.00
Synfix Evolution 08.815.114S SynFix Evolution Spacer, small, 15 mm height, 10° EA $9,000.00 $6,056.00 $5,577.00 $5,577.00
Synfix Evolution 08.815.115S SynFix Evolution Spacer, small, 17 mm height, 10° EA $9,000.00 $6,056.00 $5,577.00 $5,577.00
Synfix Evolution 08.815.116S SynFix Evolution Spacer, small, 19 mm height, 10° EA $9,000.00 $6,056.00 $5,577.00 $5,577.00
Synfix Evolution 08.815.122S SynFix Evolution Spacer, small, 12 mm height, 14° EA $9,000.00 $6,056.00 $5,577.00 $5,577.00
Synfix Evolution 08.815.123S SynFix Evolution Spacer, small, 13.5 mm height, 14° EA $9,000.00 $6,056.00 $5,577.00 $5,577.00
Synfix Evolution 08.815.124S SynFix Evolution Spacer, small, 15 mm height, 14° EA $9,000.00 $6,056.00 $5,577.00 $5,577.00
Synfix Evolution 08.815.125S SynFix Evolution Spacer, small, 17 mm height, 14° EA $9,000.00 $6,056.00 $5,577.00 $5,577.00
Synfix Evolution 08.815.126S SynFix Evolution Spacer, small, 19 mm height, 14° EA $9,000.00 $6,056.00 $5,577.00 $5,577.00
Synfix Evolution 08.815.131S SynFix Evolution Spacer, small, deep, 10.5 mm height, 6° EA $9,000.00 $6,056.00 $5,577.00 $5,577.00
Synfix Evolution 08.815.132S SynFix Evolution Spacer, small, deep, 12 mm height, 6° EA $9,000.00 $6,056.00 $5,577.00 $5,577.00
Synfix Evolution 08.815.133S SynFix Evolution Spacer, small, deep, 13.5 mm height, 6° EA $9,000.00 $6,056.00 $5,577.00 $5,577.00
Synfix Evolution 08.815.134S SynFix Evolution Spacer, small, deep, 15 mm height, 6° EA $9,000.00 $6,056.00 $5,577.00 $5,577.00
Synfix Evolution 08.815.135S SynFix Evolution Spacer, small, deep, 17 mm height, 6° EA $9,000.00 $6,056.00 $5,577.00 $5,577.00
Synfix Evolution 08.815.136S SynFix Evolution Spacer, small, deep, 19 mm height, 6° EA $9,000.00 $6,056.00 $5,577.00 $5,577.00
Synfix Evolution 08.815.141S SynFix Evolution Spacer, small, deep, 10.5 mm height, 10° EA $9,000.00 $6,056.00 $5,577.00 $5,577.00
Synfix Evolution 08.815.142S SynFix Evolution Spacer, small, deep, 12 mm height, 10° EA $9,000.00 $6,056.00 $5,577.00 $5,577.00
Synfix Evolution 08.815.143S SynFix Evolution Spacer, small, deep, 13.5 mm height, 10° EA $9,000.00 $6,056.00 $5,577.00 $5,577.00
Synfix Evolution 08.815.144S SynFix Evolution Spacer, small, deep, 15 mm height, 10° EA $9,000.00 $6,056.00 $5,577.00 $5,577.00
Synfix Evolution 08.815.145S SynFix Evolution Spacer, small, deep, 17 mm height, 10° EA $9,000.00 $6,056.00 $5,577.00 $5,577.00
Synfix Evolution 08.815.146S SynFix Evolution Spacer, small, deep, 19 mm height, 10° EA $9,000.00 $6,056.00 $5,577.00 $5,577.00
Synfix Evolution 08.815.152S SynFix Evolution Spacer, small, deep, 12 mm height, 14° EA $9,000.00 $6,056.00 $5,577.00 $5,577.00
Synfix Evolution 08.815.153S SynFix Evolution Spacer, small, deep, 13.5 mm height, 14° EA $9,000.00 $6,056.00 $5,577.00 $5,577.00
Synfix Evolution 08.815.154S SynFix Evolution Spacer, small, deep, 15 mm height, 14° EA $9,000.00 $6,056.00 $5,577.00 $5,577.00
Synfix Evolution 08.815.155S SynFix Evolution Spacer, small, deep, 17 mm height, 14° EA $9,000.00 $6,056.00 $5,577.00 $5,577.00
Synfix Evolution 08.815.156S SynFix Evolution Spacer, small, deep, 19 mm height, 14° EA $9,000.00 $6,056.00 $5,577.00 $5,577.00
Synfix Evolution 08.815.163S SynFix Evolution Spacer, small, 13.5 mm height, 18° EA $9,000.00 $6,056.00 $5,577.00 $5,577.00
Synfix Evolution 08.815.164S SynFix Evolution Spacer, small, 15 mm height, 18° EA $9,000.00 $6,056.00 $5,577.00 $5,577.00
Synfix Evolution 08.815.165S SynFix Evolution Spacer, small, 17 mm height, 18° EA $9,000.00 $6,056.00 $5,577.00 $5,577.00
Synfix Evolution 08.815.166S SynFix Evolution Spacer, small, 19 mm height, 18° EA $9,000.00 $6,056.00 $5,577.00 $5,577.00
Synfix Evolution 08.815.173S SynFix Evolution Spacer, small, deep, 13.5 mm height, 18° EA $9,000.00 $6,056.00 $5,577.00 $5,577.00
Synfix Evolution 08.815.174S SynFix Evolution Spacer, small, deep, 15 mm height, 18° EA $9,000.00 $6,056.00 $5,577.00 $5,577.00
Synfix Evolution 08.815.175S SynFix Evolution Spacer, small, deep, 17 mm height, 18° EA $9,000.00 $6,056.00 $5,577.00 $5,577.00
Synfix Evolution 08.815.176S SynFix Evolution Spacer, small, deep, 19 mm height, 18° EA $9,000.00 $6,056.00 $5,577.00 $5,577.00
Synfix Evolution 08.815.201S SynFix Evolution Spacer, medium, 10.5 mm height, 6° EA $9,000.00 $6,056.00 $5,577.00 $5,577.00
Synfix Evolution 08.815.202S SynFix Evolution Spacer, medium, 12 mm height, 6° EA $9,000.00 $6,056.00 $5,577.00 $5,577.00
Synfix Evolution 08.815.203S SynFix Evolution Spacer, medium, 13.5 mm height, 6° EA $9,000.00 $6,056.00 $5,577.00 $5,577.00
Synfix Evolution 08.815.204S SynFix Evolution Spacer, medium, 15 mm height, 6° EA $9,000.00 $6,056.00 $5,577.00 $5,577.00
Synfix Evolution 08.815.205S SynFix Evolution Spacer, medium, 17 mm height, 6° EA $9,000.00 $6,056.00 $5,577.00 $5,577.00
Synfix Evolution 08.815.206S SynFix Evolution Spacer, medium, 19 mm height, 6° EA $9,000.00 $6,056.00 $5,577.00 $5,577.00
Synfix Evolution 08.815.211S SynFix Evolution Spacer, medium, 10.5 mm height, 10° EA $9,000.00 $6,056.00 $5,577.00 $5,577.00
Synfix Evolution 08.815.212S SynFix Evolution Spacer, medium, 12 mm height, 10° EA $9,000.00 $6,056.00 $5,577.00 $5,577.00
Synfix Evolution 08.815.213S SynFix Evolution Spacer, medium, 13.5 mm height, 10° EA $9,000.00 $6,056.00 $5,577.00 $5,577.00
Synfix Evolution 08.815.214S SynFix Evolution Spacer, medium, 15 mm height, 10° EA $9,000.00 $6,056.00 $5,577.00 $5,577.00
Synfix Evolution 08.815.215S SynFix Evolution Spacer, medium, 17 mm height, 10° EA $9,000.00 $6,056.00 $5,577.00 $5,577.00
Synfix Evolution 08.815.216S SynFix Evolution Spacer, medium, 19 mm height, 10° EA $9,000.00 $6,056.00 $5,577.00 $5,577.00
Synfix Evolution 08.815.222S SynFix Evolution Spacer, medium, 12 mm height, 14° EA $9,000.00 $6,056.00 $5,577.00 $5,577.00
Synfix Evolution 08.815.223S SynFix Evolution Spacer, medium, 13.5 mm height, 14° EA $9,000.00 $6,056.00 $5,577.00 $5,577.00
Synfix Evolution 08.815.224S SynFix Evolution Spacer, medium, 15 mm height, 14° EA $9,000.00 $6,056.00 $5,577.00 $5,577.00
Synfix Evolution 08.815.225S SynFix Evolution Spacer, medium, 17 mm height, 14° EA $9,000.00 $6,056.00 $5,577.00 $5,577.00
Synfix Evolution 08.815.226S SynFix Evolution Spacer, medium, 19 mm height, 14° EA $9,000.00 $6,056.00 $5,577.00 $5,577.00
Synfix Evolution 08.815.231S SynFix Evolution Spacer, medium, deep, 10.5 mm height, 6° EA $9,000.00 $6,056.00 $5,577.00 $5,577.00
Synfix Evolution 08.815.232S SynFix Evolution Spacer, medium, deep, 12 mm height, 6° EA $9,000.00 $6,056.00 $5,577.00 $5,577.00
Synfix Evolution 08.815.233S SynFix Evolution Spacer, medium, deep, 13.5 mm height, 6° EA $9,000.00 $6,056.00 $5,577.00 $5,577.00
Synfix Evolution 08.815.234S SynFix Evolution Spacer, medium, deep, 15 mm height, 6° EA $9,000.00 $6,056.00 $5,577.00 $5,577.00
Synfix Evolution 08.815.235S SynFix Evolution Spacer, medium, deep, 17 mm height, 6° EA $9,000.00 $6,056.00 $5,577.00 $5,577.00
Synfix Evolution 08.815.236S SynFix Evolution Spacer, medium, deep, 19 mm height, 6° EA $9,000.00 $6,056.00 $5,577.00 $5,577.00
Synfix Evolution 08.815.241S SynFix Evolution Spacer, medium, deep, 10.5 mm height, 10° EA $9,000.00 $6,056.00 $5,577.00 $5,577.00
Synfix Evolution 08.815.242S SynFix Evolution Spacer, medium, deep, 12 mm height, 10° EA $9,000.00 $6,056.00 $5,577.00 $5,577.00
Synfix Evolution 08.815.243S SynFix Evolution Spacer, medium, deep, 13.5 mm height, 10° EA $9,000.00 $6,056.00 $5,577.00 $5,577.00
Synfix Evolution 08.815.244S SynFix Evolution Spacer, medium, deep, 15 mm height, 10° EA $9,000.00 $6,056.00 $5,577.00 $5,577.00
Synfix Evolution 08.815.245S SynFix Evolution Spacer, medium, deep, 17 mm height, 10° EA $9,000.00 $6,056.00 $5,577.00 $5,577.00
Synfix Evolution 08.815.246S SynFix Evolution Spacer, medium, deep, 19 mm height, 10° EA $9,000.00 $6,056.00 $5,577.00 $5,577.00
Synfix Evolution 08.815.252S SynFix Evolution Spacer, medium, deep, 12 mm height, 14° EA $9,000.00 $6,056.00 $5,577.00 $5,577.00
Synfix Evolution 08.815.253S SynFix Evolution Spacer, medium, deep, 13.5 mm height, 14° EA $9,000.00 $6,056.00 $5,577.00 $5,577.00
Synfix Evolution 08.815.254S SynFix Evolution Spacer, medium, deep, 15 mm height, 14° EA $9,000.00 $6,056.00 $5,577.00 $5,577.00
Synfix Evolution 08.815.255S SynFix Evolution Spacer, medium, deep, 17 mm height, 14° EA $9,000.00 $6,056.00 $5,577.00 $5,577.00
Synfix Evolution 08.815.256S SynFix Evolution Spacer, medium, deep, 19 mm height, 14° EA $9,000.00 $6,056.00 $5,577.00 $5,577.00
Synfix Evolution 08.815.263S SynFix Evolution Spacer, medium, 13.5 mm height, 18° EA $9,000.00 $6,056.00 $5,577.00 $5,577.00
Synfix Evolution 08.815.264S SynFix Evolution Spacer, medium, 15 mm height, 18° EA $9,000.00 $6,056.00 $5,577.00 $5,577.00
Synfix Evolution 08.815.265S SynFix Evolution Spacer, medium, 17 mm height, 18° EA $9,000.00 $6,056.00 $5,577.00 $5,577.00
Synfix Evolution 08.815.266S SynFix Evolution Spacer, medium, 19 mm height, 18° EA $9,000.00 $6,056.00 $5,577.00 $5,577.00
Synfix Evolution 08.815.273S SynFix Evolution Spacer, medium, deep, 13.5 mm height, 18° EA $9,000.00 $6,056.00 $5,577.00 $5,577.00
Synfix Evolution 08.815.274S SynFix Evolution Spacer, medium, deep, 15 mm height, 18° EA $9,000.00 $6,056.00 $5,577.00 $5,577.00
Synfix Evolution 08.815.275S SynFix Evolution Spacer, medium, deep, 17 mm height, 18° EA $9,000.00 $6,056.00 $5,577.00 $5,577.00
Synfix Evolution 08.815.276S SynFix Evolution Spacer, medium, deep, 19 mm height, 18° EA $9,000.00 $6,056.00 $5,577.00 $5,577.00
Synfix Evolution 08.815.301S SynFix Evolution Spacer, large, 10.5 mm height, 6° EA $9,000.00 $6,056.00 $5,577.00 $5,577.00
Synfix Evolution 08.815.302S SynFix Evolution Spacer, large, 12 mm height, 6° EA $9,000.00 $6,056.00 $5,577.00 $5,577.00
Synfix Evolution 08.815.303S SynFix Evolution Spacer, large, 13.5 mm height, 6° EA $9,000.00 $6,056.00 $5,577.00 $5,577.00
Synfix Evolution 08.815.304S SynFix Evolution Spacer, large, 15 mm height, 6° EA $9,000.00 $6,056.00 $5,577.00 $5,577.00
Synfix Evolution 08.815.305S SynFix Evolution Spacer, large, 17 mm height, 6° EA $9,000.00 $6,056.00 $5,577.00 $5,577.00
Synfix Evolution 08.815.306S SynFix Evolution Spacer, large, 19 mm height, 6° EA $9,000.00 $6,056.00 $5,577.00 $5,577.00
Synfix Evolution 08.815.311S SynFix Evolution Spacer, large, 10.5 mm height, 10° EA $9,000.00 $6,056.00 $5,577.00 $5,577.00
Synfix Evolution 08.815.312S SynFix Evolution Spacer, large, 12 mm height, 10° EA $9,000.00 $6,056.00 $5,577.00 $5,577.00
Synfix Evolution 08.815.313S SynFix Evolution Spacer, large, 13.5 mm height, 10° EA $9,000.00 $6,056.00 $5,577.00 $5,577.00
Synfix Evolution 08.815.314S SynFix Evolution Spacer, large, 15 mm height, 10° EA $9,000.00 $6,056.00 $5,577.00 $5,577.00
Synfix Evolution 08.815.315S SynFix Evolution Spacer, large, 17 mm height, 10° EA $9,000.00 $6,056.00 $5,577.00 $5,577.00
Synfix Evolution 08.815.316S SynFix Evolution Spacer, large, 19 mm height, 10° EA $9,000.00 $6,056.00 $5,577.00 $5,577.00
Synfix Evolution 08.815.322S SynFix Evolution Spacer, large, 12 mm height, 14° EA $9,000.00 $6,056.00 $5,577.00 $5,577.00
Synfix Evolution 08.815.323S SynFix Evolution Spacer, large, 13.5 mm height, 14° EA $9,000.00 $6,056.00 $5,577.00 $5,577.00
Synfix Evolution 08.815.324S SynFix Evolution Spacer, large, 15 mm height, 14° EA $9,000.00 $6,056.00 $5,577.00 $5,577.00
--- Product list is too long at XXX pages. Please document for the rest of the items. ---</t>
  </si>
  <si>
    <t>Parent ID: MS8852
Contract ID: 633723
Contract Start Date: Please observe start date of the LOP itself. See Section 3, Paragraph 1.
Eligible Participants: See Table 1 in Page 4
Type of Pricing: Individual Component Pricing</t>
  </si>
  <si>
    <t>001030242~00087923.002</t>
  </si>
  <si>
    <t>Amendments To Letter Of Participation-Local Market (Spinal Implant Products)</t>
  </si>
  <si>
    <t>LOP-LM Amendment sl v2 09-01-2023</t>
  </si>
  <si>
    <t>Parent ID: MS8852
Other fields: Inherit from 001030242~00087923.001</t>
  </si>
  <si>
    <t>001030242~00087923.003</t>
  </si>
  <si>
    <t xml:space="preserve">LOPLM Amend JD v1 20240108.docx </t>
  </si>
  <si>
    <t>001030242~00087923.004</t>
  </si>
  <si>
    <t>LOPLM Amend sl v1 05-10-2024.docx</t>
  </si>
  <si>
    <t>001030242~00087923.005</t>
  </si>
  <si>
    <t>LOP-LM Amend sl v3 03-25-2025</t>
  </si>
  <si>
    <t>001030242~00104052.001</t>
  </si>
  <si>
    <t>MS1287</t>
  </si>
  <si>
    <t>SUTURE, ENDO-MECHANICAL, AND BIOSURGERY</t>
  </si>
  <si>
    <t xml:space="preserve">Supplement sl v1 03-27-2025.docx </t>
  </si>
  <si>
    <t>01151580 UNIVERSITY OF CALIFORNIA MERCED; 00298969 VETERINARY MED TEACHING HOSPITAL; 00019161 UNIVERSITY OF CALIFORNIA DAVIS MEDICAL CENTER</t>
  </si>
  <si>
    <t>Tier discount pricing</t>
  </si>
  <si>
    <t>SUTURE 69.56%;
PLUS SUTURE 69.56%;
STRATAFIX 46.11%;
ORC/Gelatin/Powder SURGICELTM (excl. SURGICELTM Powder) 53.11%;
ORC/Gelatin/Powder SURGIFOAMTM (Pad and Powder) 48.46%;
Flowables SURGIFOAMTM Powder Kit (SPK) 51.88%;
Flowables SURGIFLOTM 38.20%;
Fibrin Sealants 38.20%;
Advanced Patch EVT5024 $1,666.28;
SURGICEL Powder 3013SP $833.30;
SURGICEL Endoscopic Applicator 3123SPEA $98.30</t>
  </si>
  <si>
    <t>001030242~00084684.001</t>
  </si>
  <si>
    <t>MR981</t>
  </si>
  <si>
    <t>$82599dfa6414$38FF0CC4C2F140458238BAEA32EFE4A2.docx</t>
  </si>
  <si>
    <t>001030242~00084684.006</t>
  </si>
  <si>
    <t>00003871 MOUNT ZION HOSPITAL &amp; MEDICAL CENTER 1600 DIVISADERO ST SAN FRANCISCO CA 94115;
00003893 CHILDRENS HOSPITAL AND RESEARCH CENTER 747 52ND ST OAKLAND CA 94609;
00013930 UCSF MEDICAL CENTER 505 PARNASSUS AVE SAN FRANCISCO CA 94143;
01119725 UCSF BENIOFF CHILDREN'S HOSPITAL OAKLAND 2401 SHADELANDS DR WALNUT CREEK CA 94598;
01329321 UCSF MISSION BAY 1840 3RD ST SAN FRANCISCO CA 94158</t>
  </si>
  <si>
    <t xml:space="preserve">210024 PANALOK Anchor with #2 ORTHOCORD Suture 1 EA $479.00;
210025 PANALOK Anchor with #2 ETHIBOND Suture Green (with CP-2 needles) 1 EA $462.00;
210026 PANALOK Anchor with #2 ETHIBOND Suture White (with CP-2 needles) 1 EA $462.00;
210030 GRYPHON-P PEEK Anchor with Dual Strand #2 ORTHOCORD Suture 1 EA $401.00;
210031 GRYPHON-P PEEK Anchor with #2 ORTHOCORD Suture 1 EA $393.00;
210309 Super Anchor with Threader Tab 5 PK $2,203.00;
210310 Rotator Cuff Threader Tab 1 EA $467.00;
210393 GII Anchor with ThreaderTab 5 PK $2,045.00;
210409 Super Anchor with Threader Tab 1 EA $492.00;
210493 GII Anchor with ThreaderTab 1 EA $433.00;
210704 LUPINE PANALOK LOOP ARTH #2ETH 1 EA $405.00;
210707 LUPINE Loop Plus Anchor with PANACRYL Suture 1 EA $409.00;
210708 LUPINE Loop Plus Anchor with #2 ORTHOCORD Suture 1 EA $412.00;
210709 LUPINE Loop Plus Anchor with Dual Strand #2 ORTHOCORD Suture 1 EA $426.00;
210710 LUPINE Loop Plus Anchor with ETHIBOND Suture 1 EA $409.00;
210711 LUPINE BR Anchor with #2 ORTHOCORD Suture 1 EA $412.00;
210712 LUPINE BR Anchor with Dual Strand #2 ORTHOCORD Suture 1 EA $425.00;
210725 PANALOK Anchor with #2 PANACRYL Suture (with CP-2 needles) 1 EA $462.00;
210800 VersaLok Threader Tab *EA 1 EA $440.00;
210808 VERSALOK Titanium Anchor (PEEK Sleeve) with #2 ORTHOCORD Suture 1 EA $474.00;
210811 GRYPHON-T BR Anchor with Dual Strand #2 ORTHOCORD Suture 1 EA $449.00;
210812 GRYPHON-T BR Anchor with #2 ORTHOCORD Suture 1 EA $437.00;
210813 GRYPHON-P BR Anchor with Dual Strand #2 ORTHOCORD Suture 1 EA $421.00;
210814 GRYPHON-P BR Anchor with #2 ORTHOCORD Suture 1 EA $408.00;
210818 VERSALOK PEEK Anchor (PEEK Sleeve) with #2 ORTHOCORD Suture 1 EA $476.00;
210820 GRYPHON PROKNOT BR Anchor 1 EA $491.00;
210821 GRYPHON PROKNOT PEEK Anchor 1 EA $469.00;
210824 GRYPHON PROKNOT Anchor Slotted Sawtooth Guide 1 EA $1,039.00;
210826 GRYPHON PROKNOT Anchor Slotted Fishmouth Guide 1 EA $1,090.00;
210835 Knot Manipulator 1 EA $591.00;
211035 GRYPHON Anchor Tap 1 EA $1,002.00;
211036 GRYPHON Anchor Drill Bit, 2.4mm 1 EA $201.00;
211037 GRYPHON Anchor Fishmouth Guide 1 EA $1,057.00;
211038 GRYPHON Anchor Obturator 1 EA $164.00;
211039 GRYPHON Anchor Sawtooth Guide 1 EA $1,057.00;
211041 GRYPHON Anchor Blunt Obturator 1 EA $156.00;
211601 GRYPHON Anchor Hard Bone Drill Bit, 2.5mm 1 EA $230.00;
212031 Rotator Cuff QUICKANCHOR Suture Anchor with #2 ETHIBOND Suture (with CP-2 needles) 1 EA $440.00;
212032 Super QUICKANCHOR Suture Anchor with #2 ETHIBOND Suture (with CP-2 needles) 1 EA $363.00;
212033 Mini QUICKANCHOR Suture Anchor with #2-0 ETHIBOND Suture (with V-5 needles) 1 EA $355.00;
212034 GII QUICKANCHOR Suture Anchor with #2 ETHIBOND Suture (with CP-2 needles) 1 EA $358.00;
212035 Mini QUICKANCHOR Suture Anchor with #2-0 ORTHOCORD Suture (with V-5 needles) with 2mm Drill Bit 1 EA $365.00;
212038 Mini QUICKANCHOR Suture Anchor with #0 ORTHOCORD Suture (with OS-2 needles) with 2mm Drill Bit 1 EA $444.00;
212041 Micro QUICKANCHOR Suture Anchor with #4-0 ORTHOCORD Suture (with C-1 needles) with 1.3mm Drill Bit 1 EA $424.00;
212042 Micro QUICKANCHOR Suture Anchor with #4-0 ORTHOCORD Suture (with J-1 needles) with 1.3mm Drill Bit 1 EA $424.00;
212044 MICROFIX Anchor with #4-0 ORTHOCORD Suture (with J-1 needles) with Drill Bit 1 EA $455.00;
212045 MICROFIX Anchor with #4-0 ORTHOCORD Suture (with C-1 needles) with Drill Bit 1 EA $455.00;
212123 Mini Syringe Inserter 1 EA $586.00;
212130 PANALOK RC QUICKANCHOR Suture Anchor with #2 ETHIBOND Suture Green (with CP-2 needles) 1 EA $477.00;
212131 Rotator Cuff QUICKANCHOR Suture Anchor with #2 PANACRYL Suture (with CP-2 needles) 1 EA $466.00;
212132 PANALOK RC QUICKANCHOR Suture Anchor with DS #2 ETHIBOND Suture Green/White (with MO-7 needles) 1 EA $477.00;
212133 Mini QUICKANCHOR Suture Anchor with #0 ETHIBOND Suture (with OS-2 needles) 1 EA $427.00;
212134 GII QUICKANCHOR Suture Anchor with #2 PANACRYL Suture (with CP-2 needles) 1 EA $434.00;
212135 Super QUICKANCHOR Suture Anchor with #2 PANACRYL Suture (with CP-2 needles) 1 EA $450.00;
212137 PANALOK RC QUICKANCHOR Suture Anchor with #2 ORTHOCORD Suture (with CP-2 needles) 1 EA $477.00;
212310 Rotator Cuff Easy Anchor with #2 ETHIBOND Suture 1 EA $453.00;
212315 Rotator Cuff Easy Anchor with #2 ETHIBOND Suture 5 PK $2,125.00;
212450 GII Easy Anchor with #2 ETHIBOND Suture (with CP-2 needles) 1 EA $429.00;
212722 BIOKNOTLESS BR Anchor with #2 ORTHOCORD Suture 1 EA $476.00;
212723 BIOKNOTLESS BR Anchor with #1 PANACRYL Suture 1 EA $464.00;
212724 BIOKNOTLESS Plus Anchor with #1 ETHIBOND Suture 1 EA $462.00;
212725 BIOKNOTLESS Plus Anchor with #1 PANACRYL Suture 1 EA $464.00;
212726 BIOKNOTLESS Plus Anchor with #2 ORTHOCORD Suture 1 EA $466.00;
212730 PANALOK RC QUICKANCHOR Suture Anchor with #2 PANACRYL Suture (with CP-2 needles) 1 EA $477.00;
212732 PANALOK RC QUICKANCHOR Suture Anchor with Dual Strand #2 PANACRYL Suture (with MO-7 needles) 1 EA $477.00;
212733 PANALOK RC QUICKANCHOR Suture Anchor with Dual Strand #2 ORTHOCORD Suture 1 EA $477.00;
212734 GII Easy Anchor Pack with #2 PANACRYL Suture (with CP-2 needles) 5 PK $2,168.00;
212738 BIOKNOTLESS RC Anchor with #1 ETHIBOND Suture 1 EA $481.00;
212739 BIOKNOTLESS RC Anchor with #1 PANACRYL Suture 1 EA $481.00;
212843 Micro QUICKANCHOR Suture Anchor with #3-0 ORTHOCORD Suture (with V-4 needles) with 1.3mm Drill Bit 1 EA $355.00;
212849 MINILOK Anchor with #0 ORTHOCORD Suture (with OS-2 needles) with Drill Bit 1 EA $455.00;
212850 MINILOK Anchor with #0 ETHIBOND Suture (with OS-2 needles) with Drill Bit 1 EA $437.00;
212851 MINILOK Anchor with #2-0 ETHIBOND Suture (with V-5 needles) with Drill Bit 1 EA $437.00;
212852 MINILOK Anchor with #2-0 PANACRYL Suture (with RB-1 needles) with Drill Bit 1 EA $437.00;
212853 MINILOK Anchor with #2-0 ORTHOCORD Suture (with V-5 needles) with Drill Bit 1 EA $364.00;
212854 MINILOK Anchor with #2-0 ORTHOCORD Suture (with RB-1 needles) with Drill Bit 1 EA $455.00;
212855 MICROFIX Anchor with #3-0 ETHIBOND Suture (with V-4 needles) with Drill Bit 1 EA $430.00;
212856 MICROFIX Anchor with #4-0 ETHIBOND Suture (with C-1 needles) with Drill Bit 1 EA $430.00;
212857 MICROFIX Anchor with #4-0 ETHIBOND Suture (with P-3 needles) with Drill Bit 1 EA $430.00;
212859 MICROFIX Anchor with #3-0 ORTHOCORD Suture (with V-4 needles) with Drill Bit 1 EA $455.00;
212865 Micro QUICKANCHOR Suture Anchor with #3-0 ETHIBOND Suture (with V-4 needles) with 1.3mm Drill Bit 1 EA $341.00;
212866 Micro QUICKANCHOR Suture Anchor with #4-0 ETHIBOND Suture (with C-1 needles) with 1.3mm Drill Bit 1 EA $341.00;
212867 Micro QUICKANCHOR Suture Anchor with #4-0 ETHIBOND Suture (with P-3 needles) with 1.3mm Drill Bit 1 EA $406.00;
214008 Atraumatic Soft Tissue Liberator 1 EA $2,380.00;
214101 CHIA PERCPASSER® Suture Passer 5 PK $684.00;
214103 5.5mm x 55mm Reusable Obturator 1 EA $770.00;
214104 Clear Cannula, Threaded, 5.5mm x 55mm 5 PK $158.00;
214105 5.5mm x 75mm Reusable Obturator 1 EA $770.00;
214106 Clear Cannula, Smooth, 5.5mm x 75mm 5 PK $158.00;
214107 Clear Cannula, Smooth, Distal Rib, 5.5mm x 75mm 5 PK $90.00;
214108 Clear Cannula, Threaded, 5.5mm x 75mm 5 PK $90.00;
214109 5.5mm x 90mm Reusable Obturator 1 EA $770.00;
214110 Clear Cannula, Threaded, 5.5mm x 90mm 5 PK $158.00;
214113 7mm x 75mm Reusable Obturator 1 EA $770.00;
214114 Clear Cannula, Smooth, 7mm x 75mm 5 PK $158.00;
214115 Clear Cannula, Smooth, Distal Rib, 7mm x 75mm 5 PK $158.00;
214116 Clear Cannula, Threaded, 7mm x 75mm 5 PK $90.00;
214117 8.5mm x 55mm Reusable Obturator 1 EA $770.00;
214118 Clear Cannula, Threaded, 8.5mm x 55mm 5 PK $158.00;
214119 8.5mm x 75mm Reusable Obturator 1 EA $770.00;
214120 Clear Cannula, Threaded, 8.5mm x 75mm 5 PK $90.00;
214121 8.5mm x 90mm Reusable Obturator 1 EA $770.00;
214122 Clear Cannula, Threaded, 8.5mm x 90mm 5 PK $158.00;
214123 4mm Switching Stick, Blunt/Sharp 1 EA $185.00;
214141 EXPRESSEW III Suture Passer Needle 5 PK $750.00;
214527 Arthroscopic Knot Pusher 1 EA $1,398.00;
214529 Arthroscopic Periosteal Elevator 1 EA $558.00;
214560 Arthroscopic Introducer Drill Guide 1 EA $329.00;
214575 Arthroscopic Suture Grasper 1 EA $1,711.00;
214600 Penetrating Grasper, Straight 1 EA $1,855.00;
214601 Penetrating Grasper Pen, 35° Up 1 EA $1,855.00;
214602 Penetrating Grasper, 45° Left 1 EA $1,855.00;
214603 Penetrating Grasper Pen, 45° Right 1 EA $1,855.00;
214604 Combo Grasper 1 EA $1,655.00;
214605 Suture Scissors 1 EA $1,655.00;
214606 Grasper with Ratchet 1 EA $1,655.00;
214616 Crochet Hook 1 EA $253.00;
214617 Calibrated Probe 1 EA $253.00;
214618 Switching Stick 1 EA $166.00;
214619 Rasp, 20° Up, Bent 1 EA $553.00;
214620 Rasp, 20° Down, Bent 1 EA $553.00;
214621 Tissue Liberator, Atraumatic Up 1 EA $553.00;
214622 Tissue Liberator, Atraumatic Down 1 EA $553.00;
214623 Tissue Liberator, Blade Up 1 EA $553.00;
214624 Tissue Liberator, Blade Down 1 EA $553.00;
214626 Suture Manipulator 1 EA $1,671.00;
214627 Sliding Suture Cutter 1 EA $1,671.00;
214628 Suture Leader, 180° Right 1 EA $955.00;
214629 Suture Leader, 180° Left 1 EA $955.00;
214630 Arthro SutGrspr ShearPin B *EA 1 EA $44.00;
214631 Arthro SutGrsper ShearPin A *EA 1 EA $44.00;
214633 Replacement Actuating Screw *EA 1 EA $43.00;
214640 Cleverhook, Right 1 EA $2,503.00;
214641 Cleverhook, Left 1 EA $2,503.00;
214642 Sixter, Right 1 EA $2,503.00;
214643 Sixter, Left 1 EA $2,503.00;
214646 CordCutter 1 EA $1,839.00;
216193 GII Snap with #2 ETHIBOND Suture (CP-2 needles) 1 EA $503.00;
216593 GII Snap-Pak with #2 ETHIBOND Suture (with CP-2 needles) 5 PK $2,315.00;
219495 HEALIX Anchor Awl, 3.4mm 1 EA $655.00;
222065 #2 DYNACORD Suture Pack Blue (with OS-6 needles) 12 PK $924.00;
222066 #2 DYNACORD Suture Pack Blue (with MO-7 needles) 12 PK $924.00;
222067 #2 DYNACORD Suture Pack Blue (without needles) 12 PK $924.00;
222068 #2 DYNACORD Suture Pack Striped (without needles) 12 PK $924.00;
222069 #2 DYNACORD Suture Pack Striped/Blue (without needles) 12 PK $1,470.00;
222071 #2 DYNACORD Suture Pack Striped/Blue (with MO-7 needles) 12 PK $1,470.00;
222073 #2 DYNACORD Suture Pack Striped/Blue (with OS-6 needles) 12 PK $1,470.00;
222130 3mm FASTIN Anchor with #2 ETHIBOND Suture 1 EA $362.00;
222140 4mm FASTIN Anchor with #2 ETHIBOND Suture 1 EA $362.00;
222152 5.2mm FASTIN Anchor with #2 ETHIBOND Suture 1 EA $362.00;
222205 4.5mm HEALIX PEEK Anchor with #2 ORTHOCORD Suture 1 EA $392.00;
222207 5.5mm HEALIX PEEK Anchor with Triple Strand #2 ORTHOCORD Suture 1 EA $422.00;
222209 5.5mm HEALIX PEEK Anchor with #2 ORTHOCORD Suture 1 EA $392.00;
222210 5.5mm HEALIX PEEK Anchor with #2 ORTHOCORD Suture (with needles) 1 EA $392.00;
222215 6.5mm HEALIX PEEK Anchor with #2 ORTHOCORD Suture (with needles) 1 EA $392.00;
222219 6.5mm HEALIX PEEK Anchor with Triple Strand #2 ORTHOCORD Suture 1 EA $422.00;
222221 6.5mm HEALIX PEEK Anchor with #2 ORTHOCORD Suture 1 EA $392.00;
222223 HEALIX Anchor Awl 1 EA $490.00;
222224 HEALIX Anchor Full Awl/Tap, 5.5mm 1 EA $490.00;
222225 HEALIX Anchor Full Awl/Tap, 6.5mm 1 EA $490.00;
222226 HEALIX Anchor Cortical Awl/Tap, 4.5mm 1 EA $490.00;
222229 4.5mm HEALIX BR Anchor with #2 ORTHOCORD Suture 1 EA $428.00;
222232 5.5mm HEALIX BR Anchor with #2 ORTHOCORD Suture (with needles) 1 EA $428.00;
222233 5.5mm HEALIX BR Anchor with #2 ORTHOCORD Suture 1 EA $428.00;
222238 6.5mm HEALIX BR Anchor with #2 ORTHOCORD Suture 1 EA $428.00;
222239 6.5mm HEALIX BR Anchor with #2 ORTHOCORD Suture (with needles) 1 EA $428.00;
222241 6.5mm HEALIX TI Anchor with Triple Strand #2 ORTHOCORD Suture 1 EA $405.00;
222242 5.5mm HEALIX TI Anchor with #2 ORTHOCORD Suture (with needles) 1 EA $366.00;
222243 5.5mm HEALIX TI Anchor with Triple Strand #2 ORTHOCORD Suture 1 EA $405.00;
222245 5.5mm HEALIX TI Anchor with #2 ORTHOCORD Suture 1 EA $366.00;
222248 6.5mm HEALIX TI Anchor with #2 ORTHOCORD Suture (with needles) 1 EA $366.00;
222249 6.5mm HEALIX TI Anchor with #2 ORTHOCORD Suture 1 EA $366.00;
222251 HEALIX Anchor Cortical Awl/Tap, 5.5mm 1 EA $490.00;
222253 4.5mm HEALIX TI Anchor with #2 ORTHOCORD Suture 1 EA $391.00;
222259 HEALIX Anchor Hard Bone Tap, 5.5mm 1 EA $490.00;
222260 HEALIX TRANSTEND TI Anchor 1 EA $400.00;
222261 HEALIX TRANSTEND BR Implant System (1 BR Anchor, PERCANNULA™ System) 1 EA $588.00;
222263 HEALIX TRANSTEND BR Implant System (2 BR Anchors, PERCANNULA System) 1 EA $978.00;
222265 HEALIX TRANSTEND BR Anchor 1 EA $422.00;
222266 HEALIX TRANSTEND TI Implant System (1 TI Anchor, PERCANNULA System) 1 EA $588.00;
222268 HEALIX TRANSTEND TI Anchor Implant System (2 TI Anchors, PERCANNULA System) 1 EA $978.00;
222271 4.5mm HEALIX TI Anchor with Triple Strand #2 ORTHOCORD Suture 1 EA $419.00;
222272 HEALIX Anchor Full Awl/Tap, 4.5mm 1 EA $490.00;
222273 HEALIX TRANSTEND Anchor Awl/Tap, 3.4mm (for BR and PEEK Anchors) 1 EA $437.00;
222274 PERCANNULA System 1 EA $199.00;
222276 HEALIX TRANSTEND PEEK Anchor 1 EA $412.00;
222278 HEALIX TRANSTEND PEEK Implant System (1 PEEK Anchor, PERCANNULA System) 1 EA $588.00;
222280 HEALIX TRANSTEND PEEK Implant System (2 PEEK Anchors, PERCANNULA System) 1 EA $978.00;
222281 HEALIX TRANSTEND Anchor Drill Bit, 2.2mm (optional for TI Anchor) 1 EA $191.00;
222283 HEALIX KNOTLESS TAP 1 EA $623.00;
222288 Knotless Healix 5.5 AWL 1 EA $623.00;
222295 4.5mm HEALIX ADVANCE BR Anchor with #2 ORTHOCORD Suture 1 EA $459.00;
222296 4.5mm HEALIX ADVANCE BR Anchor with Triple Strand #2 ORTHOCORD Suture 1 EA $493.00;
222297 5.5mm HEALIX ADVANCE BR Anchor with #2 ORTHOCORD Suture 1 EA $459.00;
222298 5.5mm HEALIX ADVANCE BR Anchor with Triple Strand #2 ORTHOCORD Suture 1 EA $493.00;
222299 5.5mm HEALIX ADVANCE BR Anchor with #2 ORTHOCORD Suture (with needles) 1 EA $459.00;
222300 6.5mm HEALIX ADVANCE BR Anchor with #2 ORTHOCORD Suture 1 EA $459.00;
222301 6.5mm HEALIX ADVANCE BR Anchor with Triple Strand #2 ORTHOCORD Suture 1 EA $493.00;
222302 6.5mm HEALIX ADVANCE BR Anchor with #2 ORTHOCORD Suture (with needles) 1 EA $459.00;
222303 4.5mm HEALIX ADVANCE PEEK Anchor with #2 ORTHOCORD Suture 1 EA $425.00;
222304 4.5mm HEALIX ADVANCE PEEK Anchor with Triple Strand #2 ORTHOCORD Suture 1 EA $451.00;
222305 5.5mm HEALIX ADVANCE PEEK Anchor with #2 ORTHOCORD Suture 1 EA $425.00;
222307 5.5mm HEALIX ADVANCE PEEK Anchor with Triple Strand #2 ORTHOCORD Suture 1 EA $451.00;
222308 5.5mm HEALIX ADVANCE PEEK Anchor with #2 ORTHOCORD Suture (with needles) 1 EA $425.00;
222309 6.5mm HEALIX ADVANCE PEEK Anchor with #2 ORTHOCORD Suture 1 EA $425.00;
222311 6.5mm HEALIX ADVANCE PEEK Anchor with Triple Strand #2 ORTHOCORD Suture 1 EA $451.00;
222313 6.5mm HEALIX ADVANCE PEEK Anchor with #2 ORTHOCORD Suture (with needles) 1 EA $425.00;
222314 HEALIX ADVANCE Anchor Awl, 4.5mm 1 EA $488.00;
222315 HEALIX ADVANCE Anchor Awl, 5.5mm/6.5mm 1 EA $488.00;
222316 HEALIX ADVANCE Anchor Cortical Awl/Tap, 4.5mm 1 EA $488.00;
222317 HEALIX Anchor™ Cortical Awl/Tap, 5.5mm/6.5mm 1 EA $488.00;
222318 5.5mm HEALIX ADVANCE PEEK Anchor Pack with Triple Strand #2 ORTHOCORD Suture 5 PK $2,148.00;
222319 4.5mm HEALIX ADVANCE BR Anchor Pack with #2 ORTHOCORD Suture 5 PK $2,221.00;
222320 4.5mm HEALIX ADVANCE BR Anchor Pack with Triple Strand #2 ORTHOCORD Suture 5 PK $2,366.00;
222321 4.5mm HEALIX ADVANCE PEEK Anchor Pack with #2 ORTHOCORD Suture 5 PK $2,039.00;
222322 4.5mm HEALIX ADVANCE PEEK Anchor Pack with Triple Strand #2 ORTHOCORD Suture 5 PK $2,148.00;
222323 5.5mm HEALIX ADVANCE BR Anchor Pack with #2 ORTHOCORD Suture 5 PK $2,221.00;
222324 5.5mm HEALIX ADVANCE BR Anchor Pack with Triple Strand #2 ORTHOCORD Suture 5 PK $2,366.00;
222325 5.5mm HEALIX ADVANCE PEEK Anchor Pack with #2 ORTHOCORD Suture 5 PK $2,039.00;
222326 HEALIX ADVANCE Anchor Drill Bit, 4mm 1 EA $308.00;
222327 HEALIX ADVANCE Anchor Drill Bit, 3.5mm 1 EA $308.00;
222328 HEALIX ADVANCE Anchor Full Tap, 5.5mm/6.5mm 1 EA $493.00;
222329 HEALIX ADVANCE Anchor Full Tap, 4.5mm 1 EA $493.00;
222330 4.75mm HEALIX ADVANCE Knotless BR Anchor 1 EA $513.00;
222331 5.5mm HEALIX ADVANCE Knotless BR Anchor 1 EA $513.00;
222332 6.5mm HEALIX ADVANCE Knotless BR Anchor 1 EA $513.00;
222333 4.75mm HEALIX ADVANCE Knotless PEEK Anchor 1 EA $487.00;
222334 5.5mm HEALIX ADVANCE Knotless PEEK Anchor 1 EA $487.00;
222335 6.5mm HEALIX ADVANCE Knotless PEEK Anchor 1 EA $487.00;
222337 HEALIX TRANSTEND BR Dual Strand Implant System (1 BR DS, PERCANNULA System) 1 EA $588.00;
222338 HEALIX TRANSTEND BR Implant System (1 BR, Violet, 1 BR, Blue, PERCANNULA System) 1 EA $978.00;
222339 HEALIX TRANSTEND PEEK Dual Strand Implant System (1 PEEK DS, PERCANNULA System) 1 EA $588.00;
222340 HEALIX TRANSTEND PEEK Implant System (1 PEEK, Violet, 1 PEEK, Blue, PERCANNULA) 1 EA $978.00;
222343 3.4mm HEALIX BR Anchor with #2 ORTHOCORD Suture 1 EA $440.00;
222344 3.4mm HEALIX PEEK Anchor with #2 ORTHOCORD Suture 1 EA $417.00;
222422 4.9mm HEALIX ADVANCE SP Biocomposite Anchor 1 EA $450.00;
222423 4.9mm HEALIX ADVANCE SP PEEK Anchor 1 EA $400.00;
222424 5.5mm HEALIX ADVANCE SP Biocomposite Anchor 1 EA $450.00;
222425 5.5mm HEALIX ADVANCE SP PEEK Anchor 1 EA $400.00;
222530 3mm FASTIN Anchor Pack with #2 ETHIBOND Suture 5 PK $1,656.00;
222540 4mm FASTIN Anchor Pack with #2 ETHIBOND Suture 5 PK $1,656.00;
222552 5.2mm FASTIN Anchor Pack with #2 ETHIBOND Suture 5 PK $1,656.00;
222720 5mm FASTIN RC Anchor Pack with #2 ETHIBOND Suture Gray/White 5 PK $1,781.00;
222722 5mm FASTIN RC Anchor with #2 ETHIBOND Suture (with needles) 1 EA $320.00;
222723 5mm FASTIN RC Anchor with #2 ETHIBOND Suture (without needles) 1 EA $369.00;
222740 5mm FASTIN RC Anchor Pack with #2 PANACRYL Suture 5 PK $1,571.00;
222742 5mm FASTIN RC Anchor with #2 PANACRYL Suture (with needles) 1 EA $307.00;
222743 5mm FASTIN RC Anchor with #2 PANACRYL Suture (without needles) 1 EA $369.00;
222979 Rotator Cuff QUICKANCHOR Suture Anchor with Dual Strand ORTHOCORD Suture (with CP-2 needles) 1 EA $464.00;
222980 Lupine Loop O-C violet *EA 1 EA $429.00;
222981 Lupine Loop DS w/Orthocord *EA 1 EA $419.00;
222982 PANALOK RC Loop Anchor with Dual Strand #2 ORTHOCORD Suture 1 EA $504.00;
222983 GII QUICKANCHOR® Suture Anchor with #2 ORTHOCORD Suture (with CP-2 needles) 1 EA $370.00;
222984 Super QUICKANCHOR Suture Anchor with Dual Strand #2 ORTHOCORD Suture ( with CP-2 needles) 1 EA $450.00;
222991 5mm FASTIN RC Anchor with #2 ORTHOCORD Suture Violet/Blue (with needles) 1 EA $376.00;
222992 6.5mm FASTIN RC Anchor with #2 ORTHOCORD Suture Violet/Blue (with needles) 1 EA $376.00;
222993 5mm FASTIN RC Anchor with #2 ORTHOCORD Suture Violet/Blue (without needles) 1 EA $376.00;
222994 6.5mm FASTIN RC Anchor with #2 ORTHOCORD Suture Violet/Blue (without needles) 1 EA $376.00;
223102 #2 ORTHOCORD Suture Violet (with MO-6 needles) 12 PK $219.00;
223103 #2 ORTHOCORD Suture Violet (with OS-6 needles) 12 PK $319.00;
223104 #2 ORTHOCORD Suture Violet (with MO-7 needles) 12 PK $219.00;
223105 #2 ORTHOCORD Suture Violet (without needles) 12 PK $192.00;
223111 #2 ORTHOCORD Suture Blue (without needles) 12 PK $319.00;
223113 #2 ORTHOCORD Suture Violet/Blue (without needles) 12 PK $357.00;
223114 #2 ORTHOCORD Suture Violet/Blue (with MO-7 needles) 12 PK $409.00;
223115 #2 ORTHOCORD Suture Violet/Blue (with MO-6 needles) 12 PK $409.00;
223116 #2 ORTHOCORD Suture Violet/Blue (with OS-6 needles) 12 PK $409.00;
223122 #2-0 ORTHOCORD Suture, 18 inches, Taper, 26.5mm, 1/2 Circle 12 PK $222.00;
223123 #4-0 ORTHOCORD Suture, 18 inches, DiamondPoint, 18.7mm, 3/8 Circle 12 PK $222.00;
223124 #0 ORTHOCORD Suture, 36 inches, Taper, 22.2mm, 1/2 Circle 12 PK $222.00;
223125 #3-0 ORTHOCORD Suture, 18 inches, Taper, 15mm, 3/8 Circle 12 PK $222.00;
223126 #2-0 ORTHOCORD Suture, 18 inches, Taper, 17.9mm, 3/8 Circle 12 PK $222.00;
223127 #4-0 ORTHOCORD Suture, 18 inches, Taper, 12.3,mm, 3/8 Circle 12 PK $222.00;
223128 4.5mm HEALIX ADVANCE BR Anchor with #2 PERMACORD Suture 1 EA $446.00;
223129 4.5mm HEALIX ADVANCE BR Anchor with Triple Strand #2 PERMACORD Suture 1 EA $475.00;
223130 5.5mm HEALIX ADVANCE BR Anchor with #2 PERMACORD Suture 1 EA $446.00;
223131 5.5mm HEALIX ADVANCE BR Anchor with Triple Strand #2 PERMACORD Suture 1 EA $475.00;
223132 6.5mm HEALIX ADVANCE BR Anchor with #2 PERMACORD Suture 1 EA $446.00;
223133 6.5mm HEALIX ADVANCE BR Anchor with Triple Strand #2 PERMACORD Suture 1 EA $475.00;
223134 4.5mm HEALIX ADVANCE PEEK Anchor with #2 PERMACORD Suture 1 EA $417.00;
223135 4.5mm HEALIX ADVANCE PEEK Anchor with Triple Strand #2 PERMACORD Suture 1 EA $443.00;
223136 5.5mm HEALIX ADVANCE PEEK Anchor with #2 PERMACORD Suture 1 EA $417.00;
223137 5.5mm HEALIX ADVANCE PEEK Anchor with Triple Strand #2 PERMACORD Suture 1 EA $443.00;
223138 6.5mm HEALIX ADVANCE PEEK Anchor with #2 PERMACORD Suture 1 EA $417.00;
223139 6.5mm HEALIX ADVANCE PEEK Anchor with Triple Strand #2 PERMACORD Suture 1 EA $443.00;
223146 GRYPHON-P BR Anchor with #2 PERMACORD Suture 1 EA $396.00;
223147 GRYPHON-P BR Anchor with Dual Strand #2 PERMACORD Suture 1 EA $409.00;
223148 GRYPHON-P PEEK Anchor with #2 PERMACORD Suture 1 EA $382.00;
223149 GRYPHON-P PEEK Anchor with Dual Strand #2 PERMACORD Suture 1 EA $390.00;
223165 PERMATAPE Suture 2.5mm, Blue 6 PK $367.00;
223166 PERMATAPE Suture 2.5mm, White 6 PK $367.00;
223173 Free Needle Loop OS-6 12 PK $252.00;
231803 MILAGRO BR Screw, 5mm x 23mm 1 EA $421.00;
231804 MILAGRO BR Screw, 5mm x 30mm 1 EA $421.00;
231807 MILAGRO BR Screw, 6mm x 23mm 1 EA $421.00;
231809 MILAGRO BR Screw, 6mm x 30mm 1 EA $421.00;
231811 MILAGRO BR Screw, 7mm x 15mm 1 EA $421.00;
231812 MILAGRO BR Screw, 8mm x 15mm 1 EA $421.00;
231813 MILAGRO BR Screw, 6mm x 12mm 1 EA $421.00;
231814 MILAGRO BR Screw, 5mm x 12mm 1 EA $421.00;
251001 IDEAL Suture Shuttle, 25° Left 1 EA $223.00;
251002 IDEAL Suture Shuttle, 25° Right 1 EA $223.00;
251003 IDEAL Suture Shuttle, 45° Left 1 EA $223.00;
251004 IDEAL Suture Shuttle, 45° Right 1 EA $223.00;
251005 IDEAL Suture Shuttle, 90° Up 1 EA $223.00;
251006 IDEAL Suture Shuttle, Straight Hook 1 EA $223.00;
251007 IDEAL Suture Shuttle, Straight Crescent 1 EA $223.00;
251720 IDEAL Suture Grasper, 15° 1 EA $296.00;
251721 IDEAL Suture Grasper, 30° 1 EA $296.00;
251722 IDEAL Suture Grasper, 45° 1 EA $296.00;
251723 IDEAL Suture Grasper, 60° 1 EA $296.00;
270104 Knot Pusher, 1.5mm 1 EA $446.00;
270120 Grasper/Grabber 1 EA $1,942.00;
285111 Latarjet 28mm Screw &amp; Top Hat 1 EA $220.00;
285112 Latarjet 36mm Screw &amp; Top Hat 1 EA $220.00;
285116 Latarjet 30mm Screw &amp; Top Hat 1 EA $220.00;
285117 Latarjet 38mm Screw &amp; Top Hat 1 EA $220.00;
285121 Latarjet 32mm Screw &amp; Top Hat 1 EA $220.00;
285122 Latarjet 40mm Screw &amp; Top Hat 1 EA $220.00;
285126 Latarjet 34mm Screw &amp; Top Hat 1 EA $220.00;
285127 Latarjet 42mm Screw &amp; Top Hat 1 EA $220.00;
285132 Latarjet 44mm Screw &amp; Top Hat 1 EA $220.00;
285137 Latarjet 46mm Screw &amp; Top Hat 1 EA $220.00;
285142 Latarjet 48mm Screw &amp; Top Hat 1 EA $220.00;
285180 Latarjet Disposable Kit 1 EA $778.00;
285200 Bristow Disposable Kit 1 EA $711.00;
285260 Latarjet Coracoid Short K-Wire, 150mm 1 EA $111.00;
288233 EXPRESSEW III AutoCapture+ Suture Passer 1 EA $3,800.00;
--- Product list is too long at XXX pages. Please document for the rest of the items. ---
 </t>
  </si>
  <si>
    <t>PA Amnd JJS v3 08-23-2022.docx</t>
  </si>
  <si>
    <t>001030242~00084684.008</t>
  </si>
  <si>
    <t>Amendment To Product Agreement (Depuy Synthes Joint Reconstruction - H/K/S/Or Med)</t>
  </si>
  <si>
    <t>PA Amnd JJS v1 20220919.docx</t>
  </si>
  <si>
    <t>Hips ‐ Primary Hips ‐ STEM Basic Fracture Cemented $1,150.00 $750.00 $700.00 ;
Hips ‐ Primary Hips ‐ STEM Basic Fracture Pressfit $1,275.00 $750.00 $700.00 ;
Hips ‐ Primary Hips ‐ STEM Cemented $1,925.00 $1,400.00 $1,400.00 ;
Hips ‐ Primary Hips ‐ STEM Porous‐No Cement $2,775.00 $2,500.00 $2,400.00 ;
Hips ‐ Primary Hips ‐ STEM Porous‐No Cement Dual Fixation $2,775.00 $2,500.00 $2,400.00 ;
Hips ‐ Primary Hips ‐ STEM Porous‐No Cement Bone Preserving (AA) $2,775.00 $2,550.00 $2,500.00 ;
Hips ‐ Primary Hips ‐ STEM Porous‐No Cement High Stability (AA) $2,925.00 $2,650.00 $2,500.00 ;
Hips ‐ Primary Hips ‐ STEM MODULAR SRom $2,300.00 $1,900.00 $1,850.00 ;
Hips ‐ Primary Hips ‐ SLEEVE MODULAR SRom $625.00 $650.00 $650.00 ;
Hips ‐ Primary Hips ‐ CUP All Poly $1,000.00 $950.00 $900.00 ;
Hips ‐ Primary Hips ‐ CUP Porous $1,300.00 $1,200.00 $1,100.00 ;
Hips ‐ Primary Hips ‐ CUP DuoFix $1,300.00 $1,200.00 $1,100.00 ;
Hips ‐ Primary Hips ‐ CUP Gription $1,700.00 $1,600.00 $1,500.00 ;
Hips ‐ Primary Hips ‐ CUP BIMENTUM Pressfit $2,575.00 $1,654.00 $1,600.00 ;
Hips ‐ Primary Hips ‐ CUP BIMENTUM Pressfit Plus $2,775.00 $1,854.00 $1,700.00 ;
Hips ‐ Primary Hips ‐ LINER Self Centering $800.00 $700.00 $600.00 ;
Hips ‐ Primary Hips ‐ LINER Marathon 22.225, 28, 32, 36mm $800.00 $700.00 $600.00 ;
Hips ‐ Primary Hips ‐ LINER AltrX 28, 32, 36mm $1,000.00 $900.00 $825.00 ;
Hips ‐ Primary Hips ‐ LINER Lg AltrX 40, 44, 48mm $1,125.00 $900.00 $825.00 ;
Hips ‐ Primary Hips ‐ LINER Ceramic Ceramax $1,800.00 $1,500.00 $1,500.00 ;
Hips ‐ Primary Hips ‐ Liner BIMENTUM 22, 28mm $1,650.00 $1,046.00 $1,000.00 ;
Hips ‐ Primary Hips ‐ HEAD Unipolar $574.00 $500.00 $450.00 ;
Hips ‐ Primary Hips ‐ HEAD Metal 22.225, 28mm $700.00 $500.00 $450.00 ;
Hips ‐ Primary Hips ‐ HEAD Metal 32, 36mm $700.00 $500.00 $450.00 ;
Hips ‐ Primary Hips ‐ HEAD Lg Metal 40, 44, 48mm $1,200.00 $900.00 $725.00 ;
Hips ‐ Primary Hips ‐ HEAD Ceramic Delta (not TS) 28, 32, 36mm $1,400.00 $775.00 $575.00 ;
Hips ‐ Primary Hips ‐ HEAD Ceramic Delta TS 40, 44mm $1,400.00 $875.00 $750.00 ;
Hips ‐ Primary Hips ‐ ACC Acetab. Screw $99.00 $99.00 $85.00 ;
Hips ‐ Primary Hips ‐ BIMENTUM Acetab. Screw $175.00 $175.00 $150.00 ;
Hips ‐ Primary Hips ‐ ACC Apex Hole Eliminator $111.00 $111.00 $100.00 ;
Hips ‐ Primary Hips ‐ SPACER Unipolar $163.00 $163.00 $160.00 ;
Hips ‐ Primary Hips ‐ ACC Centralizer $70.00 $70.00 $68.00 ;
Knees ‐ Primary Knees ‐ FEMUR HP Uni $1,950.00 $1,400.00 $1,300.00 ;
Knees ‐ Primary Knees ‐ FEMUR Sigma Cemented $1,950.00 $1,400.00 $1,300.00 ;
Knees ‐ Primary Knees ‐ FEMUR LCS Cemented $2,200.00 $1,400.00 $1,300.00 ;
Knees ‐ Primary Knees ‐ FEMUR Sigma Porous $2,600.00 $2,000.00 $1,800.00 ;
Knees ‐ Primary Knees ‐ FEMUR LCS Porous $3,100.00 $2,000.00 $1,800.00 ;
Knees ‐ Primary Knees ‐ FEMUR Attune Cemented $2,200.00 $1,900.00 $1,800.00 ;
Knees ‐ Primary Knees ‐ FEMUR Attune Porous $3,000.00 $2,200.00 $2,050.00 ;
Knees ‐ Primary Knees ‐ INSERT Sigma HP Uni $1,125.00 $600.00 $550.00 ;
Knees ‐ Primary Knees ‐ INSERT Sigma FB GVF $1,025.00 $650.00 $650.00 ;
Knees ‐ Primary Knees ‐ INSERT Sigma FB Xlink $1,175.00 $950.00 $850.00 ;
Knees ‐ Primary Knees ‐ INSERT Attune FB AOX $1,350.00 $1,240.00 $1,100.00 ;
Knees ‐ Primary Knees ‐ INSERT Sigma RP GVF $1,345.00 $1,000.00 $1,000.00 ;
Knees ‐ Primary Knees ‐ INSERT LCS RP GVF $1,345.00 $1,000.00 $1,000.00 ;
Knees ‐ Primary Knees ‐ INSERT Sigma RP AOX $1,375.00 $1,290.00 $1,200.00 ;
Knees ‐ Primary Knees ‐ INSERT LCS RP AOX $1,375.00 $1,290.00 $1,200.00 ;
Knees ‐ Primary Knees ‐ INSERT Attune RP AOX $1,375.00 $1,290.00 $1,250.00 ;
Knees ‐ Primary Knees ‐ TRAY Sigma HP Uni All Poly $1,700.00 $1,600.00 $1,500.00 ;
Knees ‐ Primary Knees ‐ TRAY Sigma HP Uni Metal $1,275.00 $1,000.00 $900.00 ;
Knees ‐ Primary Knees ‐ TRAY Sigma FB All Poly $1,375.00 $1,250.00 $1,125.00 ;
Knees ‐ Primary KNEES ‐ TRAY ATTUNE FB ALL POLY $2,461.00 $2,366.00 $2,041.00 ;
Knees - Primary KNEES - TRAY ATTUNE FB POROUS $1,850 $1,800 $1,575 $1,450;
Knees ‐ Primary Knees ‐ TRAY Sigma FB Ti Cemented $1,350.00 $1,250.00 $1,125.00 ;
Knees ‐ Primary Knees ‐ TRAY Sigma FB Ti Porous $1,350.00 $1,250.00 $1,225.00 ;
Knees ‐ Primary Knees ‐ TRAY Sigma FB COCR Cemented $1,550.00 $1,500.00 $1,275.00 ;
Knees ‐ Primary Knees ‐ TRAY Attune FB Cemented $1,550.00 $1,500.00 $1,275.00 ;
Knees ‐ Primary Knees ‐ TRAY MBT Cemented $1,600.00 $1,550.00 $1,500.00 ;
Knees ‐ Primary Knees ‐ TRAY Attune RP Cemented $1,600.00 $1,550.00 $1,550.00 ;
Knees ‐ Primary Knees ‐ TRAY MBT Porous $1,600.00 $1,550.00 $1,550.00 ;
Knees ‐ Primary Knees ‐ TRAY Attune RP Porous $1,900.00 $1,850.00 $1,800.00 ;
Knees ‐ Primary Knees ‐ PATELLA Sigma All Poly $475.00 $300.00 $300.00 ;
Knees ‐ Primary Knees ‐ PATELLA LCS All Poly $475.00 $300.00 $300.00 ;
Knees ‐ Primary Knees ‐ PATELLA LCS Metal Back $550.00 $500.00 $500.00 ;
Knees ‐ Primary Knees ‐ PATELLA Attune All Poly Medial $750.00 $700.00 $600.00 ;
Knees ‐ Primary Knees ‐ PATELLA Attune All Poly Anatomic $750.00 $700.00 $600.00 ;
Knees ‐ Disposables Knees ‐ Pins ‐ Sterile AMK $115.00 $100.00 $100.00 ;
Knees ‐ Disposables Knees ‐ Pins ‐ NonSterile HP $215.00 $158.00 $150.00 ;
Knees ‐ Disposables Knees ‐ Pins ‐ Sterile HP $300.00 $249.00 $235.00 ;
Knees ‐ Disposables Knees ‐ Pins ‐ Sterile Attune $300.00 $158.00 $150.00 ;
Knees ‐ Trumatch Knees ‐ TruMatch Pin Guides Kit $650.00 $600.00 $550.00 ;
Knees ‐ Trumatch Knees ‐ TruMatch Pin Guides Femur Only $550.00 $500.00 $450.00 ;
Knees ‐ Trumatch Knees ‐ TruMatch Pin Guides Tibia Only $550.00 $500.00 $450.00 ;
Knees ‐ Trumatch Knees ‐ TruMatch 3.0 Hybrid Kit $800.00 $750.00 $700.00 ;
Knees ‐ Trumatch Knees ‐ TruMatch Cutting Block Kit $850.00 $800.00 $750.00 ;
Knees ‐ Trumatch Knees ‐ TruMatch Cutting Block Femur Only $650.00 $600.00 $550.00 ;
Knees ‐ Trumatch Knees ‐ TruMatch Cutting Block Tibia Only $650.00 $600.00 $550.00 ;
Shoulders ‐ Primary Shoulders ‐ RESURF HEAD Global CAP DuoFix $3,000.00 $2,600.00 $2,100.00 ;
Shoulders ‐ Primary Shoulders ‐ RESURF HEAD Global CAP CTA DuoFix $3,300.00 $2,860.00 $2,310.00 ;
Shoulders ‐ Primary Shoulders ‐ STEM Global FX Non‐Porocoat $2,775.00 $2,550.00 $2,125.00 ;
Shoulders ‐ Primary Shoulders ‐ STEM Global FX Porocoat $3,250.00 $3,000.00 $2,500.00 ;
Shoulders ‐ Primary Shoulders ‐ STEM Global Advantage Non‐Porocoat $2,775.00 $2,550.00 $2,125.00 ;
Shoulders ‐ Primary Shoulders ‐ STEM Global Advantage Porocoat $3,250.00 $3,000.00 $2,500.00 ;
Shoulders ‐ Primary Shoulders ‐ STEM Global AP Non‐Porocoat $2,475.00 $2,250.00 $1,825.00 ;
Shoulders ‐ Primary Shoulders ‐ STEM Global AP Porocoat $2,950.00 $2,700.00 $2,200.00 ;
Shoulders ‐ Primary Shoulders ‐ STEM Delta Xtend Monobloc $3,450.00 $3,175.00 $2,650.00 ;
Shoulders ‐ Primary Shoulders ‐ STEM Delta Xtend Modular $2,000.00 $1,825.00 $1,500.00 ;
Shoulders ‐ Primary Shoulders ‐ EPIPHYSIS Delta Xtend Modular HA $2,625.00 $2,425.00 $2,025.00 ;
Shoulders ‐ Primary Shoulders ‐ STEM Global Unite $2,650.00 $2,450.00 $2,050.00 ;
Shoulders ‐ Primary Shoulders ‐ PROX BODY Global Unite $1,080.00 $1,000.00 $825.00 ;
Shoulders ‐ Primary Shoulders ‐ EPIPHYSIS Global Unite FX $3,000.00 $2,780.00 $2,300.00 ;
Shoulders ‐ Primary Shoulders ‐ EPIPHYSIS Delta Xtend PC Alt Angle EPI $3,000.00 $2,780.00 $2,300.00 ;
Shoulders ‐ Primary Shoulders ‐ HEAD Global Advantage Standard $1,450.00 $1,350.00 $1,200.00 ;
Shoulders ‐ Primary Shoulders ‐ HEAD Global Advantage Eccentric $1,500.00 $1,425.00 $1,250.00 ;
Shoulders ‐ Primary Shoulders ‐ HEAD Global Advantage CTA $2,100.00 $1,950.00 $1,750.00 ;
Shoulders ‐ Primary Shoulders ‐ HEAD Global AP &amp; Unite Standard $1,450.00 $1,350.00 $1,200.00 ;
Shoulders ‐ Primary Shoulders ‐ HEAD Global AP &amp; Unite Eccentric $1,500.00 $1,425.00 $1,250.00 ;
Shoulders ‐ Primary Shoulders ‐ HEAD Global AP CTA $2,100.00 $1,950.00 $1,750.00 ;
Shoulders ‐ Primary Shoulders ‐ CUP Delta Xtend Standard &amp; Retentive Poly $1,050.00 $950.00 $850.00 ;
Shoulders ‐ Primary Shoulders ‐ CUP Delta Xtend High Mobility Poly $1,375.00 $1,235.00 $1,100.00 ;
Shoulders ‐ Primary Shoulders ‐ GLENOID Global Keeled Xlink $1,120.00 $1,040.00 $975.00 ;
Shoulders ‐ Primary Shoulders ‐ GLENOID Global APG Xlink $1,400.00 $1,300.00 $1,200.00 ;
Shoulders ‐ Primary Shoulders ‐ GLENOID Global StepTech APG Xlink $2,800.00 $2,600.00 $2,400.00 ;
Shoulders ‐ Primary Shoulders ‐ GLENOSPHERE Delta Xtend Standard &amp; Eccentric $1,600.00 $1,500.00 $1,400.00 ;
Shoulders ‐ Primary Shoulders ‐ TAPER Global AP 135 Degree &amp; Ball Taper $300.00 $300.00 $300.00 ;
Shoulders ‐ Primary Shoulders ‐ METAGLENE Delta Xtend $1,450.00 $1,300.00 $1,200.00 ;
Shoulders ‐ Primary Shoulders ‐ SPACER Delta Xtend $575.00 $575.00 $575.00 ;
Shoulders ‐ Primary Shoulders ‐ COLLAR Global Unite $500.00 $500.00 $500.00 ;
Shoulders ‐ Primary Shoulders ‐ SCREWS Delta Xtend Locking‐Non Locking $150.00 $150.00 $125.00 ;
SHOULDERS - Primary Shoulders - STEM GLOBAL UNITE SHORT $2,650 $2,450 $2,050 $2,000;
SHOULDERS - Primary Shoulders - STEM INHANCE SHORT STEM $3,730 $3,450 $2,875 $2,775;
SHOULDERS - Primary Shoulders - STEM INHANCE STEMLESS $4,980 $4,616 $3,899 $3,762;
SHOULDERS - Primary Shoulders - HEAD INHANCE $1,500 $1,425 $1,250 $1,200;
SHOULDERS - Primary Shoulders - GLENOID INHANCE AO &amp; SU INSERTER $2,800 $2,600 $2,400 $2,350;
SHOULDERS - Primary Shoulders - ADAPTER INHANCE $300 $300 $300 $255;
SHOULDERS - Primary Shoulders - STND CS METAGLENE DELTA XTEND $1,825 $1,675 $1,575 $1,525;
SHOULDERS - Primary Shoulders - COLLET DELTA XTEND CS METAGLENE $300 $300 $300 $255;
SHOULDERS - Primary Shoulders - SCREWS DELTA XTEND CS METAGLENE SCREWS $280 $280 $255 $255;
Shoulders ‐ TruMatch Shoulders – TruMatch Glenoid Guides $1,170.00 $1,070.00 $895.00;
LPS - KNEES 151106000 ATT REV SLV LPS FEM ADP +0 $773.25 $670.15 $567.05 $567.05;
LPS - KNEES 151106005 ATT REV SLV LPS FEM ADP +5 $773.25 $670.15 $567.05 $567.05;
LPS - KNEES 151106010 ATT REV SLV LPS FEM ADP +10 $773.25 $670.15 $567.05 $567.05;
VELYS - Single Use Instruments VELYS ROBOT SAW BLADE 451570000 1 EA $65.00;
VELYS - Single Use Instruments VELYS ROBOT ARRAY SET 451570001 1 EA $384.00;
VELYS - Single Use Instruments VELYS ARRAY FULL SET KNEE 451570203 1 EA $384.00;
VELYS - Single Use Instruments VELYS ARRAY SET KNEE 451570011 1 EA $384.00;
VELYS - Single Use Instruments VELYS ARRAY DRILL PIN 100X4 MM 451570004 1 EA $40.00;
VELYS - Single Use Instruments VELYS ARRAY DRILL PIN 125X4 MM 451570005 1 EA $40.00;
VELYS - Single Use Instruments VELYS ARRAY DRILL PIN 175X4 MM 451570006 1 EA $40.00;
VELYS - Single Use Instruments VELYS ROBOT STRL DRAPE 20 PKG 451570008 1 PK $1,710.00;
VELYS - Single Use Instruments VELYS SATEL STRL DRAPE 20 PKG 451570009 1 PK $1,110.00;
KNEES - PRIMARY KNEES - INSERT ATTUNE MS FB AOX $1,500.00 $1,390.00 $1,250.00 $1,250.00;
HIPS - PRIMARY HIPS - LINER BIMENTUM ALTRX $1,900.00 $1,300.00 $1,250.00 $1,200.00;
SHOULDERS - PRIMARY SHOULDERS - STEM INHANCE STANDARD STEM $3,730.00 $3,450.00 $2,875.00 $2,775.00;
SHOULDERS - PRIMARY SHOULDERS - STEM GLOBAL ICON STEMLESS $4,980.00 $4,616.00 $3,899.00 $3,762.00;
SHOULDERS - PRIMARY SHOULDERS - REVERSE LINER INHANCE VE POLY $1,207.50 $1,092.50 $977.50 $920.00;
SHOULDERS - PRIMARY SHOULDERS - GLENOID INHANCE VE POROUS MB &amp; SU INSERTER $3,000.00 $2,800.00 $2,600.00 $2,550.00;
SHOULDERS - PRIMARY SHOULDERS - SHELL +0 INHANCE $1,920.00 $1,780.00 $1,475.00 $1,475.00;
SHOULDERS - PRIMARY SHOULDERS - SHELL +8 INHANCE $2,495.00 $2,355.00 $2,050.00 $2,000.00;
SHOULDERS - PRIMARY SHOULDERS - GLENOSPHERE INHANCE $1,600.00 $1,500.00 $1,400.00 $1,350.00;
SHOULDERS - PRIMARY SHOULDERS - REVERSE BASEPLATE INHANCE $1,750.00 $1,600.00 $1,500.00 $1,405.00;
SHOULDERS - PRIMARY SHOULDERS - BASEPLATE AND SCREW INHANCE R-SPEED $2,030.00 $1,880.00 $1,755.00 $1,660.00;
SHOULDERS - PRIMARY SHOULDERS - SCREWS INHANCE - LOCKING &amp; NON LOCKING $150.00 $150.00 $125.00 $125.00;
SHOULDERS - PRIMARY SHOULDERS - SCREWS INHANCE - CENTRAL SCREW $280.00 $280.00 $255.00 $255.00;
SHOULDERS - PRIMARY SHOULDERS - SELF DRILLING LOCKING SCREW 4-PACK INHANCE $600.00 $600.00 $500.00 $500.00</t>
  </si>
  <si>
    <t>001030242~00084684.012</t>
  </si>
  <si>
    <t>PA Amnd sg 1-18-23.docx</t>
  </si>
  <si>
    <t xml:space="preserve">HIPS - PRIMARY HIPS - SHELL EMPHASYS GRIPTION S $1,800.00 $1,700.00 $1,500.00 $1,450.00; 
HIPS - PRIMARY HIPS - LINER AOX 28, 32, 36MM $1,140.00 $1,040.00 $825.00 $750.00 ;
HIPS - PRIMARY Hips - LINER Lg AOX 40mm $1,265.00 $1,040.00 $825.00 $750.00 </t>
  </si>
  <si>
    <t>001030242~00084684.014</t>
  </si>
  <si>
    <t>DEPUY SYNTHES SPINE &amp; TRAUMA</t>
  </si>
  <si>
    <t xml:space="preserve">PA Amend JD v2 20230123.docx </t>
  </si>
  <si>
    <t>MMARQUE68</t>
  </si>
  <si>
    <t>001030242~00084684.019</t>
  </si>
  <si>
    <t>Notice to Master IDN Agreement</t>
  </si>
  <si>
    <t>MR981 should be also in the Contract ID since the document is only Notice of Address Change from the Master IDN</t>
  </si>
  <si>
    <t>001030242~00084684.022</t>
  </si>
  <si>
    <t>032023-07</t>
  </si>
  <si>
    <t>Product Agreement (Acclarent, For IDN)</t>
  </si>
  <si>
    <t>BIEN-AIR SURGERY SA</t>
  </si>
  <si>
    <t xml:space="preserve">JNJPA MR981.docx </t>
  </si>
  <si>
    <t>3871 MOUNT ZION HOSPITAL &amp; MEDICAL CENTER 1600 DIVISADERO ST SAN FRANCISCO CA 94115;
3893 CHILDRENS HOSPITAL AND RESEARCH CENTER AT 747 52ND ST OAKLAND CA 94609;
5715 RONALD REAGAN UCLA MEDICAL CENTER 662 GAYLEY AVE LOS ANGELES CA 90024 ;
5736 UCSD MEDICAL CENTER 7197 CONVOY CT SAN DIEGO CA 92111;
5737 UCSD MEDICAL CENTER 200 W ARBOR DR SAN DIEGO CA 92103;
5751 UCI MEDICAL CENTER 101 THE CITY DR S ORANGE CA 92868;
6856 SANTA MONICA UCLA MEDICAL 1250 16TH ST SANTA MONICA CA 90404;
13930 UCSF MEDICAL CENTER 505 PARNASSUS AVE SAN FRANCISCO CA 94143;
19161 UNIVERSITY OF CALIFORNIA DAVIS MEDICAL CENTER 2315 STOCKTON BLVD SACRAMENTO CA 95817;
58200 THE REGENTS OF THE UNIVERSITY OF CALIFORNIA 9300 CAMPUS POINT DR LA JOLLA CA 92037;
323790 UCLA HEAD &amp; NECK SURGERY 1260 15TH ST #1200 SANTA MONICA CA 90404;
1080539 SMBP-PLAYA MARINA URGENT CARE 4560 ADMIRALTY WAY #100 MARINA DEL REY CA 90292;
1084579 UCLA HOSPITAL &amp; CLINIC 10833 LE CONTE AVE LOS ANGELES CA 90095;
1098830 SHILEY EYE CENTER UCSD 9415 CAMPUS POINT DR LA JOLLA CA 92093;
1104482 UCLA MEDICAL CENTER 10945 LE CONTE AVE LOS ANGELES CA 90095;
1119725 UCSF BENIOFF CHILDRENS HOSPITAL OAKLAND 2401 SHADELANDS DR WALNUT CREEK CA 94598;
1222777 UCLA-SANTA MONICA DERMPATH 2020 SANTA MONICA BLVD SANTA MONICA CA 90404;
1329321 UCSF MISSION BAY 1840 3RD ST SAN FRANCISCO CA 94158 ;
1493055 UNIVERSITY OF CALIFORNIA LOS ANGELE HEALTH VAN NUYS WAREHOUSE 16001 STRATHERN ST VAN NUYS CA 91406;
1437623 UCSD MEDICAL CENTER KOMAN OUTPATIENT PAVILION 9400 CAMPUS POINT DR LA JOLLA CA 92093;
285715 UNIVERSITY OF CALIFORNIA DAVIS MEDICAL CENTER 2521 STOCKTON BLVD #2200 SACRAMENTO CA 95817;
303051 UNIVERSITY OF CALIFORNIA DAVIS MEDICAL CENTER 2521 STOCKTON BLVD #4100 SACRAMENTO CA 95817;
5837 UNIVERSITY OF CALIFORNIA DAVIS MEDICAL CENTER 7301 14TH AVE SACRAMENTO CA 95820;
3871 MOUNT ZION HOSPITAL &amp; MEDICAL CENTER 1600 DIVISADERO ST SAN FRANCISCO CA 94115;
5755 UC IRVINE MEDICAL CENTER 2346 E WALNUT AVE FULLERTON CA 92831;
13930 UCSF OUTPATIENT SURGERY CENTER 400 PARNASSUS AVE, FL 1, A3 SAN FRANCISCO CA 94143;
1245955 UCLA Pain Management 100 Moody Ct., Suite 100 Thousand Oaks CA 91360;
UCLASBSC UCLA SOUTH BAY SURGERY CENTER 2780 SKYPARK DR STE 145 TORRANCE CA 90505;</t>
  </si>
  <si>
    <t>ACCLARENT AERA™ Eustachian Dilation System;
Relieva Scout® Multi-Sinus Dilation System;
Relieva® Spin Sinuplasty System;
Relieva CIRCA™ Ethmoid Punch;
Relieva Ultirra® Sinus Balloon Catheter;
RELIEVA TRACT™ Balloon Dilation System;
Inspira AIR® Balloon Dilation System;
Relieva Flex® Sinus Guide Catheter;
Relieva Luma Sentry® Sinus Illumination System &amp; Accessories;
Relieva Sidekick® Low Profile Sinus Guide Catheter Handles;
Acclarent® Balloon Inflation Device;
RELIEVA® SPINPLUS Nav;
ACCLARENT® ENT Navigation;
TruDi™ Suction;
TruDi™ Cable;
TruDi™ Curette;
TruDi™ Probe;
TruDi™ Patient Tracker;
TruDi® Shaver Blade;
ACCLARENT PIVOT™ Balloon Dilation System;
Bien Air Surgery SA Products - Accessories;
Bien Air Surgery SA Products - Burs;
Bien Air Surgery SA Products - Shaver Blades;</t>
  </si>
  <si>
    <t xml:space="preserve">The prices stated in the Schedule A will be held firm for the first 12 months of this agreement. At the beginning of the 13th month, the Company may increase pricing of each Product up to 3%. At the beginning of the 25th month, the Company may increase pricing of each Product up to 3%. </t>
  </si>
  <si>
    <t>The type of pricing is specified in Schedule A (Product and Pricing Tables) of this contract. |  12/15/2025 Already corrected</t>
  </si>
  <si>
    <t>001030242~00084684.023</t>
  </si>
  <si>
    <t>Product Agreement (Ethicon Neuwave™ Support)</t>
  </si>
  <si>
    <t>ETHICON NEUWAVE</t>
  </si>
  <si>
    <t>RMW 20230519 v1</t>
  </si>
  <si>
    <t>00005715 Ronald Reagan UCLA Medical Center</t>
  </si>
  <si>
    <t>Multiyear support pricing</t>
  </si>
  <si>
    <t>NW Ablation System NM15NEA00349; NM16NEA00494</t>
  </si>
  <si>
    <t>Support Pricing and Coverage. Pricing for Support for the designated coverage period is set forth in the table below. Multiyear Support will be billed annually** at the time of purchase order receipt by the Company.
**Premier Support @ $118,968.00 ($39,656.00/year) first installment to be paid with submission of initial Purchase Order. Each annual payment thereafter to be paid on the anniversary of that date.</t>
  </si>
  <si>
    <t>001030242~00084684.024</t>
  </si>
  <si>
    <t xml:space="preserve">00006856 Santa Monica UCLA Medical </t>
  </si>
  <si>
    <t>NW Ablation System NM15NEA00316</t>
  </si>
  <si>
    <t>Support Pricing and Coverage. Pricing for Support for the designated coverage period is set forth in the table below. Multiyear Support will be billed annually** at the time of purchase order receipt by the
Company. 
**Premier Support @ $59,484.00 ($19,828.00/year) first installment to be paid with submission of initial Purchase Order. Each annual payment thereafter to be paid on the anniversary of that date.</t>
  </si>
  <si>
    <t>001030242~00084684.026</t>
  </si>
  <si>
    <t>PA Amnd sg v2 6-30-23.docx</t>
  </si>
  <si>
    <t>HIPS - PRIMARY HIPS - SHELL EMPHASYS GRIPTION S $1,800.00 $1,700.00 $1,500.00 $1,450.00; 
HIPS - PRIMARY HIPS - LINER AOX 28, 32, 36MM $1,140.00 $1,040.00 $825.00 $750.00 ;
HIPS - PRIMARY Hips - LINER Lg AOX 40mm $1,265.00 $1,040.00 $825.00 $750.00;
Hips - Primary HIPS - HEAD CERAMIC ARTICUL/EZE 22.225, 28, 32, 36MM $1,400.00 $775.00 $575.00 $575.00;
Hips - Primary HIPS - HEAD LG CERAMIC ARTICUL/EZE 40MM $1,400.00 $875.00 $750.00 $700.00;
Shoulders - Primary Shoulders - GLENOID INHANCE VE Porous MB &amp; SU Inserter $2,971.00 $2,771.00 $2,571.00 $2,521.00;
VELYS - Single Use Instruments VELYS DEVICE STRL DRAPE 20 EA 451570018 1 PK $1,710.00 $1,610.00 $1,540.00 $1,510.00 1 Pack (20);
VELYS - Single Use Instruments VELYS SAT STRL DRAPE 20 EA 451570019 1 PK $1,110.00 $1,050.00 $1,000.00 $990.00 1 Pack (20);</t>
  </si>
  <si>
    <t>001030242~00084684.027</t>
  </si>
  <si>
    <t>PA RMW 20230721 V1</t>
  </si>
  <si>
    <t>00019161 University of California Davis Medical Center</t>
  </si>
  <si>
    <t>001030242~00084684.028</t>
  </si>
  <si>
    <t>Product Agreement (Depuy Synthes Power Tools)</t>
  </si>
  <si>
    <t>PA sl v1 08-09-2023</t>
  </si>
  <si>
    <t xml:space="preserve">05.003.500S Oscillating Saw Blade; 60 X 13 X 0.89mm;
05.003.503S Oscillating Saw Blade; 90 X 25 X 0.89mm;
05.003.521S Oscillating Saw Blade; 90 X 13 X 1.19mm; 
05.003.523S Oscillating Saw Blade; 90 X 25 X 1.19mm; 
05.003.524S Oscillating Saw Blade; 90 X 13-8 X 1.19mm; 
05.003.525S Oscillating Saw Blade; 90 X 21-13 X 1.19mm; 
05.003.527S Oscillating Saw Blade; 100 X 13 X 1.19mm; 
05.003.528S Oscillating Saw Blade; 100 X 19 X 1.19mm; 
05.003.529S Oscillating Saw Blade; 100 X 25 X 1.19mm; 
05.003.531S Oscillating Saw Blade; 90 X 13 X 1.27mm; 
05.003.532S Oscillating Saw Blade; 90 X 19 X 1.27mm; 
05.003.533S Oscillating Saw Blade; 90 X 25 X 1.27mm; 
05.003.534S Oscillating Saw Blade; 70 X 13-8 X 1.27mm; 
05.003.535S Oscillating Saw Blade; 90 X 21-13 X 1.27mm; 
05.003.536S Oscillating Saw Blade; 90 X 13-8 X 1.27mm; 
05.003.537S Oscillating Saw Blade; 100 X 13 X 1.27mm; 
05.003.538S Oscillating Saw Blade; 100 X 19 X 1.27mm; 
05.003.539S Oscillating Saw Blade; 100 X 25 X 1.27mm; 
05.003.553S Oscillating Saw Blade; 90 X 25 X 1.47mm; 
05.003.554S Oscillating Saw Blade; 70 X 13-8 X 1.47mm; 
05.003.556S Oscillating Saw Blade; 90 X 13-8 X 1.47mm; </t>
  </si>
  <si>
    <t>Subject to the terms and conditions of this PA, as of the PA Effective Date, the 
Company shall offer the Products to the Participants at the prices stated in Schedule A. From time to 
time, the Company may offer, in writing, additional Discounts based on a customer’s single purchases 
transaction. The component pricing is firm for the term of this agreement</t>
  </si>
  <si>
    <t>001030242~00084684.029</t>
  </si>
  <si>
    <t>PA Amendment BFP V1 7.10.2023</t>
  </si>
  <si>
    <t>001030242~00084684.030</t>
  </si>
  <si>
    <t>SPINE;
SUTURE (INCLUDING STRATAFIX);
JOINT RECONSTRUCTION;
ENDO-MECHANICAL;
MITEK SPORTS MEDICINE;
ENERGY (HARMONIC, ENSEAL AND MEGADYNE);
POWER TOOLS;
TROCARS;
TRAUMA;
TOPICAL SKIN ADHESIVES;
CMF;
HERNIA (SYNTHETIC MESH &amp; FIXATION);
WOUND DRAINAGE;
GYNECARE;
BIOSURGERY (ORC, GELATIN, POWDER, FLOWABLES, FIBRIN SEALANTS, ADVANCED PATCH);
BIOPATCH;</t>
  </si>
  <si>
    <t>EDSCR PA sg v1 8-31-23.docx</t>
  </si>
  <si>
    <t xml:space="preserve">00019161 University of California Davis </t>
  </si>
  <si>
    <t>Spine;
Suture (including Stratafix);
Joint Reconstruction;
Endo-Mechanical;
Mitek Sports Medicine;
Energy (Harmonic, EnSeal and Megadyne);
Power Tools;
Trocars;
Trauma;
Topical Skin Adhesives;
CMF;
Hernia (Synthetic Mesh &amp; Fixation);
Wound Drainage;
Gynecare;
Biosurgery (ORC, Gelatin, Powder, Flowables, Fibrin Sealants, Advanced Patch);
Biopatch;</t>
  </si>
  <si>
    <t>001030242~00084684.032</t>
  </si>
  <si>
    <t>Amendment To Product Agreement (Ethicon Linx)</t>
  </si>
  <si>
    <t>IDN PA AMENDMEMT WL 2023 FINAL</t>
  </si>
  <si>
    <t>LXMC13 LINX™13 Bead Device;
LXMC14 LINX™14 Bead Device;
LXMC15 LINX™15 Bead Device;
LXMC16 LINX™16 Bead Device;
LXMC17 LINX™17 Bead Device;
LST LINX™ Esophagus Sizing Tool (Box of 5) BX;</t>
  </si>
  <si>
    <t>The effectivity date is 10/01/2023 (12/12/2025)</t>
  </si>
  <si>
    <t>001030242~00084684.033</t>
  </si>
  <si>
    <t>602716</t>
  </si>
  <si>
    <t>PA Amendment Modify Product v1 dlr 09.14.docx</t>
  </si>
  <si>
    <t>281142 INTERMED TUBESET SCHKVLVE 24PK 24 PK $460.00;
284508 INFLOW TUBING FMS VUE 24PK 24 PK $848.00;
284610 DISP PATIENT SET FMS 24PK 24 PK $791.00</t>
  </si>
  <si>
    <t>The price noted for each Product listed is the net invoice price for the item. On a prospective basis only, the pricing for the Products listed 
below is deleted from Schedule A and replaced with the following:</t>
  </si>
  <si>
    <t>001030242~00084684.038</t>
  </si>
  <si>
    <t>Product Agreement (Endo Mechanical And Energy Innovation)</t>
  </si>
  <si>
    <t>ENDO MECHANICAL AND ENERGY INNOVATION</t>
  </si>
  <si>
    <t>PA sg v3 1-9-24.docx</t>
  </si>
  <si>
    <t xml:space="preserve">00003871 MOUNT ZION HOSPITAL &amp; MC ;
00013930 UCSF MEDICAL CENTER ;
01329321 UCSF MISSION BAY </t>
  </si>
  <si>
    <t>GST60W ENDOPATH ECHELON™ Endoscopic Linear Cutter Reload with Gripping Surface Technology;
PCEE45A Echelon Flex(TM) Powered Plus 45mm;
PCEE60A POWERED 60 ECHELON +, 280MM SHAFT;
PLEE45A Echelon Flex(TM) Powered Plus 45mm Stapler;
PLEE60A ECHELON FLEX™ Powered Plus Stapler, long length, 440mm;
PSEE45A Echelon Flex(TM) Powered Plus 45mm Stapler;
PSEE60A ECHELON FLEX™ Powered Plus Stapler, standard length, 340mm;
PVE35A ECHELON FLEX™ Powered Vascular Stapler with Advanced Placement Tip;
VASECR35 ENDOPATH ECHELON™ Vascular White Reload for Advanced Placement Tip (35mm, 4row);
HDH05 HARMONIC SCALPEL 5MM HD SHEATH;
HSA08 HS DISP HAND SWITCH ADAPTER;
HST02 HARMONIC SCAPEL TEST TIP;
SNGCB HS SYNERGY CURVED BLADE;
SNGHK HS SYNERGY DISECTING HOOK  ;
SNGHK2 HS SYNERGY COMBO HOOK BLADE;
TLB01 TORQUE LOCK BLADE WRENCH;
TTBLUE HARMONIC BLUE TEST TIP;
HAR17F HARMONIC FOCUS® Long Shears with Adaptive Tissue Technology;
HAR23 Harmonic ACEÒ 5mm Diameter Shears 23 cm Length + Adaptive Tissue Technology;
HARHD20 HARMONIC® HD 1000i Shears, 20cm Shaft Length;
HARHD36 HARMONIC® HD 1000i Shears, 36cm Shaft Length;
HAR36 Harmonic ACEÒ Laparoscopic 5mm Diameter Shears 36 cm Length + Adaptive Tissue Technology;
HAR9F HS FOCUS 9CM PLUS ADAPTIVE;
HAR1120 HARMONIC 1100 SHEARS 20 CM SHAFT;
HAR1136 HARMONIC 1100 SHEARS 36CM SHAFT;
HARH23 HARMONIC ACE PLUS 7 W ADV HEMOSTASIS;
HARH36 HARMONIC ACE PLUS 7 W ADV HEMOSTASIS;
HARH45 HARMONIC ACE PLUS 7 W ADV HEMOSTASIS;
NSLX120L ENSEAL X1 Large Jaw Tissue Sealer;
NSLX125C ENSEAL X1 Curved;
NSLX125S ENSEAL® X1 STRAIGHT;
NSLX137C ENSEAL X1 Curved;
NSLX137S ENSEAL® X1 STRAIGHT;
NSLX145C ENSEAL X1 Curved;
CDH23P ECHELON CIRCULAR™ Powered Staper, 23mm Circular Stapler;
CDH25P ECHELON CIRCULAR™ Powered Staper, 25mm Circular Stapler;
CDH29P ECHELON CIRCULAR™ Powered Staper, 29mm Circular Stapler;
CDH31P ECHELON CIRCULAR™ Powered Staper, 31mm Circular Stapler;
ECH45C ECHELON 3000 45mm Compact;
ECH45L ECHELON 3000 45mm Long;
ECH45S ECHELON 3000 45mm Standard;
ECH60C ECHELON 3000 60mm Compact;
ECH60L ECHELON 3000 60mm Long;
ECH60R ECHELON 60MM REINFORCEMENT;
ECH60S ECHELON 3000 60mm Standard;
ECR45M GRAY RELOAD FOR 45mm ECHELON;
ECR60M GRAY RELOAD FOR 60MM ECHELON;
GCR40B ECHELON CONTOUR GST RELOAD BLUE;
GCR40G ECHELON CONTOUR GST RELOAD GREEN;
GCS40B ECHELON CONTOUR W/ BLUE RELOAD;
GCS40G ECHELON CONTOUR W/ GREEN RELOAD $5,405.61;
GST45D Endopath Echelon™ 45mm Reload with Gripping Surface Technology;
GST45G Endopath Echelon™ 45mm Reload with Gripping Surface Technology;
GST45T Endopath Echelon™ 45mm Reload with Gripping Surface Technology;
GST45W Endopath Echelon™ 45mm Reload with Gripping Surface Technology;
GST60B ENDOPATH ECHELON™ Endoscopic Linear Cutter Reload with Gripping Surface Technology (GST), 60mm, Blue;
GST60D ENDOPATH ECHELON™ Endoscopic Linear Cutter Reload with Gripping Surface;
Technology(GST), 60mm, Gold;
GST60G ENDOPATH ECHELON™ Endoscopic Linear Cutter Reload with Gripping Surface Technology (GST), 60mm, Green;
GST60T ENDOPATH ECHELON™ Endoscopic Linear Cutter Reload with Gripping Surface Technology (GST), 60mm, Black;
GST45B Endopath Echelon™ 45mm Reload with Gripping Surface Technology;</t>
  </si>
  <si>
    <t>Subject to the terms and conditions of this PA, the Company shall offer the 
Products to the Participants at the Discounts stated in the Schedule A1. Pricing is firm for the initial term 
of this PA._x000D_</t>
  </si>
  <si>
    <t>001030242~00084684.041</t>
  </si>
  <si>
    <t>Notice Of Product Agreement (Acclarent)</t>
  </si>
  <si>
    <t>Notice of Product Agreement</t>
  </si>
  <si>
    <t>3871 MOUNT ZION HOSPITAL &amp; MEDICAL CENTER 1600 DIVISADERO ST SAN FRANCISCO CA 94115;
3893 CHILDRENS HOSPITAL AND RESEARCH CENTER AT 747 52ND ST OAKLAND CA 94609;
5715 RONALD REAGAN UCLA MEDICAL CENTER 662 GAYLEY AVE LOS ANGELES CA 90024 ;
5736 UCSD MEDICAL CENTER 7197 CONVOY CT SAN DIEGO CA 92111;
5737 UCSD MEDICAL CENTER 200 W ARBOR DR SAN DIEGO CA 92103;
5751 UCI MEDICAL CENTER 101 THE CITY DR S ORANGE CA 92868;
6856 SANTA MONICA UCLA MEDICAL 1250 16TH ST SANTA MONICA CA 90404;
13930 UCSF MEDICAL CENTER 505 PARNASSUS AVE SAN FRANCISCO CA 94143;
19161 UNIVERSITY OF CALIFORNIA DAVIS MEDICAL CENTER 2315 STOCKTON BLVD SACRAMENTO CA 95817;
58200 THE REGENTS OF THE UNIVERSITY OF CALIFORNIA 9300 CAMPUS POINT DR LA JOLLA CA 92037;
323790 UCLA HEAD &amp; NECK SURGERY 1260 15TH ST #1200 SANTA MONICA CA 90404;
1080539 SMBP-PLAYA MARINA URGENT CARE 4560 ADMIRALTY WAY #100 MARINA DEL REY CA 90292;
1084579 UCLA HOSPITAL &amp; CLINIC 10833 LE CONTE AVE LOS ANGELES CA 90095;
1098830 SHILEY EYE CENTER UCSD 9415 CAMPUS POINT DR LA JOLLA CA 92093;
1104482 UCLA MEDICAL CENTER 10945 LE CONTE AVE LOS ANGELES CA 90095;
1119725 UCSF BENIOFF CHILDRENS HOSPITAL OAKLAND 2401 SHADELANDS DR WALNUT CREEK CA 94598;
1222777 UCLA-SANTA MONICA DERMPATH 2020 SANTA MONICA BLVD SANTA MONICA CA 90404;
1329321 UCSF MISSION BAY 1840 3RD ST SAN FRANCISCO CA 94158 ;
1493055 UNIVERSITY OF CALIFORNIA LOS ANGELE HEALTH VAN NUYS WAREHOUSE 16001 STRATHERN ST VAN NUYS CA 91406;
1437623 UCSD MEDICAL CENTER KOMAN OUTPATIENT PAVILION 9400 CAMPUS POINT DR LA JOLLA CA 92093;
285715 UNIVERSITY OF CALIFORNIA DAVIS MEDICAL CENTER 2521 STOCKTON BLVD #2200 SACRAMENTO CA 95817;
303051 UNIVERSITY OF CALIFORNIA DAVIS MEDICAL CENTER 2521 STOCKTON BLVD #4100 SACRAMENTO CA 95817;
5837 UNIVERSITY OF CALIFORNIA DAVIS MEDICAL CENTER 7301 14TH AVE SACRAMENTO CA 95820;
3871 MOUNT ZION HOSPITAL &amp; MEDICAL CENTER 1600 DIVISADERO ST SAN FRANCISCO CA 94115;
5755 UC IRVINE MEDICAL CENTER 2346 E WALNUT AVE FULLERTON CA 92831;
13930 UCSF OUTPATIENT SURGERY CENTER 400 PARNASSUS AVE, FL 1, A3 SAN FRANCISCO CA 94143;
1245955 UCLA Pain Management 100 Moody Ct., Suite 100 Thousand Oaks CA 91360;
UCLASBSC UCLA SOUTH BAY SURGERY CENTER 2780 SKYPARK DR STE 145 TORRANCE CA 90505;
BERKOCTR 01439207 BERKELEY OUTPATIENT CENTER</t>
  </si>
  <si>
    <t>001030242~00084684.043</t>
  </si>
  <si>
    <t xml:space="preserve">PA sl v1 02-07-2024 </t>
  </si>
  <si>
    <t>00005737 UCSD MEDICAL CENTER  ;
00058200 THE REGENTS OF THE UNIVERSITY OF CALIFORNIA;
00010004 UNIVERSITY OF CALIFORNIA SAN DIEGO MEDICAL CENTER;
01541233 UC SAN DIEGO EAST;
01030611 UCSD MEDICAL CENTER;</t>
  </si>
  <si>
    <t>Component Pricing</t>
  </si>
  <si>
    <t>311.102.01S TAP F/2.5MM RESORB EMERG SCREW SLF-DRLG/ADJ LNGTH/MQC-STERILE EA $679.15;
852.420.01S 2.0MM RAPID RESORBABLE STRUT PLATE 2 HOLESX10 HOLES-STERILE EA $965.60;
08.510.547S SYNPOR FAN PLATE 35MM/1.5MM THICK-STERILE EA $1,140.70;
304.744 MODULE CASE FOR 2.0MM TI MANDIBLE LOCKING PLATE SET EA $2,468.40;
60.503.001 TWINBOX BASE BONE FIXATION SYSTEM EA $698.70;
60.503.060 1.5MM BOX MODULE WITH LID AND INSERT EA $1,526.60;
690.005 CRANIOFACIAL MODULAR FIXATION SYSTEM GRAPHIC CASE EA $1,232.50;
304.105W SCREW LENGTH MARKER FOR 5MM SELF-DRILLING SCREWS EA $22.95;
690.644 INSERT TRAY FOR BASIC TROCAR SYSTEM EA $557.60;
304.124 SCREW LENGTH MARKER-24MM PK $83.30;
304.661.29 LABEL SHEET FOR 1.5MM CRANIOFACIAL MODULE EA $43.35;
304.734 CRANIOFACIAL TRAY INSERT FOR MMFS EA $347.65;
03.505.218 T5 TORX SCREWDRIVER BLADE HEX COUPLING EA $855.10;
03.507.004 3.5MM THREADED REDUCTION TOOL SELF-TAPPING 43MM HEX EA $470.90;
313.94 2.4MM SCREWDRIVER WITH HOLDING SLEEVE EA $1,159.40;
314.676 2.0MM STARDRIVE SCRWDRVR BLADE W/SPRG HLDG SLV SHRT/66MM MQC EA $1,309.85;
398.94 PLATE HOLDING FORCEPS W/FOOT EA $1,139.00;
398.202 CAPS 2.4MM PK $764.15;
399.001 PLATE HOLDING FORCEPS, LOCKING F/1.5MM &amp; 2.0MM PLATES EA $1,698.30;
60.520.001 GRAPHIC CASE/ TISSUE AND PALATAL RETRACTOR INSTRUMENTS EA $4,540.70;
306.741 SMALL PLATE MODULE LID FOR MATRIXMANDIBLE SYSTEM EA $632.40;
60.511.004 MANDIBLE MODULE LID FOR MATRIXORTHOGNATHIC SYSTEM EA $888.25;
03.511.365 BENDING TEMPLATE FOR TI MATRIX REVERSIBLE OBLIQUE L-PL/LONG EA $181.90;
306.713 INSERT TRAY F/BENDING INSTR FOR MATRIXMANDIBLE SYSTEM EA $510.85;
03.511.252 MATRIX 1.4MM DRILL BIT J-LATCH/12MM STOP/44.5MM EA $295.80;
03.511.367 BENDING TEMPLATE FOR TI MATRIX REVERSIBLE 90 DEG L-PL/MED EA $181.90;
306.638 LABEL SHEET FOR 0.8MM PLATES MATRIXMIDFACE SYSTEM EA $34.85;
306.735 LABEL SHEET FOR 306.731 MATRIXMANDIBLE INSTRUMENTS EA $42.50;
306.777 GRAPHIC CASE MEDIUM FOR MATRIXMANDIBLE SYSTEM EA $4,162.45;
03.503.368 BENDING TEMPLATE F/OBLIQUE L PLATES/2X3/MATRIXMIDFACE EA $149.60;
60.511.104 FINGER MAT F/USE W/60.511.102 FOR MATRIXCOMBO SET EA $68.85;
60.511.110 MATRIX AUXILIARY MODULE/MEDIUM FOR MATRIXMIDFACE SYSTEM EA $2,010.25;
03.503.016 MATRIXNEURO SCREWDRIVER BLADE HEX COUPLING/SELF-RETAIN/SHORT EA $977.50;
03.503.163 MATRIXMANDIBLE BENDNG TEMPLATE F/1.25MM THICK STRAIGHT PLATES EA $131.75;
03.503.164 MATRIXMANDIBLE BENDNG TEMPLATE F/1.25MM 2X2 CRESCENT PLATES EA $131.75;
60.511.018 LABEL SHEET FOR INSTR TRAY MATRIXORTHOGNATHIC SYSTEM EA $34.85;
306.774 LABEL SHEET FOR SCREW MODULE FOR MATRIXMANDIBLE SYSTEM EA $40.80;
386.907 1.8MM CLEANING STYLET F/FREER SUCTION ELEVATOR (386.906) EA $62.90;
386.908 CHEEK RETRACTOR RING/THREADED FOR 386.914 EA $521.05;
316.453 1.0MM DRILL BIT/MINI QC WITH 8MM STOP/44.5MM EA $284.75;
316.447 1.0MM DRILL BIT/STRYKER J-LTCH WITH 6MM STOP/44.5MM EA $284.75;
311.23 TAP FOR 2.4MM CORTEX SCREWS 100MM/45MM TAPPING DEPTH EA $312.80;
421.024 1.3MM TI CRANIAL STRAIGHT PL 4 HOLES/10MM MIDDLE SPACING EA $96.05;
446.014 1.5MM TI CONTOURABLE MESH PLATE/MALLEABLE/38MM X 45MM EA $2,370.65;
460.107 TI CRANIAL FLAP TUBE CLAMP TEXTURED 11MM DIA EA $553.35;
421.537S LOW PROF NEURO CONTOURABLE TI MESH/MALLEABLE/LARGE ARC-STER EA $2,290.75;
421.546S LOW PROF NEURO CONTOUR TI MESH MALLEABLE MASTOID/LRG-STERILE EA $1,781.60;
400.833E TI LOW PROFILE NEURO SCREW SELF-DRILLING 3MM EA $131.75;
04.503.096 TI MATRIXNEURO CONTOUR MESH MASTOID/SMALL/MALLEABLE EA $1,343.85;
04.503.023 TI MATRIXNEURO BURR HOLE COVER 17MM EA $431.80;
04.503.114.01 TI MATRIXNEURO EMERGENCY SCREW 4MM EA $141.10;
04.503.114.20 TI MATRIXNEURO EMERGENCY SCREW 4MM PK $2,813.50;
03.307.112 CONNECTING BAR 120MM EA $271.15;
04.315.068 BC DISTRACTOR BODY END ACT W/U-JOINT 40MM FOR CMF DSTR EA $8,963.25;
04.315.311 1.5MM CLOVERLEAF FOOT A-TYPE FOR CMF DISTRACTOR EA $1,656.65;
04.315.004 AB DISTRACTOR BODY END ACT. 20MM FOR CMF DISTRACTOR EA $8,496.60;
04.315.065 BC DISTRACTOR BODY END ACT. W/U-JOINT 25MM FOR CMF DSTR EA $8,963.25;
04.315.804.01 2.0MM TI RAISED HEAD EMERG SCR SELF-TAPPING/PLUSDRIVE®/4MM EA $305.15;
487.978 TI MULTI-VECTOR DISTRACTOR ARM 85MM EA $528.70;
449.024 2.0MM TI BROAD PLATE 4 HOLES/29MM EA $813.45;
449.017 2.0MM TI STRUT PLATE 25MM X 15MM/6 HOLES EA $1,111.80;
449.018 2.0MM TI CURVED MANDIBLE STRUT PLATE EA $1,096.50;
447.304 2.0MM TI MLP PRE-BENT TENSION BAND PLATE-MINI 4 HOLES-RIGHT EA $876.35;
401.051E 2.0MM TI CRTX SCR COARSE PITCH SLF-TPNG W/PLUSDRIVE(TM) 22MM EA $130.90;
401.062 2.0MM TI CRTX SCREW SLF-DRLG W/PLUSDRIVE(TM) RECESS 5MM PK $696.15;
401.298E 2.0MM TI LCKNG SCREW SLF-TPNG W/PLUSDRIVE(TM) RECESS 16MM EA $245.65;
449.110 2.4MM TI COMPRESSION TENSION BAND PLATE 6 HOLES/36MM EA $876.35;
04.503.905 TI MATRIXMANDIBLE PREFORMED RECON PL/LARGE/LEFT/2.5MM THK EA $5,395.80;
04.503.410.20 2.0MM TI MATRIXMANDIBLE SCREW SELF-TAPPING 10MM PK $2,503.25;
04.503.558.01 2.0MM TI MATRIXMANDIBLE SCREW FINE PITCH / 8MM EA $129.20;
04.503.466.01 2.7MM TI MATRIXMANDIBLE EMERGENCY SCREW SLF-TPNG 6MM EA $196.35;
04.503.672.01 2.9MM TI MATRIXMANDIBLE LOCKING SCREW SLF-TPNG 12MM EA $331.50;
04.503.638.01 2.4MM TI MATRIXMANDIBLE LOCKING SCREW SLF-TPNG 8MM EA $289.00;
04.503.432.01 2.4 TI MATRIXMANDIBLE SCREW STPING 38 EA $181.05;
04.503.711 TI MATRIXMANDIBLE 2X2H CRESCENT PLATE 1.25MM THICK EA $869.55;
04.503.723 TI MATRIXMANDIBLE 2X2 HOLE DCP PLATE 1.5MM THICK EA $1,163.65;
400.507 1.0MM TI MF CORTEX SCREW SELF-TAPPING W/FLUTES 7MM PK $827.90;
400.404 1.0MM TI CRTX SCREW SLF-TPNG W/PLUSDRIVE(TM) RECESS 4MM PK $878.05;
400.448E 1.3MM TI CRTX SCREW SLF-TPNG W/PLUSDRIVE(TM) RECESS 18MM EA $159.80;
400.448 1.3MM TI CRTX SCREW SLF-TPNG W/PLUSDRIVE(TM) RECESS 18MM PK $796.45;
446.20 1.5MM TI ORBITAL RIM PLATE 10 HOLES EA $635.80;
400.736E 1.5MM TI MF CORTEX SCREW SELF-TAPPING WITH FLUTES 6MM EA $113.05;
400.034 1.5MM TI CORTEX SCR SLF-TPNG WITH PLUSDRIVE(TM) RECESS 4MM PK $582.25;
400.276 2.0MM TI EMERGENCY SCREW WITH PLUSDRIVE(TM) RECESS 6MM PK $605.20;
401.156E 2.0MM TI MF CORTEX SCREW SELF-TAPPING WITH FLUTES 6MM EA $114.75;
401.166 2.0MM TI MF CORTEX SCREW SELF-TAPPING W/FLUTES 16MM PK $573.75;
04.503.238.20 TI MATRIXMIDFACE EMERGENCY SCREW 8MM PK $3,256.35;
04.503.242.05 TI MATRIXMIDFACE EMERGENCY SCREW 12MM PK $814.30;
04.503.975.01 1.7 TI MATRIXMIDFACE EMERGENCY SCREW 5 EA $164.90;
04.503.219 TI MATRIXMEDF ADAPTN PL 24H 0.5 1.3 SCR EA $1,233.35;
04.503.335 TI MATRIXMIDFACE OBLIQUE L-PL 4X6 HOLES-RIGHT/0.5MM THICK EA $589.05;
04.503.334 TI MATRIXMIDFACE OBLIQUE L-PL 4X6 HOLES-LEFT/0.5MM THICK EA $589.05;
04.503.395 TI MATRIXMIDFACE OBLIQUE L-PL 4X6 HOLES-RIGHT/0.8MM THICK EA $589.05;
447.549 2.0MM TI OBLIQUE L-PLATE/LONG MALLEABLE 2 X 2 HOLES-LEFT EA $387.60;
447.154 2.0MM TI 90 DEG L-PLATE 17MM 2 X 2 HOLES-LOW PROFILE-RIGHT EA $413.10;
447.157 2.0MM TI 90 DEG L-PLATE 19MM 2 X 2 HOLES-LOW PROFILE-LEFT EA $413.10;
04.511.345 TI MATRIX ANATOMIC L-PL/3X3 H MEDIUM/REVERSIBLE/0.7MM THK EA $537.20;
04.511.384 TI MATRIX PRE-BENT MAXILLARY PLATE/4MM ADVMNT/0.8MM THK/R EA $821.10;
04.511.335 TI MATRIX OBLIQUE L-PL/4X3H MEDIUM/REVERSIBLE/0.7MM THICK EA $513.40;
04.511.304 TI MATRIX 90 DEG L-PL/2X2 H SHORT/REVERSIBLE/0.7MM THK EA $495.55;
SD900.337 PLANNED MODEL MAXILLA - ORBITS, WHITE EA $4,732.80;
03.505.011 SCREWHOLDER INSERT FOR SCREWS 1.5 &amp; 2.0MM DIA F/90° SCRWDRVR EA $203.15;
03.505.065 1.5MM DIA DRILL BIT 14MM STOP LGTH 21MM FOR 90° SCREWDRIVER EA $525.30;
05.000.030 DD - MATRIXPRO II HAND PIECE EA $14,140.60;
04.501.114S 3.0MM TI STERNAL LOCKING SCREW SELF-DRILLING/14MM - STERILE EA $420.75;
460.027 SMALL TI STERNAL LOCKING H-PLATE/8 HOLES EA $1,416.10;
460.023 TI STERNAL LOCKING STRAIGHT PLATE-20 HOLES EA $3,215.55;
60.501.098 BASE FOR MATRIXRIB STACKABLE GRAPHIC CASE/TROCAR &amp; FORCEPS EA $409.70;
03.501.766 Ø2.2MM DRILL BIT W/16MM STOP F/90° SCRWDRVR MATRIXRIB EA $504.90;
03.501.046 2.2MM DRILL BIT STRYKER J-LATCH/WITH 16MM STOP/135MM EA $315.35;
329.652 BENDING TEMPLATE FOR 1.5MM RESORBABLE BOX PLATE EA $86.70;
08-CC184 DD-DRAPE F/COMPACT WATER BATH STERILE EA $54.40;
311.038.01S TAP F/2.0MM RESORBABLE CORTEX SCREW/(SLF-DRLG) 8MM-STERILE EA $562.70;
314.412 1.5MM CRUCIFORM BLADE WITH HOLDING SLEEVE F/RESORB SCREWS EA $1,865.75;
805.606.04S 1.5MM RAPID RESORBABLE CORTEX SCREW 6MM-STERILE PK $623.05;
851.681.01S 1.5MM RAPID RESORB SELLAR FLR PL 7MMX25MM/0.8MM THK-STERILE EA $479.40;
690.639 INSERT HOLDER EA $389.30;
304.128 SCREW LENGTH MARKER 28MM PK $83.30;
690.638 AUXILIARY INSERT TRAY EA $488.75;
304.701 LOCKING RECONSTRUCTION PLATE MODULE EA $1,762.90;
68.505.050 MATRIXMIDFACE MINI MODULE TRAY FOR 90° SCREWDRIVER EA $812.60;
03.505.222 BROKEN SCREW EXTRACTOR HEX COUPLING EA $855.10;
397.46 2.0MM/1.5MM INSERT DRILL GUIDE FOR 397.41 EA $454.75;
321.044 BENDING TEMPLATE FOR 1.3MM TI MEDIAL WALL PLATE EA $285.60;
313.852 1.5MM STARDRIVE(TM) SCRWDRVR BLD SLF-RETAIN MED/76MM HXC EA $985.15;
329.76 BENDING TEMPLATE FOR 2.4MM TI LC-DCP® PLATES, CRESCENT EA $122.40;
313.838 1.5MM STARDRIVE(TM) SCREWDRVR BLD/LONG/SLF-RET/HEX COUPLING EA $985.15;
314.688 2.0MM STARDRIVE SCRWDRVR BLADE W/SPRG HLDG SLV SHORT/79MM HXC EA $1,309.85;
03.505.211 0.5MM SLOTTED SCREWDRIVER BLD HEX COUPLING EA $855.10;
397.216 1.5MM DRILL GUIDE EA $420.75;
391.952 MESH CUTTER EA $1,827.50;
03.520.019 NEEDLE HOLDER CRILE-WOOD STYLE MEDIUM EA $504.90;
03.520.023 CALIPER CASTROVIEJO STYLE 0MM - 40MM EA $801.55;
03.511.362 BENDING TEMPLATE FOR TI MATRIX REVERSIBLE ANATOMIC L-PL/LONG EA $151.30;
60.511.016 LABEL SHEET F/MAXILLARY MODULE MATRIXORTHOGNATHIC SYSTEM EA $98.60;
60.511.103 INSTR TRAY F/GRAPHIC CASE MATRIXCOMBO/MANDIBLE INSTR EA $690.20;
03.511.342 MATRIX 1.4MM TROCAR DRILL BIT QC/18MM CALIBRATION/100MM EA $362.95;
03.503.911 MATRIXMANDIBLE BNDNG TEMPLATE F/PREFORMED RECON PL/MEDIUM EA $146.20;
03.503.902 SIZER F/MATRIXMANDIBLE PREFORMD RECON PL(04.503.902) EA $1,789.25;
306.613 1.3MM CMFS MODULE FOR MATRIXMIDFACE SYSTEM EA $1,647.30;
03.503.375 BENDING TEMPLATE F/BOX PLATES 5MMX10MM/MATRIXMIDFACE EA $98.60;
60.511.006 SCR/DRILL/BLD INSERT W/RECESS HOLES F/MATRIXORTHOGNATHIC SYS EA $699.55;
03.503.478 MATRIXMANDIBLE 2.4MM DRILL BIT J-LATCH FOR 03.503.045/.047 EA $362.95;
03.511.366 BENDING TEMPLATE FOR TI MATRIX REVERSIBLE 90 DEG L-PL/SHORT EA $181.90;
317.82 1.5MM DRILL BIT/MINI QC WITH 12MM STOP/44.5MM EA $287.30;
446.615 1.5MM TI DOUBLE Y-PLATE 6 HOLES/21MM EA $416.50;
460.009.01S TI CRANIAL FLAP TUBE CLAMP TEXTURED 18MM DIA-STERILE EA $704.65;
460.008 TI CRANIAL FLAP TUBE CLAMP TEXTURED 13MM DIA EA $586.50;
421.542S LOW PROF NEURO CONTOURABLE TI MESH/MALLEABLE/100MM DIA-STER EA $3,788.45;
421.532S LOW PROF NEURO CONTOURABLE TI MESH/RIGID/38MMX45MM-STERILE EA $2,555.10;
421.541S LOW PROF NEURO CONTOURABLE TI MESH/MALLEABLE/70MM DIA-STER EA $3,041.30;
421.553 TI LOW PROFILE NEURO BURR HOLE COVER FOR SHUNT 15MM EA $430.95;
421.541 TI LOW PROF NEURO CONTOUR MESH 70MM DIAMETER/0.4MM MALLEABLE EA $2,764.20;
400.845E TI LOW PROFILE NEURO SCREW SELF-TAPPING 5MM EA $131.75;
04.503.087 TI MATRIXNEURO CONTOUR MESH LARGE ARC/0.4MM MALLEABLE EA $2,158.15;
04.503.151S TI MATRIXNEURO PREFORMED MESH 99MM X 66MM TEMPORAL/LEFT-STER EA $5,814.00;
314.407 HEADFRAME ADJUSTMENT INSTR 72MM F/EXTERNAL MIDFACE DSTR EA $631.55;
390.126 TI SLF-DRLG MOUNTING PIN 40MM F/EXTERNAL MIDFACE DISTRACTOR EA $474.30;
390.128 TI SLF-DRLG MOUNTING PIN 50MM F/EXTERNAL MIDFACE DISTRACTOR EA $474.30;
04.315.127 REMOVABLE EXTENSION ARM-FLEX 40MM FOR CMF DISTRACTOR EA $2,610.35;
04.315.746.05 1.3MM TI RAISED HEAD SCREW SELF-DRILLING/PLUSDRIVE®/6MM PK $1,524.05;
04.315.850.01 2.4MM TI RAISED HEAD EMERG SCR SELF-TAPPING/PLUSDRIVE®/10MM EA $305.15;
04.315.772.01 1.7MM TI RAISED HEAD EMERG SCR SELF-TAPPING/PLUSDRIVE®/12MM EA $305.15;
487.973 TI MULTI VECTOR DISTRACTOR ARM 55MM EA $528.70;
387.427 CHEEK RETRACTOR RING FOR WIRE GUIDE/TISSUE PROTECTOR EA $474.30;
488.074 TI ALVEOLAR DISTRACTOR WITH STRAIGHT PLATE 8MM EA $1,841.95;
288.058 POSTERIOR FOOT-TALL 7MM OFFSET F/MAXILLARY DSTR EA $2,091.85;
487.985 TI MIDFACE DISTRACTOR-ANTERIOR FOOT ELEVATED-LEFT EA $1,705.95;
449.037 2.0MM TI DCP® PLATE 7 HOLES/48MM EA $874.65;
449.020 2.0MM TI ADAPTION PLATE 20 HOLES/119MM EA $1,241.00;
447.404 2.0MM TI MLP DOUBLE ANGLE PLATE-LARGE 4 X 20 X 4 HOLES EA $4,168.40;
447.106 2.0MM TI LARGE LOCKING PLATE 20 HOLES EA $2,272.05;
401.065E 2.0MM TI CORTEX SCREW SLF-DRLG W/PLUSDRIVE(TM) RECESS 8MM EA $139.40;
401.594 2.0MM TI TENSION BAND SCREW SELF-TAPPING 4MM PK $719.10;
449.38 2.4MM TI UNIVERSAL FRACTURE PLATE 8 HOLES/64MM EA $1,267.35;
04.305.101 4.0MM TI PRE-BENT ROD/FULL MANDIBLE EA $1,177.25;
03.305.006 ADJUSTABLE CLAMP FOR MANDIBLE EXTERNAL FIXATOR EA $886.55;
04.503.903 TI MATRIXMANDIBLE PREFORMED RECON PL/MEDIUM/LEFT/2.5MM THK EA $5,211.35;
04.503.556.01 2.0MM TI MATRIXMANDIBLE SCREW FINE PITCH / 6MM EA $129.20;
04.503.405.20 2.0MM TI MATRIXMANDIBLE SCREW SELF-TAPPING 5MM PK $2,503.25;
04.503.610.01 2.0MM TI MATRIXMANDIBLE LOCKING SCREW SLF-TPNG 10MM EA $233.75;
04.503.472.01 2.7MM TI MATRIXMANDIBLE EMERGENCY SCREW SLF-TPNG 12MM EA $196.35;
04.503.438.01 2.4MM TI MATRIXMANDIBLE SCREW SELF-TAPPING 8MM EA $181.05;
04.503.412.20 2.0MM TI MATRIXMANDIBLE SCREW SELF-TAPPING 12MM PK $2,503.25;
04.503.548.01 2.0MM TI MATRIXMANDIBLE SCREW SELF-DRILLING/LOCKING/8MM EA $241.40;
04.503.670.20 2.9MM TI MATRIXMANDIBLE LOCKING SCREW SLF-TPNG 10MM PK $6,621.50;
04.503.751 MATRIXMANDIBLE MINI PL-TENSION BAND BRD/2X3H/MALLEABLE/1.0MM EA $876.35;
04.503.717 TI MATRIXMANDIBLE 12 HOLE PLATE 1.5MM THICK EA $1,493.45;
304.708 IMF SCREW MODULE EA $1,756.95;
304.710S1 LABEL SHEET FOR ORTHOGNATHIC SCREW MODULE EA $37.40;
690.672 DISTRACTION INSTRUMENT INSERT TRAY FOR CMF DISTRACTOR EA $840.65;
304.089 AB DISTRACTOR BODY MODULE FOR CMF DISTRACTOR EA $2,232.95;
304.104W SCREW LENGTH MARKER FOR 4MM SELF-DRILLING SCREWS EA $22.95;
304.686 MODULAR FIXATION SYSTEM INSTRUMENT TRAY - UNIVERSAL EA $957.95;
03.505.210 0.25MM SLOTTED SCREWDRIVER BLD HEX COUPLING EA $855.10;
397.224 2.4MM THREADED DRILL GUIDE F/LOCKING RECONSTRUCTION PLATE EA $577.15;
397.441 1.8MM THRDD DRILL GUIDE/SHORT F/LOCKING RECONSTRUCTION PLATE EA $577.15;
347.01 BENDING TEMPLATE FOR 1.5MM TI ADAPTION PLATE EA $87.55;
313.928 2.0/2.4MM CRUCIFORM SCRWDRVR BLD/SL-RETAINNG W/HEX COUPLING EA $985.15;
397.284 2.4MM DRILL BIT W/STRYKER J-LATCH F/BASIC TROCAR SYSTEM EA $314.50;
398.66 PLATE HOLDING FORCEPS W/BALL EA $1,113.50;
03.520.010 LONG TISSUE FORCEPS DEBAKEY STYLE EA $566.10;
03.503.067 MATRIXMANDIBLE HOLDING SLEEVE SHORT FOR USE WITH 03.503.066 EA $1,458.60;
03.503.134 MATRIXMIDFACE 1.25MM DRILL BIT MQC/4MM STOP/44.5MM EA $330.65;
03.503.480 MATRIXMANDIBLE 1.8MM DRILL BIT MQC/125MM F/03.503.045/047 EA $314.50;
03.503.481 MATRIXMANDIBLE 2.4MM DRILL BIT MQC/125MM F/03.503.045/047 EA $314.50;
60.000.011 DD-MATRIXPRO DRIVER GRAPHIC CASE REPLACEMENT LID EA $476.00;
03.511.368 BENDING TEMPLATE FOR TI MATRIX REVERSIBLE 90 DEG L-PL/LONG EA $98.60;
306.783 INSERT TRAY F/1.25MM PLATES FOR MATRIXMANDIBLE SYSTEM EA $305.15;
03.503.360 BENDING TEMPLATE F/ORBITAL FLR PL/ANATOMIC/SM/MATRIXMIDFACE EA $397.80;
60.511.017 LABEL SHEET F/MANDIBLE MODULE MATRIXORTHOGNATHIC SYSTEM EA $98.60;
03.503.171 MATRIXMANDIBLE BENDNG TEMPLATE F/1.5MM 6H CRESCENT PLATES EA $131.75;
03.511.248 MATRIX 1.4MM DRILL BIT J-LATCH/8MM STOP/44.5MM EA $295.80;
310.21.98 2.0MM DRILL BIT/QC/125MM EA $184.45;
446.614 1.5MM TI DOUBLE Y-PLATE 6 HOLES/18MM EA $416.50;
421.537 TI LOW PROF NEURO CONTOUR MESH LARGE ARC/0.4MM MALLEABLE EA $2,082.50;
421.501 TI LOW PROFILE NEURO CONTOURABLE STRUT PL 8 HOLES EA $1,226.55;
400.853 TI LOW PROFILE NEURO EMERGENCY SCREW SELF-TAPPING 3MM PK $655.35;
04.503.093 TI MATRIXNEURO CONTOUR MESH 30MM DIA/0.4MM RIGID EA $1,387.20;
04.503.123 TI MATRIXNEURO CONTOUR MESH SMALL ARC/0.6MM RIGID EA $1,387.20;
04.503.115.01 TI MATRIXNEURO EMERGENCY SCREW 5MM EA $141.10;
04.315.312 1.5MM CLOVERLEAF FOOT B-TYPE FOR CMF DISTRACTOR EA $1,656.65;
04.315.511 1.3MM CLOVERLEAF FOOT A-TYPE FOR CMF DISTRACTOR EA $1,656.65;
04.315.824.01 2.0MM TI RAISED HEAD SCREW SELF-DRILLING/PLUSDRIVE®/4MM EA $305.15;
04.315.768.05 1.7MM TI RAISED HEAD EMERG SCR SELF-TAPPING/PLUSDRIVE®/8MM PK $1,524.05;
487.942 TI MULTI-VECTOR DSTR PIN HLDG CLAMP/RAMUS-LIMITED BONE STOCK EA $1,735.70;
288.059 POSTERIOR FOOT-TALL 12MM OFFSET F/MAXILLARY DSTR EA $2,091.85;
497.678E 2.4MM TI LOCKING SCREW 18MM F/LOCKING RECONSTRUCTION PLATE EA $292.40;
497.693E 3.0MM TI LOCKING SCREW 14MM F/LOCKING RECONSTRUCTION PLATE EA $335.75;
449.006 2.0MM TI NARROW PLATE 6 HOLES/42MM EA $695.30;
401.939 2.0MM TI CORTEX SCREW COARSE PITCH SELF-TAPPING 9MM PK $612.00;
401.952E 2.0MM TI CORTEX SCREW COARSE PITCH SELF-TAPPING 22MM EA $122.40;
401.794E 2.4MM TI EMERGENCY SCREW WITH PLUSDRIVE(TM) RECESS 8MM EA $138.55;
401.799E 2.4MM TI EMERGENCY SCREW WITH PLUSDRIVE(TM) RECESS 18MM EA $138.55;
401.514E 2.4MM TI CORTEX SCREW SELF-TAPPING 14MM EA $171.70;
04.503.605.20 2.0MM TI MATRIXMANDIBLE LOCKING SCREW SLF-TPNG 5MM PK $4,675.00;
04.503.638.05 2.4MM TI MATRIXMANDIBLE LOCKING SCREW SLF-TPNG 8MM PK $1,441.60;
04.503.640.05 2.4MM TI MATRIXMANDIBLE LOCKING SCREW SLF-TPNG 10MM PK $1,441.60;
04.503.648.01 2.4MM TI MATRIXMANDIBLE LOCKING SCREW SLF-TPNG 18MM EA $289.00;
04.503.614.20 2.0MM TI MATRIXMANDIBLE LOCKING SCREW SLF-TPNG 14MM PK $4,675.00;
04.503.708 TI MATRIXMANDIBLE 8 HOLE STRUT PL MALLEABLE 1.0MM THICK EA $1,037.85;
04.503.727 TI MATRIXMANDIBLE 3X3 HOLE CRESCENT PL 2.0MM THK/BRD EA $1,362.55;
400.611 1.2MM TI EMERGENCY SCREW W/FLUTED TIP 11MM PK $868.70;
400.423 1.0MM TI CRTX SCREW SLF-DRLG W/PLUSDRIVE(TM) RECESS 3MM PK $905.25;
400.624 1.3MM TI MF CORTEX SCREW SELF-TAPPING W/FLUTES 4MM PK $794.75;
400.456E 1.3MM TI CRTX SCREW SLF-DRLG W/PLUSDRIVE(TM) RECESS 6MM EA $164.90;
400.483 1.7MM TI EMERGENCY SCREW WITH PLUSDRIVE(TM) RECESS 3MM PK $827.90;
420.302 1.0MM TI ORBITAL MESH PLATE 0.2MM THICK EA $2,404.65;
446.52 1.5MM TI OBLIQUE L-PLATE 3 X 4 HOLES-LEFT EA $572.90;
401.170E 2.0MM TI MF CORTEX SCREW SELF-TAPPING WITH FLUTES 20MM EA $114.75;
401.311 2.4MM TI EMERGENCY SCREW 11MM PK $599.25;
04.503.203.01 TI MATRIXMIDFACE SCREW SELF-TAPPING 3MM EA $158.95;
04.503.944.01 1.3 TI MATRIXMIDFACE SCR SELF-DRILLING 4 EA $164.90;
04.503.357 TI MATRIXMIDFACE T-PLATE 3X4 HOLES/0.7MM THICK EA $495.55;
04.503.384 TI MATRIXMIDFACE OBLIQUE L-PL 2X3 HOLES-RIGHT/0.8MM THICK EA $555.90;
04.503.318 TI MATRIXMIDFACE DOUBLE Y-PL 6 HOLES/0.4MM THICK EA $555.90;
04.503.811S TI MATRIXMIDFACE PREFORMED ORBITAL PLATE SMALL/RIGHT-STER EA $3,204.50;
446.516 1.5MM TI L-PLATE-MALLEABLE 2 X 3 HOLES-LEFT EA $504.90;
446.048 1.5MM TI PRE-BENT MAXILLARY PLATE/9MM ADVANCEMENT-RIGHT EA $771.80;
447.044 2.0MM TI MAXILLARY L-PLATE 3 X 3 HOLES/29MM-RIGHT EA $411.40;
447.034 2.0MM TI CURVED SAGITTAL SPLIT PL-LOW PROFILE 6 HOLES/8MM BAR EA $621.35;
04.511.234.05 2.1MM TI MATRIX SCREW SELF-TAPPING/4MM PK $816.00;
04.511.238.01 2.1MM TI MATRIX SCREW SELF-TAPPING/8MM EA $163.20;
04.511.225.01 1.85MM TI MATRIX SCREW SELF-DRILLING/5MM EA $163.20;
04.511.383 TI MATRIX PRE-BENT MAXILLARY PLATE/4MM ADVMNT/0.8MM THK/L EA $821.10;
05.000.032 DD - MATRIXPRO II BATTERY RECHARGEABLE EA $2,468.40;
05.000.031S DD - MATRIXPRO II BATTERY SINGLE USE - STERILE EA $616.25;
03.000.426.98S DIAMOND CONICAL 26.8X11.0X 0.5MM FOR PIEZOELECTRIC-STER EA $543.15;
03.505.067 1.5MM DIA DRILL BIT 18MM STOP LGTH 25MM FOR 90° SCREWDRIVER EA $525.30;
04.501.214.01 2.7MM TI MATRIXRIB LCKNG SCREW SELF-DRILLING/14MM EA $377.40;
04.501.114.05 3.0MM TI STERNAL LCKNG SCREW SELF-DRILLING/14MM PK $1,557.20;
04.501.110.01 3.0MM TI STERNAL LCKNG SCREW SELF-DRILLING/10MM EA $311.95;
04.501.118S 3.0MM TI STERNAL LOCKING SCREW SELF-DRILLING/18MM - STERILE EA $420.75;
260.062LC PN LABEL CLIP FOR STERNAL RECON PLATE 260.062 EA $22.10;
03.501.703 TROCAR FOR MATRIXRIB SYSTEM EA $250.75;
XM106.0812S DD-XCM BIOLOGIC TISSUE MATRIX 8CM X 12CM/THICK-STERILE EA $4,324.80;
616.03.01S CRANIOS REINFORCED ROTARY MIX 3CC-STERILE EA $1,809.65;
305.817 DRILL BIT LABEL SHEET FOR RESORBABLE INSTRUMENT TRAYS EA $42.50;
305.818 BATTERY POWERED DRIVER INSERT EA $323.85;
806.008.04S 2.0MM RAPID RESORBABLE CORTEX SCREW 8MM-STERILE PK $623.05;
310.404S 1.7MM DRILL BIT WITH 4MM STOP J-LATCH F/RAPIDSORB IPS-STER EA $345.95;
08.510.120S SYNPOR SQUARE SHEET-STERILE 50MMX50MM/0.8MM THICK EA $696.15;
690.634 COMBINATION BENDER/CUTTERS INSERT TRAY EA $488.75;
304.763 2.4MM MANDIBLE TRAUMA PLATES INSERT TRAY EA $218.45;
306.796 SCREW PART NUMBER INSERT FOR 401.508-401.518 EA $37.40;
304.679 2.0MM COMPACT FIXATION MODULE EA $918.85;
690.637 COMBINATION BENDING PLIERS INSERT TRAY EA $488.75;
03.505.206 CRUCIFORM SCREWDRIVER BLADE HEX COUPLING/MEDIUM EA $855.10;
343.44 BENDING TEMPLATE FOR 2.0MM TI ZYGOMATIC PLATE 4 HOLES EA $86.70;
329.78 BENDING TEMPLATE FOR 2.4MM TI UNIV FRACTURE PLATES EA $122.40;
03.507.000 T-HANDLE HXC-SMALL EA $980.05;
313.806 1.3MM SCREWDRIVER BLADE HXC SLF-RETAIN PLUSDRIVE(TM) 76MM EA $985.15;
311.014 SCREWDRIVER BODY/RATCHETING EA $2,319.65;
314.682 1.5MM CRUCIFORM SCRWDRVR BLADE W/SPRING HOLDING SLV-LONG-HXC EA $1,588.65;
397.312 2.0MM PLATE HOLDER EA $1,340.45;
306.728 HOLDER F/CALIBRATED DRILL BITS MATRIXMANDIBLE SYSTEM EA $89.25;
03.503.069 MATRIXMANDIBLE HOLDING SLEEVE LONG FOR USE WITH 03.503.068 EA $1,458.60;
60.511.008 MAXILLARY GENERIC MODULE FOR MATRIXORTHOGNATHIC SYSTEM EA $1,829.20;
03.511.360 BENDING TEMPLATE FOR TI MATRIX REVERSIBLE ANATOMIC L-PL/SHORT EA $164.90;
306.787 MATRIX AUX INSERT TRAY/SMALL MANDIBLE/MIDFACE/ORTHOGNATHIC EA $298.35;
03.503.700 BENDING INSERT HOLDER FOR 03.503.080 EA $437.75;
03.503.122 MATRIXMIDFACE 1.25MM DRILL BIT J-LATCH/8MM STOP/125MM EA $330.65;</t>
  </si>
  <si>
    <t xml:space="preserve">Subject to the terms and conditions of this PA, as of the PA Effective Date, the 
Company shall offer the Products to the Participants at the prices stated on Schedule A. Refer to the List 
Price definition in Section 7 below for any increases to List Price. The component pricing is firm for the 
first Year. Thereafter, the Company shall increase the component prices by 5% on each anniversary date 
of this PA. </t>
  </si>
  <si>
    <t>The type of pricing is specified in Section 2 (Pricing) and in Schedule A (Products and Pricing) of this contract.</t>
  </si>
  <si>
    <t>001030242~00084684.044</t>
  </si>
  <si>
    <t>PA RMW 20240329 v1</t>
  </si>
  <si>
    <t>00005751 UCI Medical Center</t>
  </si>
  <si>
    <t>NEUWAVE SYSTEM SERIAL #: NM14NEA00276</t>
  </si>
  <si>
    <t>001030242~00084684.045</t>
  </si>
  <si>
    <t>Product Agreement Velys™ Hip Navigation And Robotic-Assisted Solution Placement Agreement</t>
  </si>
  <si>
    <t>VELSY ROBOTIC-ASSISTED SOLUTION EQUIPMENT</t>
  </si>
  <si>
    <t>Velys Gold Placement via Procedure PA v3 map 03.15.24</t>
  </si>
  <si>
    <t>Pay-Per-Case: Purchase Price</t>
  </si>
  <si>
    <t>451580002 CYBERMED ALL IN ONE PC 2 EA;
451580011 VHRC RC STORAGE MODULE 2 EA;
451580012 MEDICAL GRADE POWER STRIP 2 EA;
451580013 MOLDED CABLE CLEAT 2 EA;
451580014 FLUSH MOUNT FOR FLAT PANEL 2 EA;
451580015 MEDICAL GRADE SILICONE KEYBOAR 2 EA;
451580016 LUNA BNC TO VGA HMDI CONVERTER 2 EA;
451580075 EPIPHAN AV.IO 4K USB VID GRAB 2 EA;
451580018 BNC Cable - Male to Male Extension Connector 2 EA;
451580037 VHN Vari HT Cart-Stand 2 EA;
451580039 VHN Vari HT Cart-Base 2 EA;
451580073 DISPLAY PORT TO HDMI CABLE 2 EA;
451580031 DVI-A TO VGA CONNECTOR CORD 2 EA;
451580074 VGA TO HDMI CONVERTER CABLE 2 EA;
VELYS BASE STATION 451570100 2 EA;
VELYS POWER CABLE TYPE B 451570118 2 EA;
VELYS SATELLITE STATION 451570101 2 EA;
VELYS HOLDING ARM TBD* 2 EA;
DPS AL CASE FULL MID HEIGHT 480000100 4 EA;
DPS AL LID FULL 480010000 4 EA;
VELYS INSTRUMENT CASE KNEE 451570232 4 EA;
VELYS SAW HANDPIECE 451570102 4 EA;
VELYS SAW INTERFACE LEFT 451570105 4 EA;
VELYS SAW INTERFACE RIGHT 451570106 4 EA;
VELYS ARRAY CLAMP 451570107 8 EA;
VELYS ARRAY DRILL PIN INSERTER 451570108 4 EA;
VELYS DEVICE ARRAY INTERFACE 451570109 4 EA;
VELYS SAW CLEANING BASKET 451570114 4 EA;
VELYS KNEE-SAW CLEAN CAP 451570226 8 EA;
ATTUNE PAT/FEM SZ 3-10 DRILL 254500049 4 EA;
PFC SPEC1 PATELLAR CALIPER 869188 4 EA;
CAS LIGAMENT TENSOR HANDLE 129901054 4 EA;
CAS TENSOR SPACER 5MM 129901055 8 EA;
CAS TENSOR SPACER 10MM 129901056 8 EA;
CAS LIGAMENT TENSOR SIZE 2-XF 129901080 4 EA;
CAS LIGAMENT TENSOR SIZE 4-XF 129901081 4 EA;</t>
  </si>
  <si>
    <t>Customer’s commitment to
meet a requirement of performing at least 315 Procedures in Placement Year 1, 323
Procedures in Placement Year 2, 332 Procedures in Placement Year 3, 338
Procedures in Placement Year 4 and 341 Procedures in Placement Year 5</t>
  </si>
  <si>
    <t>001030242~00084684.046</t>
  </si>
  <si>
    <t>PA Amend sl v1 03-26-24.docx</t>
  </si>
  <si>
    <t>Discount Pricing and Individual Component Pricing</t>
  </si>
  <si>
    <t>Please check the type of pricing in the Excel file attached to the ZIP file. I think it should be discount pricing instead of capitated component pricing. The capitated component pricing is the type of pricing in the previous amendment.</t>
  </si>
  <si>
    <t>001030242~00084684.047</t>
  </si>
  <si>
    <t>Amendment To Product Agreement (Depuy Synthes Power Tools)</t>
  </si>
  <si>
    <t>PA Amendment sg v1 5-15-24.docx</t>
  </si>
  <si>
    <t>05.003.500S Oscillating Saw Blade, 60 X 13 X 0.89mm, for Stryker 1 EA $63.27 ;
05.003.503S Oscillating Saw Blade, 90 X 25 X 0.89mm, for Stryker 1 EA $63.27 ;
05.003.521S Oscillating Saw Blade, 90 X 13 X 1.19mm, for Stryker 1 EA $63.27 ;
05.003.523S Oscillating Saw Blade, 90 X 25 X 1.19mm, for Stryker 1 EA $63.27 ;
05.003.524S Oscillating Saw Blade, 90 X 13-8 X 1.19mm, for Stryker 1 EA $63.27 ;
05.003.525S Oscillating Saw Blade, 90 X 21-13 X 1.19mm, for Stryker 1 EA $63.27 ;
05.003.527S Oscillating Saw Blade, 100 X 13 X 1.19mm, for Stryker 1 EA $63.27 ;
05.003.528S Oscillating Saw Blade, 100 X 19 X 1.19mm, for Stryker 1 EA $63.27 ;
05.003.529S Oscillating Saw Blade, 100 X 25 X 1.19mm, for Stryker 1 EA $63.27 ;
05.003.531S Oscillating Saw Blade, 90 X 13 X 1.27mm, for Stryker 1 EA $63.27 ;
05.003.532S Oscillating Saw Blade, 90 X 19 X 1.27mm, for Stryker 1 EA $63.27 ;
05.003.533S Oscillating Saw Blade, 90 X 25 X 1.27mm, for Stryker 1 EA $63.27 ;
05.003.534S Oscillating Saw Blade, 70 X 13-8 X 1.27mm, for Stryker 1 EA $63.27 ;
05.003.535S Oscillating Saw Blade, 90 X 21-13 X 1.27mm, for Stryker 1 EA $63.27 ;
05.003.536S Oscillating Saw Blade, 90 X 13-8 X 1.27mm, for Stryker 1 EA $63.27 ;
05.003.537S Oscillating Saw Blade, 100 X 13 X 1.27mm, for Stryker 1 EA $63.27 ;
05.003.538S Oscillating Saw Blade, 100 X 19 X 1.27mm, for Stryker 1 EA $63.27 ;
05.003.539S Oscillating Saw Blade, 100 X 25 X 1.27mm, for Stryker 1 EA $63.27 ;
05.003.553S Oscillating Saw Blade, 90 X 25 X 1.47mm, for Stryker 1 EA $63.27 ;
05.003.554S Oscillating Saw Blade, 70 X 13-8 X 1.47mm, for Stryker 1 EA $63.27 ;
05.003.556S Oscillating Saw Blade, 90 X 13-8 X 1.47mm, for Stryker ;</t>
  </si>
  <si>
    <t>001030242~00084684.048</t>
  </si>
  <si>
    <t>Product Agreement (Ethicon Neuwave™ Probes)</t>
  </si>
  <si>
    <t>PROBE &amp; ACCESSORY</t>
  </si>
  <si>
    <t>PA RMW 20240306 v1</t>
  </si>
  <si>
    <t>Probes LK15 NEUWAVE LK Probe, 15CM, 17GA;
Probes LK20 NEUWAVE LK Probe, 20CM, 17GA;
Probes LN15 NEUWAVE LN Probe, 15CM, 17GA;
Probes LN20 NEUWAVE LN Probe, 20CM, 17GA;
Probes PR15 NEUWAVE PR Probe, 15CM, 17GA;
Probes PR20 NEUWAVE PR Probe, 20CM, 17GA;
Probes NWSR25 NEUWAVE SR Probe, 25CM, 13GA;
Probes LK15XT NEUWAVE LK XT Probe, 15CM, 15GA TO 17GA, Tapered;
Probes LK20XT NEUWAVE LK XT Probe, 20CM. 15GA TO 17GA, Tapered;
Probes PR15XT NEUWAVE PR XT Probe, 15CM, 15GA TO 17GA, Tapered;
Probes PR20XT NEUWAVE PR XT Probe, 20CM, 15GA TO 17GA, Tapered;
Probes PRS15 NEUWAVE Open Surgical PR Probe, 15CM, 15GA to 17GA, Tapered (2.9M Cable);
Probes PRS35* NEUWAVE Lap Surgical PR Probe, 35CM, 11GA to 13GA, Tapered (2.9M cable);
Accessories RCPK NeuWave System PTC Clip, 5 pack;</t>
  </si>
  <si>
    <t>This PA includes pricing for Probes and Accessories shown in Table 
1. As of the PA Effective Date, the Company shall offer the Customer the pricing listed for Tier 3 in Table 
1. The Tier 3 pricing shall remain firm for the first Year of this PA. If the Customer achieves at least 
$89,172.00 NCP of Probes in Year 1 of this PA, the Tier 3 pricing will be maintained for Year 2 of this PA. 
If the Customer does not achieve at least $89,172.00 NCP of Probes in Year 1, the Company will move the 
Customer to the Access pricing in Table 1 for Year 2 of this PA. The Company may at its discretion add or 
remove Products from this PA</t>
  </si>
  <si>
    <t>Please double check the product line and type of pricing. It is written in Table 1 of this contract that the probes and accessories are Neuwave. Isn't the product line Ethicon Neuwave?</t>
  </si>
  <si>
    <t>001030242~00084684.050</t>
  </si>
  <si>
    <t>Product Agreement (Endo Mechanical Innovation)</t>
  </si>
  <si>
    <t>ENDO-MECHANICAL INNOVATION</t>
  </si>
  <si>
    <t>PA sl v1 04-08-2024</t>
  </si>
  <si>
    <t>00005715 RONALD REAGAN UCLA MEDICAL CENTER; 
00006856 SANTA MONICA UCLA MEDICAL</t>
  </si>
  <si>
    <t>CDH23P ECHELON CIRCULAR POWERED STAPLER, 23MM BX 3;
CDH25P ECHELON CIRCULAR POWERED STAPLER, 25MM BX 3;
CDH29P ECHELON CIRCULAR POWERED STAPLER, 29MM BX 3;
CDH31P ECHELON CIRCULAR POWERED STAPLER, 31MM BX 3;
GST45B GST BLUE RELOAD, 45MM, 6 ROW BX 12 50.00%;
GST45D GST GOLD RELOAD, 45MM, 6 ROW BX 12 50.00%;
GST45G GST GREEN RELOAD, 45MM, 6 ROW BX 12 50.00%;
GST45T GST BLACK RELOAD, 45MM, 6 ROW BX 12 50.00%;
GST45W GST WHITE RELOAD, 45MM, 6 ROW BX 12 50.00%;
GST60B ECHELON ENDO LINEAR CUTTER RELOAD (GST), 60MM, BLUE BX 12 50.00%;
GST60D ECHELON ENDO LINEAR CUTTER RELOAD (GST), 60MM, GOLD BX 12 50.00%;
GST60G ECHELON ENDO LINEAR CUTTER RELOAD (GST), 60MM, GREEN BX 12 50.00%;
GST60T ECHELON ENDO LINEAR CUTTER RELOAD GST, 60MM, BLACK BX 12 50.00%;
GST60W ECHELON ENDO LINEAR CUTTER RELOAD (GST), 60MM, WHITE BX 12 50.00%;
ECR60M GRAY RELOAD FOR 60MM ECHELON BX 12 50.00%;
ECR45M ECHELON 45MM RELOAD - GRAY BX 12 50.00%;
PCEE45A POWERED PLUS COMPACT 45 BX 3 50.00%  ;
PCEE60A POWERED 60 ECHELON +, 280MM SHAFT BX 3 50.00%;
PLEE45A POWERED PLUS LONG 45 BX 3 50.00%;
PLEE60A ECHELON FLEX POWERED PLUS STAPLER, LONG LENGTH, 440MM BX 3 50.00%  ;
PSEE45A POWERED PLUS STANDARD 45 BX 3 50.00%;
PSEE60A ECHELON FLEX POWERED PLUS STAPLER, STANDARD LENGTH, 340MM BX 3 50.00%;
ECH45C ECHELON 3000 45mm;
Compact BX 3 50.00%;
ECH45S ECHELON 3000 45mm Standard BX 3 50.00%;
ECH45L ECHELON 3000 45mm Long;
ECH60C ECHELON 3000 60mm Compact BX 3 50.00% $3,898.79;
ECH60S;
ECHELON 3000 60mm;
Standard BX 3 50.00%;
ECH60L ECHELON 3000 60mm Long BX 3 50.00%  ;
PVE35A 35MM VASCULAR POWERED ENDOCUTTER BX 3 50.00%;
VASECR35 35MM VASCULAR RELOAD CARTRIDGE BX 12 50.00%  ;
ECH60R ECHELON ENDOPATH Staple Line Reinforcement 60mm BX 6  ;
GCS40B ECHELON CONTOUR CURVED CUTTER STAPLER WITH BLUE RELOAD 40MM BX 3 35.00%  ;
GCS40G ECHELON CONTOUR CURVED CUTTER STAPLER WITH GREEN RELOAD 40MM BX 3 35.00%  ;
GCR40B ECHELON CONTOUR GST RELOAD (BLUE) BX 6 35.00%  ;
GCR40G ECHELON CONTOUR GST RELOAD (GREEN);</t>
  </si>
  <si>
    <t xml:space="preserve"> Subject to the terms and conditions of this PA, the Company shall offer the 
Products to the Participants at the Discounts stated in Schedule A. Prices at the product code level may 
be obtained by calling Johnson &amp; Johnson Health Care Systems Customer Service at 800-255-2500 or 
As of the PA Effective Date, the Discounts will be applied to List Price in 
effect at the time of sale (TOS). </t>
  </si>
  <si>
    <t>001030242~00084684.052</t>
  </si>
  <si>
    <t>PA Amend sl v1 05-24-24.docx</t>
  </si>
  <si>
    <t>KNEES - PRIMARY 151821032 ATTUNE MED DOME PAT 32MM POR;
KNEES - PRIMARY 151821035 ATTUNE MED DOME PAT 35MM POR $;
KNEES - PRIMARY 151821038 ATTUNE MED DOME PAT 38MM POR;
KNEES - PRIMARY 151821041 ATTUNE MED DOME PAT 41MM POR;
KNEES - PRIMARY 151811032 ATTUNE MED ANAT PAT 32MM POR;
KNEES - PRIMARY 151811035 ATTUNE MED ANAT PAT 35MM POR;
KNEES - PRIMARY 151811038 ATTUNE MED ANAT PAT 38MM POR;
KNEES - PRIMARY 151811041 ATTUNE MED ANAT PAT 41MM POR;
HIPS - PRIMARY 472544034 EMSYS LNR DM 44X34;
HIPS - PRIMARY 472546036 EMSYS LNR DM 46X36;
HIPS - PRIMARY 472548038 EMSYS LNR DM 48X38;
HIPS - PRIMARY 472550040 EMSYS LNR DM 50X40;
HIPS - PRIMARY 472552042 EMSYS LNR DM 52X42;
HIPS - PRIMARY 472554044 EMSYS LNR DM 54X44;
HIPS - PRIMARY 472556046 EMSYS LNR DM 56-58X46;
HIPS - PRIMARY 472560048 EMSYS LNR DM 60-62X48;
HIPS - PRIMARY 472564052EMSYS LNR DM 64-66X52;
HIPS - PRIMARY 473234022EMSYS HD AOX MB 34X22.225;
HIPS - PRIMARY 473236022EMSYS HD AOX MB 36X22.225;
HIPS - PRIMARY 473238022EMSYS HD AOX MB 38X22.225;
HIPS - PRIMARY 473238028EMSYS HD AOX MB 38X28;
HIPS -PRIMARY473240028EMSYS HD AOX MB 40X28;</t>
  </si>
  <si>
    <t>001030242~00084684.053</t>
  </si>
  <si>
    <t>PA sl v4 06-24-2024</t>
  </si>
  <si>
    <t>00003871 MOUNT ZION HOSPITAL &amp; MEDICAL CENTER;
00005801 UNIVERSITY OF CALIFORNIA;
00013930 UCSF MEDICAL CENTER;
01329321 UCSF MISSION BAY</t>
  </si>
  <si>
    <t>102201010 ACDF_CODA_CERVICAL PLATE - ANTERIOR - 1 LEVEL;
102201012 ACDF_CODA_CERVICAL PLATE - ANTERIOR - 1 LEVEL;
102201014 ACDF_CODA_CERVICAL PLATE - ANTERIOR - 1 LEVEL;
102201016 ACDF_CODA_CERVICAL PLATE - ANTERIOR - 1 LEVEL;
102201018 ACDF_CODA_CERVICAL PLATE - ANTERIOR - 1 LEVEL;
102201020 ACDF_CODA_CERVICAL PLATE - ANTERIOR - 1 LEVEL;
102201022 ACDF_CODA_CERVICAL PLATE - ANTERIOR - 1 LEVEL;
102201024 ACDF_CODA_CERVICAL PLATE - ANTERIOR - 1 LEVEL;
102201026 ACDF_CODA_CERVICAL PLATE - ANTERIOR - 1 LEVEL;
102201028 ACDF_CODA_CERVICAL PLATE - ANTERIOR - 1 LEVEL;
102201030 ACDF_CODA_CERVICAL PLATE - ANTERIOR - 1 LEVEL;
102202024 ACDF_CODA_CERVICAL PLATE - ANTERIOR - 2 LEVEL;
102202026 ACDF_CODA_CERVICAL PLATE - ANTERIOR - 2 LEVEL;
102202028 ACDF_CODA_CERVICAL PLATE - ANTERIOR - 2 LEVEL;
102202030 ACDF_CODA_CERVICAL PLATE - ANTERIOR - 2 LEVEL;
102202032 ACDF_CODA_CERVICAL PLATE - ANTERIOR - 2 LEVEL;
102202034 ACDF_CODA_CERVICAL PLATE - ANTERIOR - 2 LEVEL;
102202036 ACDF_CODA_CERVICAL PLATE - ANTERIOR - 2 LEVEL;
102202038 ACDF_CODA_CERVICAL PLATE - ANTERIOR - 2 LEVEL;
102202040 ACDF_CODA_CERVICAL PLATE - ANTERIOR - 2 LEVEL;
102202042 ACDF_CODA_CERVICAL PLATE - ANTERIOR - 2 LEVEL;
102202044 ACDF_CODA_CERVICAL PLATE - ANTERIOR - 2 LEVEL;
102203042 ACDF_CODA_CERVICAL PLATE - ANTERIOR - 3 LEVEL;
102203045 ACDF_CODA_CERVICAL PLATE - ANTERIOR - 3 LEVEL;
102203048 ACDF_CODA_CERVICAL PLATE - ANTERIOR - 3 LEVEL;
102203051 ACDF_CODA_CERVICAL PLATE - ANTERIOR - 3 LEVEL;
102203054 ACDF_CODA_CERVICAL PLATE - ANTERIOR - 3 LEVEL;
102203057 ACDF_CODA_CERVICAL PLATE - ANTERIOR - 3 LEVEL;
102203060 ACDF_CODA_CERVICAL PLATE - ANTERIOR - 3 LEVEL;
102203063 ACDF_CODA_CERVICAL PLATE - ANTERIOR - 3 LEVEL;
102203066 ACDF_CODA_CERVICAL PLATE - ANTERIOR - 3 LEVEL;
102204060 ACDF_CODA_CERVICAL PLATE - ANTERIOR - 4 LEVEL;
102204064 ACDF_CODA_CERVICAL PLATE - ANTERIOR - 4 LEVEL;
102204068 ACDF_CODA_CERVICAL PLATE - ANTERIOR - 4 LEVEL;
102204072 ACDF_CODA_CERVICAL PLATE - ANTERIOR - 4 LEVEL;
102204076 ACDF_CODA_CERVICAL PLATE - ANTERIOR - 4 LEVEL;
102204080 ACDF_CODA_CERVICAL PLATE - ANTERIOR - 4 LEVEL;
102204084 ACDF_CODA_CERVICAL PLATE - ANTERIOR - 4 LEVEL;
102204088 ACDF_CODA_CERVICAL PLATE - ANTERIOR - 4 LEVEL;
102205075 ACDF_CODA_CERVICAL PLATE - ANTERIOR - 5 LEVEL;
102205080 ACDF_CODA_CERVICAL PLATE - ANTERIOR - 5 LEVEL;
102205085 ACDF_CODA_CERVICAL PLATE - ANTERIOR - 5 LEVEL;
102205090 ACDF_CODA_CERVICAL PLATE - ANTERIOR - 5 LEVEL;
102205095 ACDF_CODA_CERVICAL PLATE - ANTERIOR - 5 LEVEL;
102205100 ACDF_CODA_CERVICAL PLATE - ANTERIOR - 5 LEVEL;
102205105 ACDF_CODA_CERVICAL PLATE - ANTERIOR - 5 LEVEL;
102252020 ACDF_CODA_CERVICAL PLATE - LONG SREW;
102252022 ACDF_CODA_CERVICAL PLATE - LONG SREW;
102262020 ACDF_CODA_CERVICAL PLATE - LONG SREW;
102262022 ACDF_CODA_CERVICAL PLATE - LONG SREW;
102250010 ACDF_CODA_CERVICAL PLATE - SHORT SCREW;
102250011 ACDF_CODA_CERVICAL PLATE - SHORT SCREW;
102250012 ACDF_CODA_CERVICAL PLATE - SHORT SCREW;
102250013 ACDF_CODA_CERVICAL PLATE - SHORT SCREW;
102250014 ACDF_CODA_CERVICAL PLATE - SHORT SCREW;
102250015 ACDF_CODA_CERVICAL PLATE - SHORT SCREW;
102250016 ACDF_CODA_CERVICAL PLATE - SHORT SCREW;
102250017 ACDF_CODA_CERVICAL PLATE - SHORT SCREW;
102250018 ACDF_CODA_CERVICAL PLATE - SHORT SCREW;
102252010 ACDF_CODA_CERVICAL PLATE - SHORT SCREW;
102252011 ACDF_CODA_CERVICAL PLATE - SHORT SCREW;
102252012 ACDF_CODA_CERVICAL PLATE - SHORT SCREW;
102252013 ACDF_CODA_CERVICAL PLATE - SHORT SCREW;
102252014 ACDF_CODA_CERVICAL PLATE - SHORT SCREW;
102252015 ACDF_CODA_CERVICAL PLATE - SHORT SCREW;
102252016 ACDF_CODA_CERVICAL PLATE - SHORT SCREW;
102252017 ACDF_CODA_CERVICAL PLATE - SHORT SCREW;
102252018 ACDF_CODA_CERVICAL PLATE - SHORT SCREW;
102254012 ACDF_CODA_CERVICAL PLATE - SHORT SCREW;
102254014 ACDF_CODA_CERVICAL PLATE - SHORT SCREW;
102254016 ACDF_CODA_CERVICAL PLATE - SHORT SCREW;
102254018 ACDF_CODA_CERVICAL PLATE - SHORT SCREW;
102262010 ACDF_CODA_CERVICAL PLATE - SHORT SCREW;
102262011 ACDF_CODA_CERVICAL PLATE - SHORT SCREW;
102262012 ACDF_CODA_CERVICAL PLATE - SHORT SCREW;
102262013 ACDF_CODA_CERVICAL PLATE - SHORT SCREW;
102262014 ACDF_CODA_CERVICAL PLATE - SHORT SCREW;
102262015 ACDF_CODA_CERVICAL PLATE - SHORT SCREW;
102262016 ACDF_CODA_CERVICAL PLATE - SHORT SCREW;
102262017 ACDF_CODA_CERVICAL PLATE - SHORT SCREW;
102262018 ACDF_CODA_CERVICAL PLATE - SHORT SCREW;
102264012 ACDF_CODA_CERVICAL PLATE - SHORT SCREW;
102264014 ACDF_CODA_CERVICAL PLATE - SHORT SCREW;
102264016 ACDF_CODA_CERVICAL PLATE - SHORT SCREW;
102264018 ACDF_CODA_CERVICAL PLATE - SHORT SCREW;
202220010S ACDF_CODA_DISPOSABLE ANTERIOR CERVICAL DRILL BIT;
202220012S ACDF_CODA_DISPOSABLE ANTERIOR CERVICAL DRILL BIT;
202220014S ACDF_CODA_DISPOSABLE ANTERIOR CERVICAL DRILL BIT;
202220016S ACDF_CODA_DISPOSABLE ANTERIOR CERVICAL DRILL BIT;
202220018S ACDF_CODA_DISPOSABLE ANTERIOR CERVICAL DRILL BIT;
202250100S ACDF_CODA_DISPOSABLE TEMP PIN;
202250200S ACDF_CODA_DISPOSABLE TEMP PIN;
450.114 ACDF_CSLP_CERVICAL 1 LEVEL PLATE - ANTERIOR;
450.116 ACDF_CSLP_CERVICAL 1 LEVEL PLATE - ANTERIOR;
450.118 ACDF_CSLP_CERVICAL 1 LEVEL PLATE - ANTERIOR;
450.120 ACDF_CSLP_CERVICAL 1 LEVEL PLATE - ANTERIOR;
450.122 ACDF_CSLP_CERVICAL 1 LEVEL PLATE - ANTERIOR;
450.124 ACDF_CSLP_CERVICAL 1 LEVEL PLATE - ANTERIOR;
450.126 ACDF_CSLP_CERVICAL 1 LEVEL PLATE - ANTERIOR;
450.228 ACDF_CSLP_CERVICAL 2 LEVEL PLATE - ANTERIOR;
450.231 ACDF_CSLP_CERVICAL 2 LEVEL PLATE - ANTERIOR;
450.234 ACDF_CSLP_CERVICAL 2 LEVEL PLATE - ANTERIOR;
450.237 ACDF_CSLP_CERVICAL 2 LEVEL PLATE - ANTERIOR;
450.240 ACDF_CSLP_CERVICAL 2 LEVEL PLATE - ANTERIOR;
450.243 ACDF_CSLP_CERVICAL 2 LEVEL PLATE - ANTERIOR;
450.246 ACDF_CSLP_CERVICAL 2 LEVEL PLATE - ANTERIOR;
487.33 ACDF_CSLP_CERVICAL 2 LEVEL PLATE - ANTERIOR;
487.34 ACDF_CSLP_CERVICAL 2 LEVEL PLATE - ANTERIOR;
487.35 ACDF_CSLP_CERVICAL 2 LEVEL PLATE - ANTERIOR;
450.345 ACDF_CSLP_CERVICAL 3 LEVEL PLATE - ANTERIOR;
450.348 ACDF_CSLP_CERVICAL 3 LEVEL PLATE - ANTERIOR;
450.351 ACDF_CSLP_CERVICAL 3 LEVEL PLATE - ANTERIOR;
450.354 ACDF_CSLP_CERVICAL 3 LEVEL PLATE - ANTERIOR;
450.357 ACDF_CSLP_CERVICAL 3 LEVEL PLATE - ANTERIOR;
450.360 ACDF_CSLP_CERVICAL 3 LEVEL PLATE - ANTERIOR;
450.363 ACDF_CSLP_CERVICAL 3 LEVEL PLATE - ANTERIOR;
450.366 ACDF_CSLP_CERVICAL 3 LEVEL PLATE - ANTERIOR;
450.369 ACDF_CSLP_CERVICAL 3 LEVEL PLATE - ANTERIOR;
487.36 ACDF_CSLP_CERVICAL 3 LEVEL PLATE - ANTERIOR;
487.37 ACDF_CSLP_CERVICAL 3 LEVEL PLATE - ANTERIOR;
487.66 ACDF_CSLP_CERVICAL 3 LEVEL PLATE - ANTERIOR;
487.71 ACDF_CSLP_CERVICAL 3 LEVEL PLATE - ANTERIOR;
487.72 ACDF_CSLP_CERVICAL 3 LEVEL PLATE - ANTERIOR;
450.460 ACDF_CSLP_CERVICAL 4 LEVEL PLATE - ANTERIOR;
450.464 ACDF_CSLP_CERVICAL 4 LEVEL PLATE - ANTERIOR;
450.468 ACDF_CSLP_CERVICAL 4 LEVEL PLATE - ANTERIOR;
450.472 ACDF_CSLP_CERVICAL 4 LEVEL PLATE - ANTERIOR;
450.476 ACDF_CSLP_CERVICAL 4 LEVEL PLATE - ANTERIOR;
450.480 ACDF_CSLP_CERVICAL 4 LEVEL PLATE - ANTERIOR;
450.484 ACDF_CSLP_CERVICAL 4 LEVEL PLATE - ANTERIOR;
487.67 ACDF_CSLP_CERVICAL 4 LEVEL PLATE - ANTERIOR;
487.68 ACDF_CSLP_CERVICAL 4 LEVEL PLATE - ANTERIOR;
487.69 ACDF_CSLP_CERVICAL 4 LEVEL PLATE - ANTERIOR;
487.70 ACDF_CSLP_CERVICAL 4 LEVEL PLATE - ANTERIOR;
450.012 ACDF_CSLP_CERVICAL PLATE - EXPANSION SHORT SCREW;
450.016 ACDF_CSLP_CERVICAL PLATE - EXPANSION SHORT SCREW;
450.127 ACDF_CSLP_CERVICAL PLATE - EXPANSION SHORT SCREW;
450.128 ACDF_CSLP_CERVICAL PLATE - EXPANSION SHORT SCREW;
450.131 ACDF_CSLP_CERVICAL PLATE - EXPANSION SHORT SCREW;
450.132 ACDF_CSLP_CERVICAL PLATE - EXPANSION SHORT SCREW;
450.133 ACDF_CSLP_CERVICAL PLATE - EXPANSION SHORT SCREW;
450.134 ACDF_CSLP_CERVICAL PLATE - EXPANSION SHORT SCREW;
450.135 ACDF_CSLP_CERVICAL PLATE - EXPANSION SHORT SCREW;
450.136 ACDF_CSLP_CERVICAL PLATE - EXPANSION SHORT SCREW;
450.137 ACDF_CSLP_CERVICAL PLATE - EXPANSION SHORT SCREW;
450.138 ACDF_CSLP_CERVICAL PLATE - EXPANSION SHORT SCREW;
450.139 ACDF_CSLP_CERVICAL PLATE - EXPANSION SHORT SCREW;
450.141 ACDF_CSLP_CERVICAL PLATE - EXPANSION SHORT SCREW;
450.142 ACDF_CSLP_CERVICAL PLATE - EXPANSION SHORT SCREW;
450.143 ACDF_CSLP_CERVICAL PLATE - EXPANSION SHORT SCREW;
450.144 ACDF_CSLP_CERVICAL PLATE - EXPANSION SHORT SCREW;
450.145 ACDF_CSLP_CERVICAL PLATE - EXPANSION SHORT SCREW;
450.146 ACDF_CSLP_CERVICAL PLATE - EXPANSION SHORT SCREW;
450.147 ACDF_CSLP_CERVICAL PLATE - EXPANSION SHORT SCREW;
450.148 ACDF_CSLP_CERVICAL PLATE - EXPANSION SHORT SCREW;
451.012 ACDF_CSLP_CERVICAL PLATE - EXPANSION SHORT SCREW;
451.016 ACDF_CSLP_CERVICAL PLATE - EXPANSION SHORT SCREW;
487.04 ACDF_CSLP_CERVICAL PLATE - EXPANSION SHORT SCREW;
04.610.120 ACDF_CSLP_CERVICAL PLATE - QUICK LOCK LONG SCREW;
04.610.220 ACDF_CSLP_CERVICAL PLATE - QUICK LOCK LONG SCREW;
04.610.520 ACDF_CSLP_CERVICAL PLATE - QUICK LOCK LONG SCREW;
04.610.620 ACDF_CSLP_CERVICAL PLATE - QUICK LOCK LONG SCREW;
450.129 ACDF_CSLP_CERVICAL PLATE - QUICK LOCK LONG SCREW;
450.149 ACDF_CSLP_CERVICAL PLATE - QUICK LOCK LONG SCREW;
04.610.112 ACDF_CSLP_CERVICAL PLATE - QUICK LOCK SHORT SCREW;
04.610.114 ACDF_CSLP_CERVICAL PLATE - QUICK LOCK SHORT SCREW;
04.610.116 ACDF_CSLP_CERVICAL PLATE - QUICK LOCK SHORT SCREW;
04.610.118 ACDF_CSLP_CERVICAL PLATE - QUICK LOCK SHORT SCREW;
04.610.212 ACDF_CSLP_CERVICAL PLATE - QUICK LOCK SHORT SCREW;
04.610.214 ACDF_CSLP_CERVICAL PLATE - QUICK LOCK SHORT SCREW;
04.610.216 ACDF_CSLP_CERVICAL PLATE - QUICK LOCK SHORT SCREW;
04.610.218 ACDF_CSLP_CERVICAL PLATE - QUICK LOCK SHORT SCREW;
04.610.512 ACDF_CSLP_CERVICAL PLATE - QUICK LOCK SHORT SCREW;
04.610.514 ACDF_CSLP_CERVICAL PLATE - QUICK LOCK SHORT SCREW;
04.610.516 ACDF_CSLP_CERVICAL PLATE - QUICK LOCK SHORT SCREW;
04.610.518 ACDF_CSLP_CERVICAL PLATE - QUICK LOCK SHORT SCREW;
04.610.612 ACDF_CSLP_CERVICAL PLATE - QUICK LOCK SHORT SCREW;
04.610.614 ACDF_CSLP_CERVICAL PLATE - QUICK LOCK SHORT SCREW;
04.610.616 ACDF_CSLP_CERVICAL PLATE - QUICK LOCK SHORT SCREW;
04.610.618 ACDF_CSLP_CERVICAL PLATE - QUICK LOCK SHORT SCREW;
497.78 ACDF_CSLP_CERVICAL PLATE - SET SCREW;
487.042 ACDF_CSLP_CERVICAL PLATE - SHORT SCREW;
487.044 ACDF_CSLP_CERVICAL PLATE - SHORT SCREW;
487.046 ACDF_CSLP_CERVICAL PLATE - SHORT SCREW;
487.052 ACDF_CSLP_CERVICAL PLATE - SHORT SCREW;
487.054 ACDF_CSLP_CERVICAL PLATE - SHORT SCREW;
487.056 ACDF_CSLP_CERVICAL PLATE - SHORT SCREW;
488.814 ACDF_CSLP_CERVICAL PLATE - SHORT SCREW;
489.140 ACDF_CSLP_CERVICAL PLATE - SHORT SCREW;
487.212 ACDF_CSLP_CERVICAL SMALL STATURE 1 LEVEL PLATE - ANTERIOR;
487.213 ACDF_CSLP_CERVICAL SMALL STATURE 1 LEVEL PLATE - ANTERIOR;
487.214 ACDF_CSLP_CERVICAL SMALL STATURE 1 LEVEL PLATE - ANTERIOR;
487.215 ACDF_CSLP_CERVICAL SMALL STATURE 1 LEVEL PLATE - ANTERIOR;
487.222 ACDF_CSLP_CERVICAL SMALL STATURE 1 LEVEL PLATE - ANTERIOR;
487.223 ACDF_CSLP_CERVICAL SMALL STATURE 1 LEVEL PLATE - ANTERIOR;
487.224 ACDF_CSLP_CERVICAL SMALL STATURE 1 LEVEL PLATE - ANTERIOR;
487.225 ACDF_CSLP_CERVICAL SMALL STATURE 1 LEVEL PLATE - ANTERIOR;
487.28 ACDF_CSLP_CERVICAL SMALL STATURE 1 LEVEL PLATE - ANTERIOR;
487.29 ACDF_CSLP_CERVICAL SMALL STATURE 1 LEVEL PLATE - ANTERIOR;
487.30 ACDF_CSLP_CERVICAL SMALL STATURE 1 LEVEL PLATE - ANTERIOR;
487.216 ACDF_CSLP_CERVICAL SMALL STATURE 2 LEVEL PLATE - ANTERIOR;
487.217 ACDF_CSLP_CERVICAL SMALL STATURE 2 LEVEL PLATE - ANTERIOR;
487.218 ACDF_CSLP_CERVICAL SMALL STATURE 2 LEVEL PLATE - ANTERIOR;
487.226 ACDF_CSLP_CERVICAL SMALL STATURE 2 LEVEL PLATE - ANTERIOR;
487.227 ACDF_CSLP_CERVICAL SMALL STATURE 2 LEVEL PLATE - ANTERIOR;
487.228 ACDF_CSLP_CERVICAL SMALL STATURE 2 LEVEL PLATE - ANTERIOR;
487.236 ACDF_CSLP_CERVICAL SMALL STATURE 2 LEVEL PLATE - ANTERIOR;
487.237 ACDF_CSLP_CERVICAL SMALL STATURE 2 LEVEL PLATE - ANTERIOR;
487.238 ACDF_CSLP_CERVICAL SMALL STATURE 2 LEVEL PLATE - ANTERIOR;
487.339 ACDF_CSLP_CERVICAL SMALL STATURE 3 LEVEL PLATE - ANTERIOR;
487.342 ACDF_CSLP_CERVICAL SMALL STATURE 3 LEVEL PLATE - ANTERIOR;
487.345 ACDF_CSLP_CERVICAL SMALL STATURE 3 LEVEL PLATE - ANTERIOR;
487.348 ACDF_CSLP_CERVICAL SMALL STATURE 3 LEVEL PLATE - ANTERIOR;
487.351 ACDF_CSLP_CERVICAL SMALL STATURE 3 LEVEL PLATE - ANTERIOR;
487.354 ACDF_CSLP_CERVICAL SMALL STATURE 3 LEVEL PLATE - ANTERIOR;
487.355 ACDF_CSLP_CERVICAL SMALL STATURE 3 LEVEL PLATE - ANTERIOR;
487.356 ACDF_CSLP_CERVICAL SMALL STATURE 3 LEVEL PLATE - ANTERIOR;
487.357 ACDF_CSLP_CERVICAL SMALL STATURE 3 LEVEL PLATE - ANTERIOR;
487.358 ACDF_CSLP_CERVICAL SMALL STATURE 3 LEVEL PLATE - ANTERIOR;
487.359 ACDF_CSLP_CERVICAL SMALL STATURE 3 LEVEL PLATE - ANTERIOR;
450.151 ACDF_CSLP_CERVICAL VARIABLE ANGLE 1 LEVEL PLATE - ANTERIOR;
450.152 ACDF_CSLP_CERVICAL VARIABLE ANGLE 1 LEVEL PLATE - ANTERIOR;
450.153 ACDF_CSLP_CERVICAL VARIABLE ANGLE 1 LEVEL PLATE - ANTERIOR;
450.154 ACDF_CSLP_CERVICAL VARIABLE ANGLE 1 LEVEL PLATE - ANTERIOR;
450.155 ACDF_CSLP_CERVICAL VARIABLE ANGLE 1 LEVEL PLATE - ANTERIOR;
450.156 ACDF_CSLP_CERVICAL VARIABLE ANGLE 1 LEVEL PLATE - ANTERIOR;
450.157 ACDF_CSLP_CERVICAL VARIABLE ANGLE 1 LEVEL PLATE - ANTERIOR;
450.161 ACDF_CSLP_CERVICAL VARIABLE ANGLE 2 LEVEL PLATE - ANTERIOR;
450.162 ACDF_CSLP_CERVICAL VARIABLE ANGLE 2 LEVEL PLATE - ANTERIOR;
450.163 ACDF_CSLP_CERVICAL VARIABLE ANGLE 2 LEVEL PLATE - ANTERIOR;
450.164 ACDF_CSLP_CERVICAL VARIABLE ANGLE 2 LEVEL PLATE - ANTERIOR;
450.165 ACDF_CSLP_CERVICAL VARIABLE ANGLE 2 LEVEL PLATE - ANTERIOR;
450.166 ACDF_CSLP_CERVICAL VARIABLE ANGLE 2 LEVEL PLATE - ANTERIOR;
450.167 ACDF_CSLP_CERVICAL VARIABLE ANGLE 3 LEVEL PLATE - ANTERIOR;
450.171 ACDF_CSLP_CERVICAL VARIABLE ANGLE 3 LEVEL PLATE - ANTERIOR;
450.172 ACDF_CSLP_CERVICAL VARIABLE ANGLE 3 LEVEL PLATE - ANTERIOR;
450.173 ACDF_CSLP_CERVICAL VARIABLE ANGLE 3 LEVEL PLATE - ANTERIOR;
450.174 ACDF_CSLP_CERVICAL VARIABLE ANGLE 3 LEVEL PLATE - ANTERIOR;
450.175 ACDF_CSLP_CERVICAL VARIABLE ANGLE 3 LEVEL PLATE - ANTERIOR;
450.176 ACDF_CSLP_CERVICAL VARIABLE ANGLE 3 LEVEL PLATE - ANTERIOR;
450.177 ACDF_CSLP_CERVICAL VARIABLE ANGLE 3 LEVEL PLATE - ANTERIOR;
450.178 ACDF_CSLP_CERVICAL VARIABLE ANGLE 3 LEVEL PLATE - ANTERIOR;
450.179 ACDF_CSLP_CERVICAL VARIABLE ANGLE 3 LEVEL PLATE - ANTERIOR;
450.181 ACDF_CSLP_CERVICAL VARIABLE ANGLE 4 LEVEL PLATE - ANTERIOR;
450.182 ACDF_CSLP_CERVICAL VARIABLE ANGLE 4 LEVEL PLATE - ANTERIOR;
450.183 ACDF_CSLP_CERVICAL VARIABLE ANGLE 4 LEVEL PLATE - ANTERIOR;
450.184 ACDF_CSLP_CERVICAL VARIABLE ANGLE 4 LEVEL PLATE - ANTERIOR;
450.185 ACDF_CSLP_CERVICAL VARIABLE ANGLE 4 LEVEL PLATE - ANTERIOR;
450.186 ACDF_CSLP_CERVICAL VARIABLE ANGLE 4 LEVEL PLATE - ANTERIOR;
450.187 ACDF_CSLP_CERVICAL VARIABLE ANGLE 4 LEVEL PLATE - ANTERIOR;
450.188 ACDF_CSLP_CERVICAL VARIABLE ANGLE 4 LEVEL PLATE - ANTERIOR;
450.189 ACDF_CSLP_CERVICAL VARIABLE ANGLE 4 LEVEL PLATE - ANTERIOR;
450.190 ACDF_CSLP_CERVICAL VARIABLE ANGLE 4 LEVEL PLATE - ANTERIOR;
450.191 ACDF_CSLP_CERVICAL VARIABLE ANGLE 4 LEVEL PLATE - ANTERIOR;
03.600.011 ACDF_CSLP_DISPOSABLE ANTERIOR CERVICAL DRILL BIT;
324.12 ACDF_CSLP_DISPOSABLE ANTERIOR CERVICAL DRILL BIT;
324.14 ACDF_CSLP_DISPOSABLE ANTERIOR CERVICAL DRILL BIT;
324.16 ACDF_CSLP_DISPOSABLE ANTERIOR CERVICAL DRILL BIT;
387.275 ACDF_CSLP_DISPOSABLE ANTERIOR CERVICAL DRILL BIT;
325.12 ACDF_CSLP_DISPOSABLE ANTERIOR CERVICAL TAP;
325.14 ACDF_CSLP_DISPOSABLE ANTERIOR CERVICAL TAP;
387.276 ACDF_CSLP_DISPOSABLE ANTERIOR CERVICAL TAP;
387.277 ACDF_CSLP_DISPOSABLE ANTERIOR CERVICAL TAP;
387.61 ACDF_CSLP_DISPOSABLE ANTERIOR CERVICAL TAP;
387.34 ACDF_CSLP_DISPOSABLE CONICAL EXTRACTION SCREW;
387.595 ACDF_CSLP_DISPOSABLE TEMP PIN;
186801012 ACDF_SKYLINE_CERVICAL PLATE - ANTERIOR - 1 LEVEL;
186801012S ACDF_SKYLINE_CERVICAL PLATE - ANTERIOR - 1 LEVEL;
186801014 ACDF_SKYLINE_CERVICAL PLATE - ANTERIOR - 1 LEVEL;
186801014S ACDF_SKYLINE_CERVICAL PLATE - ANTERIOR - 1 LEVEL;
186801016 ACDF_SKYLINE_CERVICAL PLATE - ANTERIOR - 1 LEVEL;
186801016S ACDF_SKYLINE_CERVICAL PLATE - ANTERIOR - 1 LEVEL;
186801018 ACDF_SKYLINE_CERVICAL PLATE - ANTERIOR - 1 LEVEL;
186801018S ACDF_SKYLINE_CERVICAL PLATE - ANTERIOR - 1 LEVEL;
186801020 ACDF_SKYLINE_CERVICAL PLATE - ANTERIOR - 1 LEVEL;
186801020S ACDF_SKYLINE_CERVICAL PLATE - ANTERIOR - 1 LEVEL;
186801022 ACDF_SKYLINE_CERVICAL PLATE - ANTERIOR - 1 LEVEL;
186801022S ACDF_SKYLINE_CERVICAL PLATE - ANTERIOR - 1 LEVEL;
186801024 ACDF_SKYLINE_CERVICAL PLATE - ANTERIOR - 1 LEVEL;
186801024S ACDF_SKYLINE_CERVICAL PLATE - ANTERIOR - 1 LEVEL;
186801026 ACDF_SKYLINE_CERVICAL PLATE - ANTERIOR - 1 LEVEL;
186801026S ACDF_SKYLINE_CERVICAL PLATE - ANTERIOR - 1 LEVEL;
186801028 ACDF_SKYLINE_CERVICAL PLATE - ANTERIOR - 1 LEVEL;
186801028S ACDF_SKYLINE_CERVICAL PLATE - ANTERIOR - 1 LEVEL;
186801030 ACDF_SKYLINE_CERVICAL PLATE - ANTERIOR - 1 LEVEL;
186801030S ACDF_SKYLINE_CERVICAL PLATE - ANTERIOR - 1 LEVEL;
186802024 ACDF_SKYLINE_CERVICAL PLATE - ANTERIOR - 2 LEVEL;
186802026 ACDF_SKYLINE_CERVICAL PLATE - ANTERIOR - 2 LEVEL;
186802028 ACDF_SKYLINE_CERVICAL PLATE - ANTERIOR - 2 LEVEL;
186802028S ACDF_SKYLINE_CERVICAL PLATE - ANTERIOR - 2 LEVEL;
186802030 ACDF_SKYLINE_CERVICAL PLATE - ANTERIOR - 2 LEVEL;
186802030S ACDF_SKYLINE_CERVICAL PLATE - ANTERIOR - 2 LEVEL;
186802032 ACDF_SKYLINE_CERVICAL PLATE - ANTERIOR - 2 LEVEL;
186802032S ACDF_SKYLINE_CERVICAL PLATE - ANTERIOR - 2 LEVEL;
186802034 ACDF_SKYLINE_CERVICAL PLATE - ANTERIOR - 2 LEVEL;
186802034S ACDF_SKYLINE_CERVICAL PLATE - ANTERIOR - 2 LEVEL;
186802036 ACDF_SKYLINE_CERVICAL PLATE - ANTERIOR - 2 LEVEL;
186802036S ACDF_SKYLINE_CERVICAL PLATE - ANTERIOR - 2 LEVEL;</t>
  </si>
  <si>
    <t xml:space="preserve"> Subject to the terms and conditions of this PA, the Company shall offer the 
Products to the Participants at the prices stated on Schedule A. The component pricing is firm for the 
term of this agreement. </t>
  </si>
  <si>
    <t>Other listed prodcut are in excel</t>
  </si>
  <si>
    <t>The type of pricing is specified in Section 2 (Price) of this contract.</t>
  </si>
  <si>
    <t>001030242~00084684.054</t>
  </si>
  <si>
    <t>Amendment To Product Agreement (Ethicon Endo Mechanical And Energy)</t>
  </si>
  <si>
    <t>Amend PA v1 dlr 04.29.2024.docx</t>
  </si>
  <si>
    <t>HAR723 HARMONIC 700 SHEARS 23CM BX 1 6;
HAR736 HARMONIC 700 SHEARS 36CM BX 1 6;
HAR745 HARMONIC 700 SHEARS 45CM;GST60W ENDOPATH ECHELON™ Endoscopic Linear Cutter Reload with Gripping Surface Technology;
PCEE45A Echelon Flex(TM) Powered Plus 45mm;
PCEE60A POWERED 60 ECHELON +, 280MM SHAFT;
PLEE45A Echelon Flex(TM) Powered Plus 45mm Stapler;
PLEE60A ECHELON FLEX™ Powered Plus Stapler, long length, 440mm;
PSEE45A Echelon Flex(TM) Powered Plus 45mm Stapler;
PSEE60A ECHELON FLEX™ Powered Plus Stapler, standard length, 340mm;
PVE35A ECHELON FLEX™ Powered Vascular Stapler with Advanced Placement Tip;
VASECR35 ENDOPATH ECHELON™ Vascular White Reload for Advanced Placement Tip (35mm, 4row);
HDH05 HARMONIC SCALPEL 5MM HD SHEATH;
HSA08 HS DISP HAND SWITCH ADAPTER;
HST02 HARMONIC SCAPEL TEST TIP;
SNGCB HS SYNERGY CURVED BLADE;
SNGHK HS SYNERGY DISECTING HOOK  ;
SNGHK2 HS SYNERGY COMBO HOOK BLADE;
TLB01 TORQUE LOCK BLADE WRENCH;
TTBLUE HARMONIC BLUE TEST TIP;
HAR17F HARMONIC FOCUS® Long Shears with Adaptive Tissue Technology;
HAR23 Harmonic ACEÒ 5mm Diameter Shears 23 cm Length + Adaptive Tissue Technology;
HARHD20 HARMONIC® HD 1000i Shears, 20cm Shaft Length;
HARHD36 HARMONIC® HD 1000i Shears, 36cm Shaft Length;
HAR36 Harmonic ACEÒ Laparoscopic 5mm Diameter Shears 36 cm Length + Adaptive Tissue Technology;
HAR9F HS FOCUS 9CM PLUS ADAPTIVE;
HAR1120 HARMONIC 1100 SHEARS 20 CM SHAFT;
HAR1136 HARMONIC 1100 SHEARS 36CM SHAFT;
HARH23 HARMONIC ACE PLUS 7 W ADV HEMOSTASIS;
HARH36 HARMONIC ACE PLUS 7 W ADV HEMOSTASIS;
HARH45 HARMONIC ACE PLUS 7 W ADV HEMOSTASIS;
NSLX120L ENSEAL X1 Large Jaw Tissue Sealer;
NSLX125C ENSEAL X1 Curved;
NSLX125S ENSEAL® X1 STRAIGHT;
NSLX137C ENSEAL X1 Curved;
NSLX137S ENSEAL® X1 STRAIGHT;
NSLX145C ENSEAL X1 Curved;
CDH23P ECHELON CIRCULAR™ Powered Staper, 23mm Circular Stapler;
CDH25P ECHELON CIRCULAR™ Powered Staper, 25mm Circular Stapler;
CDH29P ECHELON CIRCULAR™ Powered Staper, 29mm Circular Stapler;
CDH31P ECHELON CIRCULAR™ Powered Staper, 31mm Circular Stapler;
ECH45C ECHELON 3000 45mm Compact;
ECH45L ECHELON 3000 45mm Long;
ECH45S ECHELON 3000 45mm Standard;
ECH60C ECHELON 3000 60mm Compact;
ECH60L ECHELON 3000 60mm Long;
ECH60R ECHELON 60MM REINFORCEMENT;
ECH60S ECHELON 3000 60mm Standard;
ECR45M GRAY RELOAD FOR 45mm ECHELON;
ECR60M GRAY RELOAD FOR 60MM ECHELON;
GCR40B ECHELON CONTOUR GST RELOAD BLUE;
GCR40G ECHELON CONTOUR GST RELOAD GREEN;
GCS40B ECHELON CONTOUR W/ BLUE RELOAD;
GCS40G ECHELON CONTOUR W/ GREEN RELOAD $5,405.61;
GST45D Endopath Echelon™ 45mm Reload with Gripping Surface Technology;
GST45G Endopath Echelon™ 45mm Reload with Gripping Surface Technology;
GST45T Endopath Echelon™ 45mm Reload with Gripping Surface Technology;
GST45W Endopath Echelon™ 45mm Reload with Gripping Surface Technology;
GST60B ENDOPATH ECHELON™ Endoscopic Linear Cutter Reload with Gripping Surface Technology (GST), 60mm, Blue;
GST60D ENDOPATH ECHELON™ Endoscopic Linear Cutter Reload with Gripping Surface;
Technology(GST), 60mm, Gold;
GST60G ENDOPATH ECHELON™ Endoscopic Linear Cutter Reload with Gripping Surface Technology (GST), 60mm, Green;
GST60T ENDOPATH ECHELON™ Endoscopic Linear Cutter Reload with Gripping Surface Technology (GST), 60mm, Black;
GST45B Endopath Echelon™ 45mm Reload with Gripping Surface Technology;</t>
  </si>
  <si>
    <t>Subject to the terms and conditions of this PA, the Company shall offer the 
Products to the Participants at the Discounts stated in the Schedule A1. Pricing is firm for the initial term 
of this PA.</t>
  </si>
  <si>
    <t>001030242~00084684.055</t>
  </si>
  <si>
    <t>PA sl v2 06-28-2024</t>
  </si>
  <si>
    <t xml:space="preserve">00003871 Mount Zion;
00013930 UCSF Medical Center;
01119725 UCSF Benioff Children's;
01329321 UCSF Mission Bay </t>
  </si>
  <si>
    <t>The Customer may be a party or beneficiary to pricing agreements (the “Pricing Agreements”), 
which specify discounts or other price concessions to which the Customer is entitled on purchases of 
certain Company or Company-affiliate Products. Other than as set forth in Section 1.7 (Termination of 
Existing Rebates) or as explicitly stated by reference to a Pricing Agreement, this agreement does not
affect the rights and obligations of the parties under any Pricing Agreement._x000D_</t>
  </si>
  <si>
    <t>001030242~00084684.056</t>
  </si>
  <si>
    <t>PA sl sg v2 7-3-24.docx</t>
  </si>
  <si>
    <t>00005801 UNIVERSITY OF CALIFORNIA;
00013930 UCSF MEDICAL CENTER;
01329321 UCSF MISSION BAY;
00080009 UCSF ORAL FACIAL SURGERY COURT;
00003871 MOUNT ZION HOSPITAL &amp; MEDICAL CENTER</t>
  </si>
  <si>
    <t>XM106.2545S DD-XCM BIO TISSUE MATRIX 25CM X45CM TH-S EA $33,027.36;
XM106.2540S DD-XCM BIO TISSUE MATRIX 25CM X40CM TH-S EA $29,357.24;
XM106.2535TCS DD-XCM BIO TISSUE MTRX 25CMX35CM TH-TC-S EA $13,836.47;
XM106.2040S DD-XCM BIO TISSUE MATRIX 20CM X40CM TH-S EA $23,485.95;
XM106.2030S DD-XCM BIO TISSUE MATRIX 20CM X30CM TH-S EA $17,614.64;
XM106.2025S DD-XCM BIO TISSUE MATRIX 20CM X25CM TH-S EA $14,678.99;
XM106.2020S DD-XCM BIO TISSUE MATRIX 20CM X20CM TH-S EA $11,743.34;
XM106.1625S DD-XCM BIO TISSUE MATRIX 16CM X25CM TH-S EA $11,743.34;
XM106.1620S DD-XCM BIO TISSUE MATRIX 16CM X20CM TH-S EA $9,394.67;
XM106.1220S DD-XCM BIO TISSUE MATRIX 12CM X20CM TH-S EA $7,046.00;
XM106.1020S DD-XCM BIO TISSUE MATRIX 10CM X20CM TH-S EA $5,871.30;
XM106.1016S DD-XCM BIO TISSUE MATRIX 10CM X16CM TH-S EA $4,697.34;
XM106.0820S DD-XCM BIO TISSUE MATRIX 8CM X 20CM TH-S EA $4,697.34;
XM106.0816S DD-XCM BIO TISSUE MATRIX 8CM X 16CM TH-S EA $3,757.72;
XM106.0812S DD-XCM BIO TISSUE MATRIX 8CM X 12CM TH-S EA $2,818.11;
XM106.0616S DD-XCM BIO TISSUE MATRIX 6CM X 16CM TH-S EA $2,818.11;
XM106.0612S DD-XCM BIO TISSUE MATRIX 6CM X 12CM TH-S EA $2,113.58;
XM106.0407S DD-XCM BIO TISSUE MATRIX 4CM X 7CM TH-S EA $822.07;
SD980.111 TRUMATCH MDFMND TI 3DPRNT ORBL KT WO PLN EA $7,474.90;
SD980.110 TRUMATCH MDFC/MND TI 3D PRNT ORBTL KIT EA $8,154.43;
SD980.109 TRUMATCH MDFC/MND TI 3D PRNT IMPL/MND/LG EA $11,416.20;
SD980.108 TRUMATCH MDFC/MND TI 3D PRNT IMPL/MND/MD EA $9,275.67;
SD980.107 TRUMATCH MDFC/MND TI 3D PRNT IMPL/MND/SM EA $7,135.13;
SD980.106 TRUMATCH MDFC/MND TI 3D PRNT IMPL/MDF/SM EA $6,795.36;
SD980.105 TRUMATCH MDFC/MND TI 3D PRNT IMPL/MDF/LG EA $10,872.58;
SD980.104 TRUMATCH MDFC/MND TI 3D PRNT GD/ ORBIT EA $2,140.54;
SD980.103 TRUMATCH MDFC/MND TI 3D PRNT IMPL/ ORBT EA $5,708.10;
SD980.021 TRUMATCH MDFC/MND TI 3D PRNT PL/ MND/LG EA $5,993.51;
SD980.020 TRUMATCH MDFC/MND TI 3D PRNT PL/ MND/M EA $5,137.29;
SD980.019 TRUMATCH MDFC/MND TI 3D PRNT PL/MND/SM EA $4,281.08;
SD980.018 TRUMATCH MIDFACE/MANDIBLE KIT ZYGOMATIC EA $6,421.62;
SD980.017 TRUMATCH MDFC/MND TI 3D PRNT GUD/MND EA $2,140.54;
SD980.016 TRUMATCH MDFC/MND TI 3D PRNT PL/MND/MINI EA $2,140.54;
SD980.015 TRUMATCH MDFC/MND TI 3D PRNT GUD/ MDFC EA $2,140.54;
SD980.014 TRUMATCH MDFC/MND TI 3D PRNT PL/ MDFC EA $2,140.54;
SD980.013 TRUMATCH ORTHGTHC KIT GENIOPLASTY/ADD-ON EA $2,690.96;
SD980.012 TRUMATCH ORTHGTHC KIT BASIC MAND/WO PLN EA $3,710.26;
SD980.011 TRUMATCH ORTHGTHC KIT BASIC MANDIBULAR EA $4,851.89;
SD980.010 TRUMATCH ORTHGTHC KIT FULL MAND/WO PLN EA $4,566.48;
SD980.009 TRUMATCH ORTHOGNATHICS KIT FL MANDIBULAR EA $5,708.10;
SD980.008 TRUMATCH ORTHGTHC KIT BSIC MAXLRY/WO PLN EA $3,710.26;
SD980.007 TRUMATCH ORTHGTHC KIT BSIC MAXILLARY EA $4,851.89;
SD980.006 TRUMATCH ORTHGTHC KIT FULL MAXLRY/WO PLN EA $4,566.48;
SD980.005 TRUMATCH ORTHGTHC KIT FULL MAXILLARY EA $5,708.10;
SD980.004 TRUMATCH ORTHGTHC KIT BSC BIMXLRY/WO PLN EA $4,994.59;
SD980.003 TRUMATCH ORTHGTHC KIT BSIC BIMAXILLARY EA $6,136.21;
SD980.002 TRUMATCH ORTHGTHC KIT FL BIMAXLRY/WO PLN EA $5,850.80;
SD980.001 TRUMATCH ORTHGTHC KIT FULL BIMAXILLARY EA $6,992.43;
SD900.469 ANATOMICAL MODEL CHILD, SKULL, PLASTER EA $1,421.52;
SD900.468 ANATOM MODEL CHILD, MAX - CRANIUM, PLAS EA $1,263.49;
SD900.467 ANATOM MODEL CHILD, MAX - ORBIT, PLAS EA $1,188.01;
SD900.466 ANATOMICAL MODEL CHILD, MAND-ORBIT, PLAS EA $1,263.49;
SD900.465 ANATOMICAL MODEL CHILD, MAND- MAX, PLAS EA $1,263.49;
SD900.464 ANATOM MODEL CHILD, CRANIAL CAP, PLAS EA $2,496.31;
SD900.463 ANATOMICAL MODEL CHILD, ORBIT, PLASTER EA $1,188.01;
SD900.462 ANATOMICAL MODEL CHILD, MAXILLA, PLASTER EA $872.73;
SD900.461 ANATOMICAL MODEL CHILD, MANDIBLE, PLAS EA $872.73;
SD900.409 ANATOMICAL MODEL SKULL, PLASTER EA $1,541.82;
SD900.408 ANATOMICAL MODEL MAXILLA - CRANIUM, PLAS EA $1,383.78;
SD900.407 ANATOMICAL MODEL MAXILLA - ORBIT, PLAS EA $1,305.95;
SD900.406 ANATOMICAL MODEL MANDIBLE - ORBIT, PLAS EA $1,383.78;
SD900.405 ANATOMICAL MODEL MANDBL - MAXILLA, PLAS EA $1,383.78;
SD900.404 ANATOMICAL MODEL CRANIAL CAP, PLASTER EA $1,383.78;
SD900.403 ANATOMICAL MODEL ORBIT, PLASTER EA $1,305.95;
SD900.402 ANATOMICAL MODEL MAXILLA, PLASTER EA $910.47;
SD900.401 ANATOMICAL MODEL MANDIBLE, PLASTER EA $1,022.90;
SD900.370 ANATOM MODEL CHILD, GRAFT SITE, WHITE EA $1,680.98;
SD900.369 ANATOMICAL MODEL CHILD, SKULL, WHITE EA $4,296.01;
SD900.368 ANATOM MODEL CHILD, MAX - CRANIUM, WHITE EA $3,071.06;
SD900.367 ANATOM MODEL CHILD, MAX - ORBIT, WHITE EA $2,296.61;
SD900.366 ANATOM MODEL CHILD, MAND-ORBIT, WHITE EA $2,641.77;
SD900.365 ANATOMICAL MODEL CHILD, MAND-MAX, WHITE EA $2,236.85;
SD900.364 ANATOM MODEL CHILD, CRANIAL CAP, WHITE EA $2,038.72;
SD900.363 ANATOMICAL MODEL CHILD, ORBIT, WHITE EA $1,792.63;
SD900.362 ANATOMICAL MODEL CHILD, MAXILLA, WHITE EA $1,495.43;
SD900.361 ANATOMICAL MODEL CHILD, MANDIBLE, WHITE EA $1,495.43;
SD900.339 PLANNED OUTCOME MODEL SKULL, WHITE EA $3,855.72;
SD900.337 PLANNED MODEL MAXILLA - ORBITS, WHITE EA $2,838.33 ;
SD900.336 PLANNED MODEL MANDIBLE - ORBITS, WHITE EA $2,526.19;
SD900.334 PLANNED OUTCOM MODL MAXIL N-FIB GRFT/WHT EA $1,684.12;
SD900.333 PLANNED OUTCOM MODL MAXILLA FIB GRFT/WHT EA $1,684.12;
SD900.332 PLANNED OUTCOM MODL MAND N-FIB GRAFT/WHT EA $1,684.12;
SD900.331 PLANNED MODEL MANDIBLE, WHITE EA $1,891.70;
SD900.310 ANATOMICAL MODEL FIBULA, WHITE EA $1,684.12;
SD900.309 ANATOMICAL MODEL SKULL, WHITE EA $4,513.81;
SD900.308 ANATOM MODEL MAXILLA - CRANIUM, WHITE EA $3,250.31;
SD900.307 ANATOMICAL MODEL MAXILLA - ORBITS, WHITE EA $2,838.33;
SD900.306 ANATOMICAL MODEL MANDBL - ORBITS, WHITE EA $3,250.31;
SD900.305 ANATOMICAL MODEL MANDBL - MAXILLA, WHITE EA $3,009.73;
SD900.304 ANATOMICAL MODEL CRANIAL CAP, WHITE EA $2,604.82;
SD900.303 ANATOMICAL MODEL ORBITS, WHITE EA $1,931.01;
SD900.302 ANATOMICAL MODEL MAXILLA, WHITE EA $1,891.70;
SD900.301 ANATOMICAL MODEL MANDIBLE, WHITE EA $1,891.70;
SD900.270 ANATOM MODEL CHILD, GRAFT SITE, CLEAR EA $1,725.80;
SD900.269 ANATOMICAL MODEL CHILD, SKULL, CLEAR EA $4,419.46;
SD900.268 ANATOM MODEL CHILD, MAXILLA/CRANIUM/CLR EA $3,158.32;
SD900.267 ANATOM MODEL CHILD, MAXILLA - ORBITS/CLR EA $2,651.99;
SD900.266 ANATOM MODEL CHILD, MAND -ORBITS/CLR EA $3,049.82;
SD900.265 ANATOM MODEL CHILD, MAND/MAXILLA/CLR EA $2,584.37;
SD900.264 ANATOM MODEL CHILD, CRANIAL CAP, CLEAR EA $2,803.74;
SD900.263 ANATOMICAL MODEL CHILD, ORBITS, CLEAR EA $2,071.74;
SD900.262 ANATOMICAL MODEL CHILD, MAXILLA, CLEAR EA $1,725.80;
SD900.261 ANATOMICAL MODEL CHILD, MANDIBLE, CLEAR EA $1,725.80;
SD900.239 PLANNED OUTCOME MODEL SKULL, CLEAR EA $4,331.39;
SD900.238 PLANNED MODEL MAXILLA - CRANIUM, CLEAR EA $3,050.84;
SD900.237 PLANNED MODEL MAXILLA - ORBITS, CLEAR EA $3,343.09;
SD900.236 PLANNED MODEL MANDIBLE - ORBITS, CLEAR EA $3,343.09;
SD900.235 PLANND OUTCOM MODL LINEAR DISTRACT/CLR EA $3,343.09;
SD900.234 PLANND OUTCOM MODL MAXILA N-FIB GRFT/CLR EA $1,945.15;
SD900.233 PLANND OUTCOM MODL MAXILLA FIB GRFT/CLR EA $1,945.15;
SD900.232 PLANND OUTCM MODL MAND NON-FIB GRAFT/CLR EA $1,945.15;
SD900.231 PLANNED OUTCOME MODEL MANDIBLE, CLEAR EA $1,945.15;
SD900.216 ANATOMICAL MODEL SPECIALTY/X-LARGE/CLEAR EA $9,003.24;
SD900.215 ANATOMICAL MODEL SPECIALTY/LARGE/CLEAR EA $5,788.30;
SD900.214 ANATOMICAL MODEL SPECIALTY/MEDIUM/CLEAR EA $3,377.69;
SD900.213 ANATOMICAL MODEL SPECIALTY/SMALL/CLEAR EA $1,607.86;
SD900.212 ANATOMICAL MODEL GRAFT SITE, CLEAR EA $1,544.96;
SD900.210 ANATOMICAL MODEL FIBULA, CLEAR EA $1,731.30 ;
SD900.209 ANATOMICAL MODEL SKULL, CLEAR EA $4,639.61;
SD900.208 ANATOM MODEL MAXILLA - CRANIUM, CLEAR EA $3,343.09;
SD900.207 ANATOMICAL MODEL MAXILLA - ORBIT, CLEAR EA $2,917.74;
SD900.206 ANATOMICAL MODEL MANDIBLE - ORBIT, CLEAR EA $3,343.09;
SD900.205 ANATOMICAL MODEL MANDBL - MAXILLA, CLEAR EA $3,097.00;
SD900.204 ANATOMICAL MODEL CRANIAL CAP, CLEAR EA $2,723.53;
SD900.203 ANATOMICAL MODEL ORBIT, CLEAR EA $2,230.56;
SD900.202 ANATOMICAL MODEL MAXILLA, CLEAR EA $1,945.15;
SD900.201 ANATOMICAL MODEL MANDIBLE, CLEAR EA $1,945.15;
SD900.111 PATIENT SPECIFIC GUIDE WITH PLANNING EA $2,375.24;
SD900.110 PATIENT SPECIFIC GUIDE CRANIUM, GRAFT EA $989.87;
SD900.109 PS GUIDE CRANIUM, FRONTAL B&amp;EAU EA $989.87;
SD900.108 PATIENT SPECIFIC GUIDE CRANIUM, FOREHEAD EA $989.87;
SD900.107 PS GUIDE DISTRACTOR POSITIONING EA $989.87;
SD900.106 PS SPLINT ORTHOGNATHIC, FINAL EA $989.87;
SD900.105 PS SPLINT ORTHOGNATHIC, INTERMEDIATE EA $989.87;
SD900.104 PATIENT SPECIFIC GUIDE MIDFACE EA $989.87;
SD900.103 PATIENT SPECIFIC GUIDE NON-FIBULA GRAFT EA $989.87;
SD900.102 PATIENT SPECIFIC GUIDE GRAFT HARVESTING EA $989.87;
SD900.101 PATIENT SPECIFIC GUIDE MANDIBLE EA $989.87;
SD900.094 SEGMENTATION SERVICE EA $467.81;
SD900.093 STL FILE TRANSFER SERVICE EA $467.81;
SD900.092 OUTCOME ANALYSIS SERVICE EA $525.99;
SD900.091 PLANNING SESSION/ORTHOGNATHIC EA $1,783.19;
SD900.090 PLANNING SESSION EA $1,187.22;
SD900.056 PS INSTR/PLAN KT MIDFACE RECON EA $2,968.06;
SD900.054 PS INSTR/PLAN KT MIDFACE RECON O MODEL EA $2,568.64;
SD900.051 PS INSTR/PLAN KT MANDBL RECON, O MODEL EA $2,568.64;
SD900.011 PS INSTR/PLAN KT CRANIFACL RECON WO MODL EA $2,672.43;
SD900.010 PS INSTR/PLAN KT CRANIOFACIAL RECON MODL EA $4,330.61;
SD900.009 PS INSTR/PLAN KT ORTHOGNTHC KIT/1 SPLINT EA $1,903.82;
SD900.008 PS INSTR/PLAN KT ORTHOGNTHC KIT/2 SPLNTS EA $1,679.18;
SD900.007 PS INSTR/PLAN KT LINEAR DISTRACTION EA $3,711.05;
SD900.006 PS INSTR/PLAN KT DISTRACTION EA $4,330.61;
SD900.005 PS INSTR/PLAN KT MAXLA RECON N-FIB GRFT EA $4,330.61;
SD900.004 PS INSTR/PLAN KT MIDFACE RECON EA $4,330.61;
SD900.003 PS INSTR/PLAN KT BASIC MANDBL RECON EA $3,093.85;
SD900.002 PS INSTR/PLAN KT MAND RECON NON-FIB GRFT EA $4,330.61;
SD900.001 PS INSTR/PLAN KT MANDBL RECON EA $4,330.61;
SD800.570 PSI SD800.570 PEEK IMPLANT EA $11,793.60 ;
SD800.569 PSI SD800.569 PEEK IMPLANT EA $11,793.60;
SD800.568 PSI SD800.568 PEEK IMPLANT EA $11,793.60;
SD800.567 PSI SD800.567 PEEK IMPLANT EA $10,670.40;
SD800.566 PSI SD800.566 PEEK IMPLANT EA $10,670.40;
SD800.565 PSI SD800.565 PEEK IMPLANT EA $10,670.40;
SD800.564 PSI SD800.564 PEEK IMPLANT EA $10,670.40;
SD800.563 PSI SD800.563 PEEK IMPLANT EA $10,670.40;
SD800.562 PSI SD800.562 PEEK IMPLANT EA $10,670.40;
SD800.561 PSI SD800.561 PEEK IMPLANT EA $10,670.40;
SD800.560 PSI SD800.560 PEEK IMPLANT EA $10,670.40;
SD800.559 PSI SD800.559 PEEK IMPLANT EA $10,670.40;
SD800.558 PSI SD800.558 PEEK IMPLANT EA $10,670.40;
SD800.557 PSI SD800.557 PEEK IMPLANT EA $10,670.40;
SD800.556 PSI SD800.556 PEEK IMPLANT EA $10,670.40;
SD800.555 PSI SD800.555 PEEK IMPLANT EA $10,670.40;
SD800.554 PSI SD800.554 PEEK IMPLANT EA $10,108.80;
SD800.553 PSI SD800.553 PEEK IMPLANT EA $16,286.40;
SD800.552 PSI SD800.552 PEEK IMPLANT EA $16,286.40;
SD800.551 PSI SD800.551 PEEK IMPLANT EA $14,040.00;
SD800.550 PSI SD800.550 PEEK IMPLANT EA $16,286.40;
SD800.549 PSI SD800.549 PEEK IMPLANT EA $14,040.00;
SD800.548 PSI SD800.548 PEEK IMPLANT EA $14,040.00;
SD800.547 PSI SD800.547 PEEK IMPLANT EA $12,916.80;
SD800.546 PSI SD800.546 PEEK IMPLANT EA $12,916.80;
SD800.545 PSI SD800.545 PEEK IMPLANT EA $12,916.80;
SD800.544 PSI SD800.544 PEEK IMPLANT EA $12,916.80;
SD800.543 PSI SD800.543 PEEK IMPLANT EA $12,916.80;
SD800.542 PSI SD800.542 PEEK IMPLANT EA $12,916.80;
SD800.541 PSI SD800.541 PEEK IMPLANT EA $12,916.80;
SD800.540 PSI SD800.540 PEEK IMPLANT EA $12,916.80;
SD800.539 PSI SD800.539 PEEK IMPLANT EA $11,793.60;
SD800.538 PSI SD800.538 PEEK IMPLANT EA $12,916.80;
SD800.537 PSI SD800.537 PEEK IMPLANT EA $12,916.80;
SD800.536 PSI SD800.536 PEEK IMPLANT EA $11,793.60;
SD800.535 PSI SD800.535 PEEK IMPLANT EA $11,793.60;
SD800.534 PSI SD800.534 PEEK IMPLANT EA $11,793.60;
SD800.533 PSI SD800.533 PEEK IMPLANT EA $11,793.60;
SD800.532 PSI SD800.532 PEEK IMPLANT EA $12,916.80;
SD800.531 PSI SD800.531 PEEK IMPLANT EA $11,793.60;
SD800.530 PSI SD800.530 PEEK IMPLANT EA $11,793.60 ;
SD800.529 PSI SD800.529 PEEK IMPLANT EA $11,793.60;
SD800.528 PSI SD800.528 PEEK IMPLANT EA $11,793.60;
SD800.527 PSI SD800.527 PEEK IMPLANT EA $11,793.60;
SD800.526 PSI SD800.526 PEEK IMPLANT EA $11,793.60;
SD800.525 PSI SD800.525 PEEK IMPLANT EA $11,793.60;
SD800.524 PSI SD800.524 PEEK IMPLANT EA $11,793.60;
SD800.523 PSI SD800.523 PEEK IMPLANT EA $11,793.60;
SD800.522 PSI SD800.522 PEEK IMPLANT EA $11,793.60;
SD800.521 PSI SD800.521 PEEK IMPLANT EA $11,793.60;
SD800.520 PSI SD800.520 PEEK IMPLANT EA $10,670.40;
SD800.519 PSI SD800.519 PEEK IMPLANT EA $10,670.40;
SD800.518 PSI SD800.518 PEEK IMPLANT EA $10,670.40;
SD800.517 PSI SD800.517 PEEK IMPLANT EA $11,793.60;
SD800.516 PSI SD800.516 PEEK IMPLANT EA $11,793.60;
SD800.515 PSI SD800.515 PEEK IMPLANT EA $11,793.60;
SD800.514 PSI SD800.514 PEEK IMPLANT EA $10,670.40;
SD800.513 PSI SD800.513 PEEK IMPLANT EA $10,670.40;
SD800.512 PSI SD800.512 PEEK IMPLANT EA $10,670.40;
SD800.511 PSI SD800.511 PEEK IMPLANT EA $10,670.40;
SD800.510 PSI SD800.510 PEEK IMPLANT EA $10,670.40;
SD800.509 PSI SD800.509 PEEK IMPLANT EA $10,670.40;
SD800.508 PSI SD800.508 PEEK IMPLANT EA $10,670.40;
SD800.507 PSI SD800.507 PEEK IMPLANT EA $10,670.40;
SD800.506 PSI SD800.506 PEEK IMPLANT EA $10,670.40;
SD800.505 PSI SD800.505 PEEK IMPLANT EA $10,670.40;
SD800.504 PSI SD800.504 PEEK IMPLANT EA $10,670.40;
SD800.503 PSI SD800.503 PEEK IMPLANT EA $10,670.40;
SD800.502 PSI SD800.502 PEEK IMPLANT EA $10,670.40;
SD800.501 PSI SD800.501 PEEK IMPLANT EA $10,670.40;
SD800.470 PSI SD800.470 PEEK IMPLANT EA $11,232.00;
SD800.469 PSI SD800.469 PEEK IMPLANT EA $11,232.00;
SD800.468 PSI SD800.468 PEEK IMPLANT EA $11,232.00;
SD800.467 PSI SD800.467 PEEK IMPLANT EA $10,108.80;
SD800.466 PSI SD800.466 PEEK IMPLANT EA $10,108.80;
SD800.465 PSI SD800.465 PEEK IMPLANT EA $10,108.80;
SD800.464 PSI SD800.464 PEEK IMPLANT EA $10,108.80;
SD800.463 PSI SD800.463 PEEK IMPLANT EA $10,108.80;
SD800.462 PSI SD800.462 PEEK IMPLANT EA $10,108.80;
SD800.461 PSI SD800.461 PEEK IMPLANT EA $10,108.80;
SD800.460 PSI SD800.460 PEEK IMPLANT EA $10,108.80;
SD800.459 PSI SD800.459 PEEK IMPLANT EA $10,108.80;
SD800.458 PSI SD800.458 PEEK IMPLANT EA $10,108.80;
SD800.457 PSI SD800.457 PEEK IMPLANT EA $10,108.80;
SD800.456 PSI SD800.456 PEEK IMPLANT EA $10,108.80;
SD800.455 PSI SD800.455 PEEK IMPLANT EA $10,108.80;
SD800.454 PSI SD800.454 PEEK IMPLANT EA $9,547.20;
SD800.453 PSI SD800.453 PEEK IMPLANT EA $15,724.80;
SD800.452 PSI SD800.452 PEEK IMPLANT EA $15,724.80;
SD800.451 PSI SD800.451 PEEK IMPLANT EA $13,478.40;
SD800.450 PSI SD800.450 PEEK IMPLANT EA $15,724.80;
SD800.449 PSI SD800.449 PEEK IMPLANT EA $13,478.40;
SD800.448 PSI SD800.448 PEEK IMPLANT EA $12,355.20;
SD800.447 PSI SD800.447 PEEK IMPLANT EA $12,355.20;
SD800.446 PSI SD800.446 PEEK IMPLANT EA $12,355.20;
SD800.445 PSI SD800.445 PEEK IMPLANT EA $12,355.20;
SD800.444 PSI SD800.444 PEEK IMPLANT EA $12,355.20;
SD800.443 PSI SD800.443 PEEK IMPLANT EA $12,355.20;
SD800.442 PSI SD800.442 PEEK IMPLANT EA $12,355.20;
SD800.441 PSI SD800.441 PEEK IMPLANT EA $12,355.20;
SD800.440 PSI SD800.440 PEEK IMPLANT EA $12,355.20;
SD800.439 PSI SD800.439 PEEK IMPLANT EA $11,232.00;
SD800.438 PSI SD800.438 PEEK IMPLANT EA $12,355.20;
SD800.437 PSI SD800.437 PEEK IMPLANT EA $12,355.20;
SD800.436 PSI SD800.436 PEEK IMPLANT EA $11,232.00;
SD800.435 PSI SD800.435 PEEK IMPLANT EA $11,232.00;
SD800.434 PSI SD800.434 PEEK IMPLANT EA $11,232.00;
SD800.433 PSI SD800.433 PEEK IMPLANT EA $11,232.00;
SD800.432 PSI SD800.432 PEEK IMPLANT EA $12,355.20;
SD800.431 PSI SD800.431 PEEK IMPLANT EA $11,232.00;
SD800.430 PSI SD800.430 PEEK IMPLANT EA $11,232.00;
SD800.429 PSI SD800.429 PEEK IMPLANT EA $11,232.00;
SD800.428 PSI SD800.428 PEEK IMPLANT EA $11,232.00;
SD800.427 PSI SD800.427 PEEK IMPLANT EA $11,232.00;
SD800.426 PSI SD800.426 PEEK IMPLANT EA $11,232.00;
SD800.425 PSI SD800.425 PEEK IMPLANT EA $11,232.00;
SD800.424 PSI SD800.424 PEEK IMPLANT EA $11,232.00;
SD800.423 PSI SD800.423 PEEK IMPLANT EA $11,232.00;
SD800.422 PSI SD800.422 PEEK IMPLANT EA $11,232.00;
SD800.421 PSI SD800.421 PEEK IMPLANT EA $11,232.00;
SD800.420 PSI SD800.420 PEEK IMPLANT EA $10,108.80;
SD800.419 PSI SD800.419 PEEK IMPLANT EA $10,108.80;
SD800.418 PSI SD800.418 PEEK IMPLANT EA $10,108.80;
SD800.417 PSI SD800.417 PEEK IMPLANT EA $11,232.00;
SD800.416 PSI SD800.416 PEEK IMPLANT EA $11,232.00;
SD800.415 PSI SD800.415 PEEK IMPLANT EA $11,232.00;
SD800.414 PSI SD800.414 PEEK IMPLANT EA $10,108.80;
SD800.413 PSI SD800.413 PEEK IMPLANT EA $10,108.80;
SD800.412 PSI SD800.412 PEEK IMPLANT EA $10,108.80;
SD800.411 PSI SD800.411 PEEK IMPLANT EA $10,108.80;
SD800.410 PSI SD800.410 PEEK IMPLANT EA $10,108.80;
SD800.409 PSI SD800.409 PEEK IMPLANT EA $10,108.80;
SD800.408 PSI SD800.408 PEEK IMPLANT EA $10,108.80;
SD800.407 PSI SD800.407 PEEK IMPLANT EA $10,108.80;
SD800.406 PSI SD800.406 PEEK IMPLANT EA $10,108.80;
SD800.405 PSI SD800.405 PEEK IMPLANT EA $10,108.80;
SD800.404 PSI SD800.404 PEEK IMPLANT EA $10,108.80;
SD800.403 PSI SD800.403 PEEK IMPLANT EA $10,108.80;
SD800.402 PSI SD800.402 PEEK IMPLANT EA $10,108.80;
SD800.401 PSI SD800.401 PEEK IMPLANT EA $10,108.80;
SD480.112 TI PS PL MANDBL/ O ANG/2.0 THK EA $5,120.78;
SD480.111 TI PS PL MANDBL/DBL-ANG/2.0 THK EA $9,268.20;
SD480.110 TI PS PL MANDBL/ANG/2.0 THICK EA $7,582.49;
SD480.102 TI PS PL MANDBL/ O ANG/2.5 THK EA $5,782.00;
SD480.101 TI PS PL MANDBL/DBL-ANG/2.5 THK EA $9,972.66;
SD480.100 TI PS PL MANDBL/ANG/2.5 THICK EA $8,161.17;
SD449.518B TI PSPC MTRXMND 7X23H ANG RECN PL/R/2.8 EA $7,268.00;
SD449.518A PSPC MTRXMND 7X23 ANG RECN PL R 2.8 MXL EA $9,455.33;
SD449.518 PSPC MATRXMAND 7X23H ANG RECN PL/R/2.8 EA $8,914.39;
SD449.517B TI PSPC MTRXMND 7X23H ANG RECN PL/L/2.8 EA $7,268.00;
SD449.517A PSPC MTRXMND 7X23 ANG RECN PL L 2.8 MXL EA $9,455.33;
SD449.517 PSPC MATRXMAND 7X23 H ANG RECN PL/L/2.8 EA $8,914.39;
SD449.516B TI PSPC MATRIXMAND 20 H RECON PL 2.8 EA $4,892.77;
SD449.516 PSPC MATRIXMANDIBLE 20 H RECON PL 2.8 EA $6,270.26;
SD449.514B TI PSPC MATRXMAND DBLE RECON PL LRG/2.5 EA $7,651.69;
SD449.514A PSPC MATRXMND DBL ANG RECN/PL/LG 2.5 MXL EA $9,824.07;
SD449.514 PSPC MATRXMAND DBL ANG RECON PL LRG/2.5 EA $9,290.22;
SD449.513B TI PSPC MATRXMND DBL ANG RECN PL/MD/2.5 EA $7,249.92;
SD449.513A PSPC MATRXMND DBL ANG RECN PL MD 2.5 MXL EA $9,438.81;
SD449.513 PSPC MATRXMAND DBL ANG RECON PL MD/2.5 EA $8,896.31;
SD449.512B TI PSPC MATRXMND DBL ANG RECN PL/SM/2.5 EA $6,871.74 ;</t>
  </si>
  <si>
    <t>Subject to the terms and conditions of this PA, the Company shall offer the 
Products to the Participants at the prices stated on Schedule A. The component pricing is firm for the 
term of this agreement. _x000D_</t>
  </si>
  <si>
    <t>001030242~00084684.057</t>
  </si>
  <si>
    <t>Amendment To Product Agreement (Depuy Synthes Joint Reconstruction)</t>
  </si>
  <si>
    <t>Amendment to Prodcut Agreement</t>
  </si>
  <si>
    <t xml:space="preserve">PA Amend sl v1 06-25-24.docx </t>
  </si>
  <si>
    <t>BONE CEMENT 3312040 DEPUY CMW 1 40G $60.00 $60.00 $60.00 $60.00 $60.00;
BONE CEMENT 3322020 DEPUY CMW 2 20G $50.00 $50.00 $50.00 $50.00 $50.00;
BONE CEMENT 545032500 DEPUY/CMW 2G $158.00 $158.00 $158.00 $158.00 $158.00;
BONE CEMENT 3332040 DEPUY CMW 3 40G $60.00 $60.00 $60.00 $60.00 $60.00;
BONE CEMENT 545031500 DEPUY1 GENTAMICIN CEMENT 40G $200.00 $200.00 $200.00 $200.00 $200.00;
BONE CEMENT 545035500 SMARTSET GHV GENTAMICIN 40G $200.00 $200.00 $200.00 $200.00 $200.00;
BONE CEMENT 545050501 SMARTSET GMV 40G US EO $200.00 $200.00 $200.00 $200.00 $200.00;
BONE CEMENT 3092020 SMARTSET HV 20G $50.00 $50.00 $50.00 $50.00 $50.00;
BONE CEMENT 3092040 SMARTSET HV BONE CEMENT 40G $60.00 $60.00 $60.00 $60.00 $60.00;
BONE CEMENT 3122020 SMARTSET MV 20G - EO $50.00 $50.00 $50.00 $50.00 $50.00;
BONE CEMENT 3122040 SMARTSET MV 40G - EO $60.00 $60.00 $60.00 $60.00 $60.00;
BONE CEMENT 3102080 SMARTSET MV ENDURANCE 80G $120.00 $120.00 $120.00 $120.00 $120.00;
BONE CEMENT ACCESSORIES 540150000 65 DEGREE CEMENT NOZZLE $55.25 $55.25 $55.25 $55.25 $55.25;
BONE CEMENT ACCESSORIES 540151000 90 DEGREE CEMENT NOZZLE $55.25 $55.25 $55.25 $55.25 $55.25;
BONE CEMENT ACCESSORIES 540152000 90 DEGREE NOZZLE WIDE $55.25 $55.25 $55.25 $55.25 $55.25;
BONE CEMENT ACCESSORIES 540153000 NARROW STRAIGHT NOZZLE $55.25 $55.25 $55.25 $55.25 $55.25;
BONE CEMENT ACCESSORIES 546348500 BIOSTOP G RESTR HOLDER 8MM $338.30 $338.30 $338.30 $338.30 $338.30;
BONE CEMENT ACCESSORIES 546350500 BIOSTOP G RESTR HOLDER 10-12MM $338.30 $338.30 $338.30 $338.30 $338.30;
BONE CEMENT ACCESSORIES 546354500 BIOSTOP G RESTR HOLDER 14-16MM $338.30 $338.30 $338.30 $338.30 $338.30;
BONE CEMENT ACCESSORIES 546358500 BIOSTOP G RESTR HOLDER 18-20MM $338.30 $338.30 $338.30 $338.30 $338.30;
BONE CEMENT ACCESSORIES 546360500 BIOSTOP G INSERTER T-HANDLE $1,329.40 $1,329.40 $1,329.40 $1,329.40 $1,329.40;
BONE CEMENT ACCESSORIES 546362500 BIOSTOP G STERILIZATION CASE $1,651.55 $1,651.55 $1,651.55 $1,651.55 $1,651.55;
BONE CEMENT ACCESSORIES 546328500 BIOSTOP G RESTR TRIAL 8MM $281.35 $281.35 $281.35 $281.35 $281.35;
BONE CEMENT ACCESSORIES 546330500 BIOSTOP G RESTR TRIAL 10MM $281.35 $281.35 $281.35 $281.35 $281.35;
BONE CEMENT ACCESSORIES 546332500 BIOSTOP G RESTR TRIAL 12MM $281.35 $281.35 $281.35 $281.35 $281.35;
BONE CEMENT ACCESSORIES 546334500 BIOSTOP G RESTR TRIAL 14MM $281.35 $281.35 $281.35 $281.35 $281.35;
BONE CEMENT ACCESSORIES 546336500 BIOSTOP G RESTR TRIAL 16MM $281.35 $281.35 $281.35 $281.35 $281.35;
BONE CEMENT ACCESSORIES 546338500 BIOSTOP G RESTR TRIAL 18MM $281.35 $281.35 $281.35 $281.35 $281.35;
BONE CEMENT ACCESSORIES 546340500 BIOSTOP G RESTR TRIAL 20MM $281.35 $281.35 $281.35 $281.35 $281.35;
BONE CEMENT ACCESSORIES 546308000 BIOSTOP G CEM RESTR 8MM $201.45 $201.45 $201.45 $201.45 $201.45;
BONE CEMENT ACCESSORIES 546310000 BIOSTOP G CEM RESTR 10MM $201.45 $201.45 $201.45 $201.45 $201.45;
BONE CEMENT ACCESSORIES 546312000 BIOSTOP G CEM RESTR 12MM $201.45 $201.45 $201.45 $201.45 $201.45;
BONE CEMENT ACCESSORIES 546314000 BIOSTOP G CEM RESTR 14MM $201.45 $201.45 $201.45 $201.45 $201.45;
BONE CEMENT ACCESSORIES 546316000 BIOSTOP G CEM RESTR 16MM $201.45 $201.45 $201.45 $201.45 $201.45;
BONE CEMENT ACCESSORIES 546318000 BIOSTOP G CEM RESTR 18MM $201.45 $201.45 $201.45 $201.45 $201.45;
BONE CEMENT ACCESSORIES 546320000 BIOSTOP G CEM RESTR 20MM $201.45 $201.45 $201.45 $201.45 $201.45;
BONE CEMENT ACCESSORIES 540208000 DEPUY 8IN FEM CANAL SPONGE $62.05 $62.05 $62.05 $62.05 $62.05;
BONE CEMENT ACCESSORIES 546102000 PREP KIT W/O RESTRICTORS $209.10 $209.10 $209.10 $209.10 $209.10;
BONE CEMENT ACCESSORIES 546101000 PREP KIT W/RESTRICTORS $347.65 $347.65 $347.65 $347.65 $347.65;
BONE CEMENT ACCESSORIES 546002000 CEMENT RESTRICTOR INSERTER $1,102.45 $1,102.45 $1,102.45 $1,102.45 $1,102.45;
BONE CEMENT ACCESSORIES 546030000 SS CEMENT RESTRICTOR TRIAL 1 $382.50 $382.50 $382.50 $382.50 $382.50;
BONE CEMENT ACCESSORIES 546032000 SS CEMENT RESTRICTOR TRIAL 2 $382.50 $382.50 $382.50 $382.50 $382.50;
BONE CEMENT ACCESSORIES 546034000 SS CEMENT RESTRICTOR TRIAL 3 $382.50 $382.50 $382.50 $382.50 $382.50;
BONE CEMENT ACCESSORIES 546036000 SS CEMENT RESTRICTOR TRIAL 4 $382.50 $382.50 $382.50 $382.50 $382.50 ;
BONE CEMENT ACCESSORIES 546038000 SS CEMENT RESTRICTOR TRIAL 5 $382.50 $382.50 $382.50 $382.50 $382.50;
BONE CEMENT ACCESSORIES 546040000 SS CEMENT RESTRICTOR TRIAL 6 $382.50 $382.50 $382.50 $382.50 $382.50;
BONE CEMENT ACCESSORIES 546042000 SS CEMENT RESTRICTOR TRIAL 7 $382.50 $382.50 $382.50 $382.50 $382.50;
BONE CEMENT ACCESSORIES 546010000 CEMENT RESTRICTOR SIZE 1 $193.80 $193.80 $193.80 $193.80 $193.80;
BONE CEMENT ACCESSORIES 546012000 CEMENT RESTRICTOR SIZE 2 $193.80 $193.80 $193.80 $193.80 $193.80;
BONE CEMENT ACCESSORIES 546014000 CEMENT RESTRICTOR SIZE 3 $193.80 $193.80 $193.80 $193.80 $193.80;
BONE CEMENT ACCESSORIES 546016000 CEMENT RESTRICTOR SIZE 4 $193.80 $193.80 $193.80 $193.80 $193.80;
BONE CEMENT ACCESSORIES 546018000 CEMENT RESTRICTOR SIZE 5 $193.80 $193.80 $193.80 $193.80 $193.80;
BONE CEMENT ACCESSORIES 546020000 CEMENT RESTRICTOR SIZE 6 $193.80 $193.80 $193.80 $193.80 $193.80;
BONE CEMENT ACCESSORIES 546022000 CEMENT RESTRICTOR SIZE 7 $193.80 $193.80 $193.80 $193.80 $193.80;
BONE CEMENT ACCESSORIES 546110000 CEM RESTRICTOR SM $166.60 $166.60 $166.60 $166.60 $166.60;
BONE CEMENT ACCESSORIES 546112000 CEM RESTRICTOR LG $166.60 $166.60 $166.60 $166.60 $166.60;
BONE CEMENT ACCESSORIES 540133500 PRISM II CART W/ BRKOFF NOZZLE $100.00 $100.00 $100.00 $100.00 $100.00;
BONE CEMENT ACCESSORIES 540135000 PRISM RATCHET GUN $2,963.10 $2,963.10 $2,963.10 $2,963.10 $2,963.10;
BONE CEMENT ACCESSORIES 540143000 PRISM SYRINGE SET $102.00 $102.00 $102.00 $102.00 $102.00;
BONE CEMENT ACCESSORIES 831615 SMARTMIX CEMVAC $226.95 $226.95 $226.95 $226.95 $226.95;
BONE CEMENT ACCESSORIES 831603 SMARTMIX CEMVAC GUN $2,085.05 $2,085.05 $2,085.05 $2,085.05 $2,085.05;
BONE CEMENT ACCESSORIES 540176501 SMARTMIX CTS BOWL EMPTY $55.00 $55.00 $55.00 $55.00 $55.00;
BONE CEMENT ACCESSORIES 540139000 SMARTMIX MINI SH $75.00 $75.00 $75.00 $75.00 $75.00;
BONE CEMENT ACCESSORIES 540137000 OPEN MIXING BOWL $35.00 $35.00 $35.00 $35.00 $35.00;
BONE CEMENT ACCESSORIES 540198000 SMARTMIX TOWER CARTRIDGE $110.00 $110.00 $110.00 $110.00 $110.00;
BONE CEMENT ACCESSORIES 540197000 SMARTMIX TOWER RATCHET GUN $3,236.80 $3,236.80 $3,236.80 $3,236.80 $3,236.80;
BONE CEMENT ACCESSORIES 540196500 DEPUY FOOT PUMP W/HOSE $5,513.95 $5,513.95 $5,513.95 $5,513.95 $5,513.95;
BONE CEMENT ACCESSORIES 3206002 WEDGE FEMORAL PRESSURISER $126.65 $126.65 $126.65 $126.65 $126.65;
BONE CEMENT ACCESSORIES 546122000 FEMORAL BRUSH $63.75 $63.75 $63.75 $63.75 $63.75;
BONE CEMENT ACCESSORIES 546126000 FEMORAL PRESSURIZER $83.30 $83.30 $83.30 $83.30 $83.30;
BONE CEMENT ACCESSORIES 546128000 CEMENT CUP CURETTE $48.45 $48.45 $48.45 $48.45 $48.45;
BONE CEMENT ACCESSORIES 546130000 CEMENT SPATULA/RING CURETTE $45.90 $45.90 $45.90 $45.90 $45.90;</t>
  </si>
  <si>
    <t>001030242~00084684.058</t>
  </si>
  <si>
    <t>Amendment To Product Agreement ( Depuy Synthes Spine)</t>
  </si>
  <si>
    <t>PA Amend sl v1 08-08-2024</t>
  </si>
  <si>
    <t>PCF_MOUNTAINEER_ROD - TRANSITION COCR 188310012 COCR DD ROD 3.5-5.5 X 600 EA $387.84;
PCF_SYNAPSE_POSTERIOR CERVICAL SCREW - POLY 04.614.014 3.5MM TI CANCELLOUS POLYAXIAL SCREW 14MM EA $797.50;
PCF_SYNAPSE_POSTERIOR CERVICAL SCREW - POLY 04.614.242 4.5MM TI CANCELLOUS POLYAXIAL SCREW 42MM EA $797.50;
PCF_SYNAPSE_POSTERIOR CERVICAL SCREW - POLY 04.614.238 4.5MM TI CANCELLOUS POLYAXIAL SCREW 38MM EA $797.50;
PCF_SYNAPSE_POSTERIOR CERVICAL SCREW - POLY 04.614.232 4.5MM TI CANCELLOUS POLYAXIAL SCREW 32MM EA $797.50;
PCF_SYNAPSE_POSTERIOR CERVICAL SCREW - POLY 04.614.150 4.0MM TI CANCELLOUS POLYAXIAL SCREW 50MM EA $797.50;
PCF_SYNAPSE_POSTERIOR CERVICAL SCREW - POLY 04.614.132 4.0MM TI CANCELLOUS POLYAXIAL SCREW 32MM EA $797.50;
PCF_SYNAPSE_POSTERIOR CERVICAL SCREW - POLY 04.614.118 4.0MM TI CANCELLOUS POLYAXIAL SCREW 18MM EA $797.50;
PCF_SYNAPSE_POSTERIOR CERVICAL SCREW - POLY 04.614.246 4.5MM TI CANCELLOUS POLYAXIAL SCREW 46MM EA $797.50;
PCF_SYNAPSE_POSTERIOR CERVICAL SCREW - POLY 04.614.220 4.5MM TI CANCELLOUS POLYAXIAL SCREW 20MM EA $797.50;
PCF_SYNAPSE_POSTERIOR CERVICAL SCREW - POLY 04.614.216 4.5MM TI CANCELLOUS POLYAXIAL SCREW 16MM EA $797.50;
PCF_SYNAPSE_POSTERIOR CERVICAL SCREW - POLY 04.614.146 4.0MM TI CANCELLOUS POLYAXIAL SCREW 46MM EA $797.50;
PCF_SYNAPSE_POSTERIOR CERVICAL SCREW - POLY 04.614.134 4.0MM TI CANCELLOUS POLYAXIAL SCREW 34MM EA $797.50;
PCF_SYNAPSE_POSTERIOR CERVICAL SCREW - POLY 04.614.122 4.0MM TI CANCELLOUS POLYAXIAL SCREW 22MM EA $797.50;
PCF_SYNAPSE_POSTERIOR CERVICAL SCREW - POLY 04.614.032 3.5MM TI CANCELLOUS POLYAXIAL SCREW 32MM EA $797.50;
PCF_SYNAPSE_POSTERIOR CERVICAL SCREW - POLY 04.614.026 3.5MM TI CANCELLOUS POLYAXIAL SCREW 26MM EA $797.50;
PCF_SYNAPSE_POSTERIOR CERVICAL SCREW - POLY 04.614.012 3.5MM TI CANCELLOUS POLYAXIAL SCREW 12MM EA $797.50;
PCF_SYNAPSE_POSTERIOR CERVICAL SCREW - POLY 04.614.010 3.5MM TI CANCELLOUS POLYAXIAL SCREW 10MM EA $797.50;
PCF_SYNAPSE_POSTERIOR CERVICAL SCREW - POLY 04.614.244 4.5MM TI CANCELLOUS POLYAXIAL SCREW 44MM EA $797.50;
PCF_SYNAPSE_POSTERIOR CERVICAL SCREW - POLY 04.614.240 4.5MM TI CANCELLOUS POLYAXIAL SCREW 40MM EA $797.50;
PCF_SYNAPSE_POSTERIOR CERVICAL SCREW - POLY 04.614.212 4.5MM TI CANCELLOUS POLYAXIAL SCREW 12MM EA $797.50;
PCF_SYNAPSE_POSTERIOR CERVICAL SCREW - POLY 04.614.210 4.5MM TI CANCELLOUS POLYAXIAL SCREW 10MM EA $797.50;
PCF_SYNAPSE_POSTERIOR CERVICAL SCREW - POLY 04.614.138 4.0MM TI CANCELLOUS POLYAXIAL SCREW 38MM EA $797.50;
PCF_SYNAPSE_POSTERIOR CERVICAL SCREW - POLY 04.614.116 4.0MM TI CANCELLOUS POLYAXIAL SCREW 16MM EA $797.50;
PCF_SYNAPSE_POSTERIOR CERVICAL SCREW - POLY 04.614.114 4.0MM TI CANCELLOUS POLYAXIAL SCREW 14MM EA $797.50;
PCF_SYNAPSE_POSTERIOR CERVICAL SCREW - POLY 04.614.022 3.5MM TI CANCELLOUS POLYAXIAL SCREW 22MM EA $797.50;
PCF_SYNAPSE_POSTERIOR CERVICAL SCREW - POLY 04.614.224 4.5MM TI CANCELLOUS POLYAXIAL SCREW 24MM EA $797.50;
PCF_SYNAPSE_POSTERIOR CERVICAL SCREW - POLY 04.614.140 4.0MM TI CANCELLOUS POLYAXIAL SCREW 40MM EA $797.50;
PCF_SYNAPSE_POSTERIOR CERVICAL SCREW - POLY 04.614.048 3.5MM TI CANCELLOUS POLYAXIAL SCREW 48MM EA $797.50;
PCF_SYNAPSE_POSTERIOR CERVICAL SCREW - POLY 04.614.248 4.5MM TI CANCELLOUS POLYAXIAL SCREW 48MM EA $797.50;
PCF_SYNAPSE_POSTERIOR CERVICAL SCREW - POLY 04.614.236 4.5MM TI CANCELLOUS POLYAXIAL SCREW 36MM EA $797.50;
PCF_SYNAPSE_POSTERIOR CERVICAL SCREW - POLY 04.614.228 4.5MM TI CANCELLOUS POLYAXIAL SCREW 28MM EA $797.50;
PCF_SYNAPSE_POSTERIOR CERVICAL SCREW - POLY 04.614.226 4.5MM TI CANCELLOUS POLYAXIAL SCREW 26MM EA $797.50;
PCF_SYNAPSE_POSTERIOR CERVICAL SCREW - POLY 04.614.218 4.5MM TI CANCELLOUS POLYAXIAL SCREW 18MM EA $797.50;
PCF_SYNAPSE_POSTERIOR CERVICAL SCREW - POLY 04.614.214 4.5MM TI CANCELLOUS POLYAXIAL SCREW 14MM EA $797.50;
PCF_SYNAPSE_POSTERIOR CERVICAL SCREW - POLY 04.614.142 4.0MM TI CANCELLOUS POLYAXIAL SCREW 42MM EA $797.50;
PCF_SYNAPSE_POSTERIOR CERVICAL SCREW - POLY 04.614.124 4.0MM TI CANCELLOUS POLYAXIAL SCREW 24MM EA $797.50;
PCF_SYNAPSE_POSTERIOR CERVICAL SCREW - POLY 04.614.042 3.5MM TI CANCELLOUS POLYAXIAL SCREW 42MM EA $797.50;
PCF_SYNAPSE_POSTERIOR CERVICAL SCREW - POLY 04.614.034 3.5MM TI CANCELLOUS POLYAXIAL SCREW 34MM EA $797.50;
PCF_SYNAPSE_POSTERIOR CERVICAL SCREW - POLY 04.614.028 3.5MM TI CANCELLOUS POLYAXIAL SCREW 28MM EA $797.50;
PCF_SYNAPSE_POSTERIOR CERVICAL SCREW - POLY 04.614.024 3.5MM TI CANCELLOUS POLYAXIAL SCREW 24MM EA $797.50;
PCF_SYNAPSE_POSTERIOR CERVICAL SCREW - POLY 04.614.234 4.5MM TI CANCELLOUS POLYAXIAL SCREW 34MM EA $797.50;
PCF_SYNAPSE_POSTERIOR CERVICAL SCREW - POLY 04.614.230 4.5MM TI CANCELLOUS POLYAXIAL SCREW 30MM EA $797.50;
PCF_SYNAPSE_POSTERIOR CERVICAL SCREW - POLY 04.614.208 4.5MM TI CANCELLOUS POLYAXIAL SCREW 8MM EA $797.50;
PCF_SYNAPSE_POSTERIOR CERVICAL SCREW - POLY 04.614.130 4.0MM TI CANCELLOUS POLYAXIAL SCREW 30MM EA $797.50;
PCF_SYNAPSE_POSTERIOR CERVICAL SCREW - POLY 04.614.110 4.0MM TI CANCELLOUS POLYAXIAL SCREW 10MM EA $797.50;
PCF_SYNAPSE_POSTERIOR CERVICAL SCREW - POLY 04.614.108 4.0MM TI CANCELLOUS POLYAXIAL SCREW 8MM EA $797.50;
PCF_SYNAPSE_POSTERIOR CERVICAL SCREW - POLY 04.614.050 3.5MM TI CANCELLOUS POLYAXIAL SCREW 50MM EA $797.50;
PCF_SYNAPSE_POSTERIOR CERVICAL SCREW - POLY 04.614.046 3.5MM TI CANCELLOUS POLYAXIAL SCREW 46MM EA $797.50;
PCF_SYNAPSE_POSTERIOR CERVICAL SCREW - POLY 04.614.040 3.5MM TI CANCELLOUS POLYAXIAL SCREW 40MM EA $797.50;
PCF_SYNAPSE_POSTERIOR CERVICAL SCREW - POLY 04.614.036 3.5MM TI CANCELLOUS POLYAXIAL SCREW 36MM EA $797.50;
PCF_SYNAPSE_POSTERIOR CERVICAL SCREW - POLY 04.614.016 3.5MM TI CANCELLOUS POLYAXIAL SCREW 16MM EA $797.50;
PCF_SYNAPSE_POSTERIOR CERVICAL SCREW - POLY 04.614.020 3.5MM TI CANCELLOUS POLYAXIAL SCREW 20MM EA $797.50;
PCF_SYNAPSE_POSTERIOR CERVICAL SCREW - POLY 04.614.136 4.0MM TI CANCELLOUS POLYAXIAL SCREW 36MM EA $797.50;
PCF_SYNAPSE_POSTERIOR CERVICAL SCREW - SHAFT 04.614.338 3.5MM TI CORTEX POLYAX SHAFT SCRW 38MM EA $826.50;
PCF_SYNAPSE_POSTERIOR CERVICAL SCREW - SHAFT 04.614.344 3.5MM TI CORTEX POLYAX SHAFT SCRW 44MM EA $826.50;
PCF_SYNAPSE_POSTERIOR CERVICAL SCREW - SHAFT 04.614.330 3.5MM TI CORTEX POLYAX SHAFT SCRW 30MM EA $826.50;
PCF_SYNAPSE_POSTERIOR CERVICAL SCREW - SHAFT 04.614.336 3.5MM TI CORTEX POLYAX SHAFT SCRW 36MM EA $826.50;
PCF_SYNAPSE_POSTERIOR CERVICAL SCREW - SHAFT 04.614.346 3.5MM TI CORTEX POLYAX SHAFT SCRW 46MM EA $826.50;
PCF_SYNAPSE_POSTERIOR CERVICAL SCREW - SHAFT 04.614.326 3.5MM TI CORTEX POLYAX SHAFT SCRW 26MM EA $826.50;
PCF_SYNAPSE_POSTERIOR CERVICAL SCREW - SHAFT 04.614.324 3.5MM TI CORTEX POLYAX SHAFT SCRW 24MM EA $826.50;
PCF_SYNAPSE_POSTERIOR CERVICAL SCREW - SHAFT 04.614.332 3.5MM TI CORTEX POLYAX SHAFT SCRW 32MM EA $826.50;
PCF_SYNAPSE_POSTERIOR CERVICAL SCREW - SHAFT 04.614.350 3.5MM TI CORTEX POLYAX SHAFT SCRW 50MM EA $826.50;
PCF_SYNAPSE_POSTERIOR CERVICAL SCREW - SHAFT 04.614.318 3.5MM TI CORTEX POLYAX SHAFT SCRW 18MM EA $826.50;
PCF_SYNAPSE_POSTERIOR CERVICAL SCREW - SHAFT 04.614.328 3.5MM TI CORTEX POLYAX SHAFT SCRW 28MM EA $826.50;</t>
  </si>
  <si>
    <t>001030242~00084684.060</t>
  </si>
  <si>
    <t>Product Agreement (Ethicon Neuwave™ Capital Purchase)</t>
  </si>
  <si>
    <t>IDN PA WL PK V5 20240930.DOCX</t>
  </si>
  <si>
    <t>01329321 UCSF Mission Bay</t>
  </si>
  <si>
    <t>Used Equipment Pricing  and  Accessory Pricing</t>
  </si>
  <si>
    <t>Accessories PD2MSURG Surgical PDM Mount Kit;
NWC1US1R NW Ablation System, US Serial # NM20NEA00779</t>
  </si>
  <si>
    <t>Pricing for Equipment and Support (including any discount at the time of sale (a 
“Discount”) and any retrospective payment (a “Rebate”), each, a “Price Concession”) is set forth in Section 
4 below and on Schedule C. Only Equipment or Support covered by Section 4 or Schedule C and purchased 
under this PA are eligible for Price Concessions.</t>
  </si>
  <si>
    <t>001030242~00084684.061</t>
  </si>
  <si>
    <t>IDN PA v2 TT 20240906</t>
  </si>
  <si>
    <t>00007121 West Hills Hospital and Medical Center</t>
  </si>
  <si>
    <t>Used Equipment Pricing</t>
  </si>
  <si>
    <t xml:space="preserve">NWC1US1N NW Ablation System, US;
ACUGUS ABLATE-IQ Upgrade Kit </t>
  </si>
  <si>
    <t>Pricing for Equipment and Accessories (collectively the “Products”), and 
Support (including any discount at the time of sale (a “Discount”) and any retrospective payment (a 
“Rebate”), each, a “Price Concession”) is set forth in Section 4 below and on Schedule C. Only Products or 
Support covered by Section 4 or Schedule C and purchased under this PA are eligible for Price 
Concessions</t>
  </si>
  <si>
    <t>001030242~00084684.062</t>
  </si>
  <si>
    <t xml:space="preserve">PA Amend sl v4 10-14-2024.docx </t>
  </si>
  <si>
    <t>SHOULDERS - STEM INHANCE STANDARD STEM $3,730.00 $3,450.00 $2,875.00 $2,775.00 $3,450.00;
SHOULDERS - PRIMARY;
SHOULDERS - STEM INHANCESTEMLESS $4,980.00 $4,616.00 $3,899.00 $3,762.00 $4,616.00;
SHOULDERS - PRIMARY;
SHOULDERS - STND CENTRALSCREW METAGLENE DELTA XTEND $1,825.00 $1,675.00 $1,575.00 $1,525.00 $1,675.00;
SHOULDERS - PRIMARY;
SHOULDERS - TAPER GLOBAL AP 135DEGREE &amp; BALL TAPER $300.00 $300.00 $300.00 $250.00 $300.00;
VELYS - SINGLE USEINSTRUMENTS VELYS SAW BLADES $60.00 $60.00 $60.00 $60.00 $60.00;
VELYS - SINGLE USEINSTRUMENTS VELYS ARRAY SET $358.00 $358.00 $358.00 $358.00 $358.00;
VELYS - SINGLE USEINSTRUMENTS VELYS STERILE PINS $37.00 $37.00 $37.00 $37.00 $37.00;
VELYS - SINGLE USEINSTRUMENTS VELYS DEVICE DRAPES $1,619.00 $1,619.00 $1,619.00 $1,619.00 $1,619.00;
VELYS - SINGLE USEINSTRUMENTS VELYS SATELLITE STATION DRAPES $1,061.00 $1,061.00 $1,061.00 $1,061.00 $1,061.00;
BONE CEMENT BONE CEMENT - SMARTSET MV 20G $50.00 $50.00 $50.00 $50.00 $50.00;
BONE CEMENT BONE CEMENT - SMARTSET MV 40G $60.00 $60.00 $60.00 $60.00 $60.00;
BONE CEMENT BONE CEMENT - CMW 1 40G $60.00 $60.00 $60.00 $60.00 $60.00;
BONE CEMENT BONE CEMENT - CMW 3 40G $60.00 $60.00 $60.00 $60.00 $60.00;
BONE CEMENT BONE CEMENT - SMARTSET HV 40G $60.00 $60.00 $60.00 $60.00 $60.00;
BONE CEMENT BONE CEMENT - SMARTSET HV 20G $50.00 $50.00 $50.00 $50.00 $50.00;
BONE CEMENT - GHV GENTAMICIN40G $200.00 $200.00 $200.00 $200.00 $200.00;
BONE CEMENT BONE CEMENT - CMW 2 20G $50.00 $50.00 $50.00 $50.00 $50.00;
BONE CEMENT- GMV GENTAMICIN;
40G $200.00 $200.00 $200.00 $200.00 $200.00;
BONE CEMENT- DEPUY1;
GENTAMICIN CEMENT 40G $200.00 $200.00 $200.00 $200.00 $200.00;
BONE CEMENT - CMW 20G;
GENTAMICIN $158.00 $158.00 $158.00 $158.00 $158.00;
BONE CEMENT - SMARTSET MV 80G $120.00 $120.00 $120.00 $120.00 $120.00;
HIPS - PRIMARY HIPS - CUP GRIPTION $1,700.00 $1,600.00 $1,500.00 $1,450.00 $1,231.00;
HIPS - PRIMARY HIPS - CUP POROUS $1,300.00 $1,200.00 $1,100.00 $1,050.00 $1,056.00;
HIPS - PRIMARY;
HIPS - HEAD CERAMIC ARTICUL/EZE;
HIPS - PRIMARY;
HIPS - HEAD CERAMIC DELTA (NOT;
HIPS - PRIMARY;
HIPS - HEAD CERAMIC DELTA TS 40,;
HIPS - PRIMARY;
HIPS - HEAD LG CERAMIC ARTICUL/EZE 40MM $1,400.00 $875.00 $750.00 $700.00 $720.00;
HIPS - PRIMARY;
HIPS - HEAD LG METAL 40, 44,;
HIPS - PRIMARY HIPS - HEAD METAL 22.225, 28MM $700.00 $500.00 $450.00 $425.00 $450.00;
HIPS - PRIMARY HIPS - HEAD METAL 32, 36MM $700.00 $500.00 $450.00 $425.00 $450.00;
HIPS - PRIMARY HIPS - HEAD UNIPOLAR $574.00 $500.00 $450.00 $425.00 $432.00;
HIPS - PRIMARY HIPS - LINER ALTRX 28, 32, 36MM $1,000.00 $900.00 $825.00 $750.00 $780.00;
HIPS - PRIMARY HIPS - LINER AOX 28, 32, 36MM $1,140.00 $1,040.00 $825.00 $750.00 $825.00;
HIPS - PRIMARY HIPS - LINER BIMENTUM 22, 28MM $1,650.00 $1,046.00 $1,000.00 $1,000.00 $960.00;
HIPS - PRIMARY HIPS - LINER BIMENTUM ALTRX $1,458.40 $1,276.10 $1,093.80 $1,093.80 $1,050.00;
HIPS - PRIMARY HIPS - LINER CERAMIC CERAMAX $1,800.00 $1,500.00 $1,500.00 $1,500.00 $1,440.00;
HIPS - PRIMARY;
HIPS - LINER LG ALTRX 40, 44,;
HIPS - PRIMARY HIPS - LINER LG AOX 40MM $1,265.00 $1,040.00 $825.00 $750.00 $825.00;
HIPS - PRIMARY;
HIPS - LINER MARATHON 22.225, 28,;
HIPS - PRIMARY;
HIPS - LINER METAL PINNACLE DUALMOBILITY $1,900.00 $1,300.00 $1,250.00 $1,200.00 $1,200.00;
HIPS - PRIMARY;
HIPS - LINER AOX EMPHASYS DMMOBILE BEARING $1,598.40 $1,416.10 $1,233.80 $1,190.00 $1,190.00;
HIPS - PRIMARY;
HIPS - LINER METAL EMPHASYS DUAL MOBILITY $2,040.00 $1,440.00 $1,390.00 $1,340.00 $1,340.00;
HIPS - PRIMARY HIPS - LINER SELF CENTERING $800.00 $700.00 $600.00 $600.00 $576.00;
HIPS - PRIMARY HIPS - SHELL EMPHASYS GRIPTION S $1,800.00 $1,700.00 $1,500.00 $1,450.00 $1,356.00;
HIPS - PRIMARY HIPS - SLEEVE MODULAR SROM $625.00 $650.00 $650.00 $625.00 $624.00;
HIPS - PRIMARY HIPS - SPACER UNIPOLAR $163.00 $163.00 $160.00 $150.00 $150.00;
HIPS - PRIMARY;
HIPS - STEM BASIC FRACTURECEMENTED $1,150.00 $750.00 $700.00 $700.00 $1,200.00;
HIPS - PRIMARY;
HIPS - STEM BASIC FRACTURE;
PRESSFIT $1,275.00 $750.00 $700.00 $700.00 $1,200.00;
HIPS - PRIMARY HIPS - STEM CEMENTED $1,925.00 $1,400.00 $1,400.00 $1,375.00 $1,344.00;
HIPS - PRIMARY HIPS - STEM MODULAR SROM $2,300.00 $1,900.00 $1,850.00 $1,800.00 $1,761.00;
HIPS - PRIMARY HIPS - STEM POROUS-NO CEMENT $2,775.00 $2,500.00 $2,400.00 $2,300.00 $2,304.00;
HIPS - PRIMARY;
HIPS - STEM POROUS-NO CEMENT BONE PRESERVING (AA) $2,775.00 $2,550.00 $2,500.00 $2,400.00 $2,385.00;
HIPS - PRIMARY;
HIPS - STEM POROUS-NO CEMENT;
DUAL FIXATION $2,775.00 $2,500.00 $2,400.00 $2,300.00 $2,304.00;
HIPS - PRIMARY;
HIPS - STEM POROUS-NO CEMENT HIGH STABILITY (AA) $2,925.00 $2,650.00 $2,500.00 $2,400.00 $2,385.00;
KNEES - PRIMARY KNEES - FEMUR ATTUNE CEMENTED $2,200.00 $1,900.00 $1,800.00 $1,700.00 $1,725.00;
KNEES - PRIMARY KNEES - FEMUR ATTUNE POROUS $3,000.00 $2,200.00 $2,050.00 $2,050.00 $1,968.00;
KNEES - PRIMARY KNEES - FEMUR HP UNI $1,950.00 $1,400.00 $1,300.00 $1,200.00 $1,248.00;
KNEES - PRIMARY KNEES - FEMUR SIGMA CEMENTED $1,950.00 $1,400.00 $1,300.00 $1,200.00 $1,725.00;
KNEES - PRIMARY KNEES - FEMUR SIGMA POROUS $2,600.00 $2,000.00 $1,800.00 $1,800.00 $1,968.00;
KNEES - PRIMARY KNEES - INSERT ATTUNE FB AOX $1,350.00 $1,240.00 $1,100.00 $1,100.00 $1,056.00;
KNEES - PRIMARY KNEES - INSERT ATTUNE MS FB AOX $1,500.00 $1,390.00 $1,250.00 $1,250.00 $1,206.00;
KNEES - PRIMARY KNEES - INSERT ATTUNE RP AOX $1,375.00 $1,290.00 $1,250.00 $1,250.00 $1,200.00;
KNEES - PRIMARY KNEES - INSERT SIGMA FB GVF $1,025.00 $650.00 $650.00 $650.00 $1,056.00;
KNEES - PRIMARY KNEES - INSERT SIGMA FB XLINK $1,175.00 $950.00 $850.00 $800.00 $1,056.00;
KNEES - PRIMARY KNEES - INSERT SIGMA HP UNI $1,125.00 $600.00 $550.00 $550.00 $528.00;
KNEES - PRIMARY KNEES - INSERT SIGMA RP AOX $1,375.00 $1,290.00 $1,200.00 $1,200.00 $1,200.00;
KNEES - PRIMARY KNEES - INSERT SIGMA RP GVF $1,345.00 $1,000.00 $1,000.00 $1,000.00 $1,200.00;
KNEES - PRIMARY;
KNEES - PATELLA ATTUNE ALL POLY ANATOMIC $750.00 $700.00 $600.00 $500.00 $555.00;
KNEES - PRIMARY;
KNEES - PATELLA ATTUNE ALL POLY MEDIAL $750.00 $700.00 $600.00 $500.00 $555.00;
KNEES - PRIMARY;
KNEES - PATELLA ATTUNE AFFIXIUM DOME $930.00 $880.00 $780.00 $680.00 $680.00;
KNEES - PRIMARY;
KNEES - PATELLA ATTUNE AFFIXIUM ANATOMIC $930.00 $880.00 $780.00 $680.00 $680.00;
KNEES - PRIMARY KNEES - PATELLA SIGMA ALL POLY $475.00 $300.00 $300.00 $290.00 $555.00;
KNEES - PRIMARY KNEES - TRAY ATTUNE FB ALL POLY $2,461.00 $2,366.00 $2,041.00 $1,950.00 $1,959.36;
KNEES - PRIMARY;
KNEES - TRAY ATTUNE FB CEMENTED $1,550.00 $1,500.00 $1,275.00 $1,150.00 $1,224.00;
KNEES - PRIMARY KNEES - TRAY ATTUNE FB POROUS $1,850.00 $1,800.00 $1,575.00 $1,450.00 $1,512.00;
KNEES - PRIMARY;
KNEES - TRAY ATTUNE RP CEMENTED $1,600.00 $1,550.00 $1,550.00 $1,400.00 $1,490.00;
KNEES - PRIMARY KNEES - TRAY ATTUNE RP POROUS $1,900.00 $1,850.00 $1,800.00 $1,800.00 $1,728.00;
KNEES - PRIMARY KNEES - TRAY MBT CEMENTED $1,600.00 $1,550.00 $1,500.00 $1,350.00 $1,490.00;
KNEES - PRIMARY KNEES - TRAY MBT POROUS $1,600.00 $1,550.00 $1,550.00 $1,550.00 $1,728.00;
KNEES - PRIMARY KNEES - TRAY SIGMA FB ALL POLY $1,375.00 $1,250.00 $1,125.00 $1,100.00 $1,959.36;
KNEES - PRIMARY;
KNEES - TRAY SIGMA FB COCR CEMENTED $1,550.00 $1,500.00 $1,275.00 $1,100.00 $1,224.00;
KNEES - PRIMARY;
KNEES - TRAY SIGMA FB TI CEMENTED $1,350.00 $1,250.00 $1,125.00 $1,100.00 $1,224.00;
KNEES - PRIMARY KNEES - TRAY SIGMA FB TI POROUS $1,350.00 $1,250.00 $1,225.00 $1,225.00 $1,512.00 ;</t>
  </si>
  <si>
    <t>001030242~00084684.064</t>
  </si>
  <si>
    <t>Amendment To Product Agreement (Velystm Hip Navigation And Robotic-Assisted Solution)</t>
  </si>
  <si>
    <t>GPO Product Agreement</t>
  </si>
  <si>
    <t>PA Member Add Amendment v1 map 07.18.24</t>
  </si>
  <si>
    <t>00005751 UCI Medical Center;
01549671 UCI Health Irvine</t>
  </si>
  <si>
    <t>001030242~00084684.065</t>
  </si>
  <si>
    <t>TCONCEPC</t>
  </si>
  <si>
    <t>Product Agreement (Cerenovus, For IDN)</t>
  </si>
  <si>
    <t>00005715
00006856
00050112
00003871
00013930
01329321
00058200
00005736
00005737
00010004
00005751
00019161
00007152
00007117
00003812
00007146</t>
  </si>
  <si>
    <t>PA IDN 2 YR FIRM 2+1 Capped, $2.2M VC-Q-12995</t>
  </si>
  <si>
    <t xml:space="preserve">00005715 RONALD REAGAN UCLA MEDICAL CENTER;
00006856 SANTA MONICA UCLA MEDICAL;
00050112 UCLA WEST MEDICAL BLDG;
00003871 MOUNT ZION HOSPITAL &amp; MEDICAL CENTER;
00013930 UCSF MEDICAL CENTER;
01329321 UCSF MISSION BAY;
00058200 THE REGENTS OF THE UNIVERSITY OF CALIFORNIA;
00005736 UCSD MEDICAL CENTER;
00005737 UCSD MEDICAL CENTER;
00010004 UNIVERSTY OF CALIFORNIA SAN DIEGO;
00005751 UCI MEDICAL CENTER;
00019161 UNIVERSITY OF CALIFORNIA DAVIS MEDICAL CENTER;
00007152 Fountain Valley Regional Hospital;
00007117 Lakewood Regional Medical Center;
00003812 Los Alamitos Medical Center;
00007146 Placentia Linda Hospital;
</t>
  </si>
  <si>
    <t>Contract Price</t>
  </si>
  <si>
    <t>ASPIRATION TUBING EVT110 CERENOVUS ASPIRATION TUBING SE EA 1
CEREBASE GS9080SD GS 90, 80 CM, STRAIGHT, DISTAL EA 1
CEREBASE GS9090SD GS 90, 90 CM, STRAIGHT, DISTAL EA 1
CEREBASE GS9095SD GS 90, 95 CM, STRAIGHT, DISTAL EA 1
CEREGLIDE 71 NIC71115U 115CM CEREGLIDE 71 CATHETER EA 1
CEREGLIDE 71 NIC71125U 125CM CEREGLIDE 71 CATHETER EA 1
CEREGLIDE 71 NIC71132U 132CM CEREGLIDE 71 CATHETER EA 1
CEREGLIDE 71 NIC71137U 137CM CEREGLIDE 71 CATHETER EA 1
CEREGLIDE 92 SBC92114UG SBC 92 114 CM US EA 1
CEREGLIDE 92 SBC92122UG SBC 92 122 CM US EA 1
CEREGLIDE 92 SBC92130UG SBC 92 130 CM US EA 1
CEREGLIDE 92 SBC92135UG SBC 92 135 CM US EA 1
CEREPAK DETACHER MDH1 MECHANICAL DETACHMENT HANDLE EA 1
EMBOGUARD BG8785U EMBOGUARD 87, 85 CM EA 1
EMBOGUARD BG8795U EMBOGUARD 87, 95 CM EA 1
EMBOTRAP III ET309522 EMBOTRAP III 5 MM X 22 MM EA 1
EMBOTRAP III ET309537 EMBOTRAP III 5 MM X 37 MM EA 1
EMBOTRAP III ET309645 EMBOTRAP III 6.5 MM X 45 MM EA 1
ENTERPRISE 2 ENF401600 ENTERPRISE2 4MMX16MM NO TIP EA 1
ENTERPRISE 2 ENF401612 ENTERPRISE2 4MMX16MM EA 1
ENTERPRISE 2 ENF402300 ENTERPRISE2 4MMX23MM NO TIP EA 1
ENTERPRISE 2 ENF402312 ENTERPRISE2 4MMX23MM EA 1
ENTERPRISE 2 ENF403000 ENTERPRISE2 4MMX30MM NO TIP EA 1
ENTERPRISE 2 ENF403012 ENTERPRISE2 4MMX30MM EA 1
ENTERPRISE 2 ENF403900 ENTERPRISE2 4MMX39MM NO TIP EA 1
ENTERPRISE 2 ENF403912 ENTERPRISE2 4MMX39MM EA 1
ENVOY 5F 55625000 ENVOY 5F, CBL BURKE 100 CM EA 1
ENVOY 5F 55625090 ENVOY 5F, CBL BURKE 90CM EA 1
ENVOY 5F 55625400 ENVOY 5F, H1 100 CM EA 1
ENVOY 5F 55625490 ENVOY 5F, H1 90CM EA 1
ENVOY 5F 55625600 ENVOY 5F, MPC 100 CM EA 1
ENVOY 5F 55625690 ENVOY 5F, MPC 90CM EA 1
ENVOY 5F 55625800 ENVOY 5F, MPD 100 CM EA 1
ENVOY 5F 55625890 ENVOY 5F, MPD 90CM EA 1
ENVOY 5F 55626000 ENVOY 5F, STR 100CM EA 1
ENVOY 5F 55626090 ENVOY 5F, STR 90CM EA 1
ENVOY 6F 67025000 ENVOY 6F, CBL BURKE 100CM EA 1
ENVOY 6F 67025000B ENVOY 6F, XB CBL BURKE 100CM EA 1
ENVOY 6F 67025090 ENVOY 6F, CBL BURKE 90CM EA 1
ENVOY 6F 67025090B ENVOY 6F, XB CBL BURKE 90CM EA 1
ENVOY 6F 67025200 ENVOY 6F, SIM2 100CM EA 1
ENVOY 6F 67025200B ENVOY 6F, XB SIM2 100CM EA 1
ENVOY 6F 67025290 ENVOY 6F, SIM2 90CM EA 1
ENVOY 6F 67025290B ENVOY 6F, XB SIM2 90CM EA 1
ENVOY 6F 67025400 ENVOY 6F, HH-1 100CM EA 1
ENVOY 6F 67025400B ENVOY 6F, XB HH-1 100CM EA 1
ENVOY 6F 67025490 ENVOY 6F, HH-1 90CM EA 1
ENVOY 6F 67025490B ENVOY 6F, XB HH-1 90CM EA 1
ENVOY 6F 67025600 ENVOY 6F, MPC 100CM EA 1
ENVOY 6F 67025600B ENVOY 6F, XB MPC 100CM EA 1
ENVOY 6F 67025690 ENVOY 6F, MPC 90CM EA 1
ENVOY 6F 67025690B ENVOY 6F, XB MPC 90CM EA 1
ENVOY 6F 67025800 ENVOY 6F, MPD 100CM EA 1
ENVOY 6F 67025800B ENVOY 6F, XB MPD 100CM EA 1
ENVOY 6F 67025890 ENVOY 6F, MPD 90CM EA 1
ENVOY 6F 67025890B ENVOY 6F, XB MPD 90CM EA 1
ENVOY 6F 67026000 ENVOY 6F, STR 100CM EA 1
ENVOY 6F 67026000B ENVOY 6F, XB STR 100CM EA 1
ENVOY 6F 67026090 ENVOY 6F, STR 90CM EA 1
ENVOY 6F 67026090B ENVOY 6F, XB STR 90CM EA 1
ENVOY 7F 77824800 ENVOY, 7F, 100 CM, CBL EA 1
ENVOY 7F 77824890 ENVOY, 7F, 90 CM, CBL EA 1
ENVOY 7F 77825200 ENVOY, 7F, 100 CM, SIMMONS 2 EA 1
ENVOY 7F 77825290 ENVOY, 7F, 90 CM, SIMMONS 2 EA 1
ENVOY 7F 77825400 ENVOY, 7F, 100 CM, H1 EA 1
ENVOY 7F 77825490 ENVOY, 7F, 90 CM, H1 EA 1
ENVOY 7F 77825600 ENVOY, 7F, 100 CM, MPC EA 1
ENVOY 7F 77825690 ENVOY, 7F, 90 CM, MPC EA 1
ENVOY 7F 77825800 ENVOY, 7F, 100 CM, MPD EA 1
ENVOY 7F 77825890 ENVOY, 7F, 90 CM, MPD EA 1
ENVOY 7F 77826000 ENVOY, 7F, 100 CM, STRAIGHT EA 1
ENVOY 7F 77826090 ENVOY, 7F, 90 CM, STRAIGHT EA 1
ENVOY DA 67125605D ENVOY DA, 6F, 105CM, MPC EA 1
ENVOY DA 67125605DB ENVOY DA XB, 6F, 105CM, MPC EA 1
ENVOY DA 67125695D ENVOY DA, 6F, 95 CM, MPC EA 1
ENVOY DA 67125695DB ENVOY DA XB, 6F, 95 CM, MPC EA 1
ENVOY DA 67125805D ENVOY DA, 6F, 105CM, MPD EA 1
ENVOY DA 67125805DB ENVOY DA XB, 6F, 105CM, MPD EA 1
ENVOY DA 67125895D ENVOY DA, 6F, 95CM, MPD EA 1
ENVOY DA 67125895DB ENVOY DA XB, 6F, 95 CM, MPD EA 1
ENVOY DA 67126005D ENVOY DA, 6F, 105CM, STRAIGHT EA 1
ENVOY DA 67126005DB ENVOY DA XB, 6F, 105CM, STRAIG EA 1
ENVOY DA 67126095D ENVOY DA, 6F, 95CM, STRAIGHT EA 1
ENVOY DA 67126095DB ENVOY DA XB, 6F, 95 CM, STRAIG EA 1
FREEFORM SCR120306 FREEFORM 3MM X 6 CM EA 1
FREEFORM SCR120308 FREEFORM 3MM X 8 CM EA 1
FREEFORM SCR120407 FREEFORM 4MM X 7 CM EA 1
FREEFORM SCR120410 FREEFORM 4MM X 10 CM EA 1
FREEFORM SCR120412 FREEFORM 4MM X 12 CM EA 1
FREEFORM SCR120510 FREEFORM 5MM X 10 CM EA 1
FREEFORM SCR120515 FREEFORM 5MM X 15 CM EA 1
FREEFORM SCR120610 FREEFORM 6MM X 10 CM EA 1
FREEFORM SCR120615 FREEFORM 6MM X 15 CM EA 1
FREEFORM SCR120620 FREEFORM 6MM X 20 CM EA 1
FREEFORM SCR120715 FREEFORM 7MM X 15 CM EA 1
FREEFORM SCR120721 FREEFORM 7MM X 21 CM EA 1
FREEFORM SCR120815 FREEFORM 8MM X 15 CM EA 1
FREEFORM SCR120824 FREEFORM 8MM X 24 CM EA 1
FREEFORM SCR120925 FREEFORM 9MM X 25 CM EA 1
FREEFORM SCR121030 FREEFORM 10MM X 30 CM EA 1
FREEFORM SCR121230 FREEFORM 12MM X 30 CM EA 1
FREEFORM SCR122505 FREEFORM 2.5MM X 5 CM EA 1
FREEFORM SCR123509 FREEFORM 3.5MM X 9 CM EA 1
FREEFORM SCR123575 FREEFORM 3.5MM X 7.5 CM EA 1
FREEFORM MINI MCR091010 FREEFORM Mini 1MM X 1CM EA 1
FREEFORM MINI MCR091015 FREEFORM Mini 1MM X 1.5CM EA 1
FREEFORM MINI MCR091020 FREEFORM Mini 1MM X 2CM EA 1
FREEFORM MINI MCR091025 FREEFORM Mini 1MM X 2.5CM EA 1
FREEFORM MINI MCR091030 FREEFORM Mini 1MM X 3CM EA 1
FREEFORM MINI MCR091040 FREEFORM Mini 1MM X 4CM EA 1
FREEFORM MINI MCR091520 FREEFORM Mini 1.5MM X 2CM EA 1
FREEFORM MINI MCR091525 FREEFORM Mini 1.5MM X 2.5CM EA 1
FREEFORM MINI MCR091530 FREEFORM Mini 1.5MM X 3CM EA 1
FREEFORM MINI MCR091540 FREEFORM Mini 1.5MM X 4CM EA 1
FREEFORM MINI MCR092030 FREEFORM Mini 2MM X 3CM EA 1
FREEFORM MINI MCR092040 FREEFORM Mini 2MM X 4CM EA 1
FREEFORM MINI MCR092060 FREEFORM Mini 2MM X 6CM EA 1
FREEFORM MINI MCR092535 FREEFORM Mini 2.5MM X 3.5CM EA 1
FREEFORM MINI MCR092545 FREEFORM Mini 2.5MM X 4.5CM EA 1
FREEFORM MINI MCR092555 FREEFORM Mini 2.5MM X 5.5CM EA 1
FREEFORM MINI MCR093040 FREEFORM Mini 3MM X 4CM EA 1
FREEFORM MINI MCR093060 FREEFORM Mini 3MM X 6CM EA 1
FREEFORM MINI MCR093080 FREEFORM Mini 3MM X 8CM EA 1
FREEFORM MINI MCR092020 FREEFORM Mini 2MM X 2MM EA 1
FREEFORM XTRASOFT XCR120201 FREEFORM XSFT 2MM X 1.5 CM EA 1
FREEFORM XTRASOFT XCR120202 FREEFORM XSFT 2MM X 2 CM EA 1
FREEFORM XTRASOFT XCR120304 FREEFORM XSFT 3MM X 4 CM EA 1
FREEFORM XTRASOFT XCR120306 FREEFORM XSFT 3MM X 6 CM EA 1
FREEFORM XTRASOFT XCR120308 FREEFORM XSFT 3MM X 8 CM EA 1
FREEFORM XTRASOFT XCR120406 FREEFORM XSFT 4MM X 6 CM EA 1
FREEFORM XTRASOFT XCR120408 FREEFORM XSFT 4MM X 8 CM EA 1
FREEFORM XTRASOFT XCR120410 FREEFORM XSFT 4MM X 10 CM EA 1
FREEFORM XTRASOFT XCR122505 FREEFORM XSFT 2.5MM X 5 CM EA 1
FREEFORM XTRASOFT XCR122525 FREEFORM XSFT 2.5MM X 2.5 CM EA 1
FREEFORM XTRASOFT XCR122535 FREEFORM XSFT 2.5MM X 3.5 CM EA 1
FREEFORM XTRASOFT XCR123505 FREEFORM XSFT 3.5MM X 5 CM EA 1
FREEFORM XTRASOFT XCR123509 FREEFORM XSFT 3.5MM X 9 CM EA 1
FREEFORM XTRASOFT XCR123575 FREEFORM XSFT 3.5MM X 7.5 CM EA 1
FREEFORM XTRASOFT XCR120510 FREEFORM XSFT 5MM X 10 CM EA 1
FREEFORM XTRASOFT XCR120515 FREEFORM XSFT 5MM X 15 CM EA 1
FREEFORM XTRASOFT XCR120610 FREEFORM XSFT 6MM X 10 CM EA 1
FREEFORM XTRASOFT XCR120620 FREEFORM XSFT 6MM X 20 CM EA 1
HELIFORM XL SHD180312 HELIFORM XL 3MM X 12 CM EA 1
HELIFORM XL SHD180415 HELIFORM XL 4MM X 15 CM EA 1
HELIFORM XL SHD180520 HELIFORM XL 5MM X 20 CM EA 1
HELIFORM XL SHD180625 HELIFORM XL 6MM X 25 CM EA 1
HELIFORM XL SHD180733 HELIFORM XL 7MM X 33 CM EA 1
HELIFORM XL SHD180835 HELIFORM XL 8MM X 35 CM EA 1
HELIFORM XL SHD180935 HELIFORM XL 9MM X 35 CM EA 1
HELIFORM XL SHD181040 HELIFORM XL 10MM X 40 CM EA 1
HELIFORM XL SHD181242 HELIFORM XL 12MM X 42 CM EA 1
HELIFORM XL SHD181445 HELIFORM XL 14MM X 45 CM EA 1
HELIFORM XL SHD181650 HELIFORM XL 16MM X 50 CM EA 1
HELIFORM XL SHD181855 HELIFORM XL 18MM X 55 CM EA 1
HELIFORM XL SHD182060 HELIFORM XL 20MM X 60 CM EA 1
HELIFORM XTRASOFT XL XHE120204 HELIFORM XSFT XL 2MM X 4 CM EA 1
HELIFORM XTRASOFT XL XHE120206 HELIFORM XSFT XL 2MM X 6 CM EA 1
HELIFORM XTRASOFT XL XHE120208 HELIFORM XSFT XL 2MM X 8 CM EA 1
NEUROSCOUT 14 601314 NEUROSCOUT 14, STD EA 1
NEUROSCOUT 14 601414 NEUROSCOUT 14, SOFT EA 1
NEUROSCOUT 14 XL 601315 NEUROSCOUT 14, STD XL EA 1
NEUROSCOUT 14 XL 601415 NEUROSCOUT 14, SOFT XL EA 1
ORBIT GALAXY COMPLEX FILL COIL 640CF0201 OG CMPLX FILL COIL 2X1.5 EA 1
ORBIT GALAXY COMPLEX FILL COIL 640CF0202 OG CMPLX FILL COIL 2X2 EA 1
ORBIT GALAXY COMPLEX FILL COIL 640CF0304 OG CMPLX FILL COIL 3X4 EA 1
ORBIT GALAXY COMPLEX FILL COIL 640CF0306 OG CMPLX FILL COIL 3X6 EA 1
ORBIT GALAXY COMPLEX FILL COIL 640CF0308 OG CMPLX FILL COIL 3X8 EA 1
ORBIT GALAXY COMPLEX XTRASOFT;
COIL 640CX0201 OG CMPLX XTRASOFT COIL 2X1.5 EA 1
ORBIT GALAXY COMPLEX XTRASOFT;
COIL 640CX0202 OG CMPLX XTRASOFT COIL 2X2 EA 1
ORBIT GALAXY COMPLEX XTRASOFT;
COIL 640CX0303 OG CMPLX XTRASOFT COIL 3X3 EA 1
ORBIT GALAXY COMPLEX XTRASOFT;
COIL 640CX0304 OG CMPLX XTRASOFT COIL 3X4 EA 1
ORBIT GALAXY COMPLEX XTRASOFT;
COIL 640CX0306 OG CMPLX XTRASOFT COIL 3X6 EA 1
ORBIT GALAXY COMPLEX XTRASOFT;
COIL 640CX0308 OG CMPLX XTRASOFT COIL 3X8 EA 1
ORBIT GALAXY COMPLEX XTRASOFT;
COIL 640CX0404 OG CMPLX XTRASOFT COIL 4X4 EA 1
ORBIT GALAXY COMPLEX XTRASOFT ;
COIL 640CX0406 OG CMPLX XTRASOFT COIL 4X6 EA 1
ORBIT GALAXY COMPLEX XTRASOFT ;
COIL 640CX0408 OG CMPLX XTRASOFT COIL 4X8 EA 1
ORBIT GALAXY COMPLEX XTRASOFT ;
COIL 640CX0410 OG CMPLX XTRASOFT COIL 4X10 EA 1
ORBIT GALAXY COMPLEX XTRASOFT ;
COIL 640CX2505 OG CMPLX XTRASOFT COIL 2.5X5 EA 1
ORBIT GALAXY COMPLEX XTRASOFT ;
COIL 640CX2525 OG CMPLX XTRASOFT COIL 2.5X2.5 EA 1
ORBIT GALAXY COMPLEX XTRASOFT ;
COIL 640CX2535 OG CMPLX XTRASOFT COIL 2.5X3.5 EA 1
ORBIT GALAXY COMPLEX XTRASOFT ;
COIL 640CX3505 OG CMPLX XTRASOFT COIL 3.5X5 EA 1
ORBIT GALAXY COMPLEX XTRASOFT ;
COIL 640CX3509 OG CMPLX XTRASOFT COIL 3.5X9 EA 1
ORBIT GALAXY COMPLEX XTRASOFT ;
COIL 640CX3575 OG CMPLX XTRASOFT COIL 3.5X7.5 EA 1
ORBIT GALAXY HELICAL XTRASOFT ;
COIL 640HX0204 OG HELICAL XTRSOFT COIL 2X4 EA 1
ORBIT GALAXY HELICAL XTRASOFT ;
COIL 640HX0206 OG HELICAL XTRSOFT COIL 2X6 EA 1
ORBIT GALAXY HELICAL XTRASOFT ;
COIL 640HX0208 OG HELICAL XTRSOFT COIL 2X8 EA 1
ORBIT GALAXY TDL COMPLEX FILL COIL 640CF0404 OG TDL CMPLX FILL COIL 4X4 EA 1
ORBIT GALAXY TDL COMPLEX FILL COIL 640CF0407 OG TDL CMPLX FILL COIL 4X7 EA 1
ORBIT GALAXY TDL COMPLEX FILL COIL 640CF0410 OG TDL CMPLX FILL COIL 4X10 EA 1
ORBIT GALAXY TDL COMPLEX FILL COIL 640CF0412 OG TDL CMPLX FILL COIL 4X12 EA 1
ORBIT GALAXY TDL COMPLEX FILL COIL 640CF0505 OG TDL CMPLX FILL COIL 5X5 EA 1
ORBIT GALAXY TDL COMPLEX FILL COIL 640CF0510 OG TDL CMPLX FILL COIL 5X10 EA 1
ORBIT GALAXY TDL COMPLEX FILL COIL 640CF0515 OG TDL CMPLX FILL COIL 5X15 EA 1
ORBIT GALAXY TDL COMPLEX FILL COIL 640CF0610 OG TDL CMPLX FILL COIL 6X10 EA 1
ORBIT GALAXY TDL COMPLEX FILL COIL 640CF0615 OG TDL CMPLX FILL COIL 6X15 EA 1
ORBIT GALAXY TDL COMPLEX FILL COIL 640CF0620 OG TDL CMPLX FILL COIL 6X20 EA 1
ORBIT GALAXY TDL COMPLEX FILL COIL 640CF0715 OG TDL CMPLX FILL COIL 7X15 EA 1
ORBIT GALAXY TDL COMPLEX FILL COIL 640CF0721 OG TDL CMPLX FILL COIL 7X21 EA 1
ORBIT GALAXY TDL COMPLEX FILL COIL 640CF0815 OG TDL CMPLX FILL COIL 8X15 EA 1
ORBIT GALAXY TDL COMPLEX FILL COIL 640CF0824 OG TDL CMPLX FILL COIL 8X24 EA 1
ORBIT GALAXY TDL COMPLEX FILL COIL 640CF0915 OG TDL CMPLX FILL COIL 9X15 EA 1
ORBIT GALAXY TDL COMPLEX FILL COIL 640CF0925 OG TDL CMPLX FILL COIL 9X25 EA 1
ORBIT GALAXY TDL COMPLEX FILL COIL 640CF1030 OG TDL CMPLX FILL COIL 10X30 EA 1
ORBIT GALAXY TDL COMPLEX FILL COIL 640CF1230 OG TDL CMPLX FILL COIL 12X30 EA 1
ORBIT GALAXY TDL COMPLEX FRAME ;
COIL 640CR0620 OG TDL CMPLX FRAME COIL 6X20 EA 1
ORBIT GALAXY TDL COMPLEX FRAME ;
COIL 640CR0725 OG TDL CMPLX FRAME COIL 7X25 EA 1
ORBIT GALAXY TDL COMPLEX FRAME ;
COIL 640CR0830 OG TDL CMPLX FRAME COIL 8X30 EA 1
ORBIT GALAXY TDL COMPLEX FRAME ;
COIL 640CR0930 OG TDL CMPLX FRAME COIL 9X30 EA 1
ORBIT GALAXY TDL COMPLEX FRAME ;
COIL 640CR1030 OG TDL CMPLX FRAME COIL 10X30 EA 1
ORBIT GALAXY TDL COMPLEX FRAME ;
COIL 640CR1230 OG TDL CMPLX FRAME COIL 12X30 EA 1
ORBIT GALAXY TDL COMPLEX FRAME ;
COIL 640CR1430 OG TDL CMPLX FRAME COIL 14X30 EA 1
ORBIT GALAXY TDL COMPLEX FRAME ;
COIL 640CR1630 OG TDL CMPLX FRAME COIL 16X30 EA 1
ORBIT GALAXY TDL COMPLEX FRAME ;
COIL 640CR1830 OG TDL CMPLX FRAME COIL 18X30 EA 1
ORBIT GALAXY TDL COMPLEX FRAME ;
COIL 640CR2030 OG TDL CMPLX FRAME COIL 20X30 EA 1
PROWLER 10 606051 PROWLER-10 150CM EA 1
PROWLER 10 606051X PROWLER-10 150CM DUAL MARKER EA 1
PROWLER 10 SHAPED 606051FX PRESHAPED PROWLER10 45TIP 2MRK EA 1
PROWLER 10 SHAPED 606051JX PRESHAPED PROWLER10 J TIP 2MRK EA 1
PROWLER 10 SHAPED 606051MX PRESHAPED PROWLER10 90TIP 2MRK EA 1
PROWLER 14 606131 PROWLER-14 135CM EA 1
PROWLER 14 606151 PROWLER-14 150CM EA 1
PROWLER 14 606151X PROWLER-14 DUAL MARKER EA 1
PROWLER 14 606171 PROWLER-14 170CM EA 1
PROWLER 14 SHAPED 606151FX PRESHAPED PROWLER14 45TIP 2MRK EA 1
PROWLER 14 SHAPED 606151JX PRESHAPED PROWLER14 J TIP 2MRK EA 1
PROWLER 14 SHAPED 606151MX PRESHAPED PROWLER14 90TIP 2MRK EA 1
PROWLER EX MC2165S2U 160CM 5CM DISTAL 2 MB STR TIP EA 1
PROWLER PLUS 6062310 PROWLER PLUS CATH EA 1
PROWLER PLUS 6062310F PSHP PROWLER PLUS 135CM MP EA 1
PROWLER PLUS 6062310M PSHP PROWLER PLUS 135CM MAX EA 1
PROWLER PLUS 6062510 PROWLER PLUS 20CM TIP, 150 CM EA 1
PROWLER PLUS 6062510X PROWLER PLUS 150/20CM DUAL ;
MRK EA 1
PROWLER PLUS 6062511 PROWLER PLUS 45CM TIP, 150CM EA 1
PROWLER PLUS 6062511X PROWLER PLUS 150/45CM DUAL ;
MRK EA 1
PROWLER PLUS 6062910 PROWLER PLUS 110CM EA 1
PROWLER PLUS SHAPED 6062310J PSHP PROWLER PLUS 135CM J EA 1
PROWLER PLUS SHAPED 6062510FX PSHP PROWLER PLUS 20CM TIP 45O EA 1
PROWLER PLUS SHAPED 6062510JX PSHP PROWLER PLUS 20CM TIP, J EA 1
PROWLER PLUS SHAPED 6062510MX PSHP PROWLER PLUS 20CM TIP 90O EA 1
PROWLER PLUS SHAPED 6062511FX PSHP PROWLER PLUS 45CM TIP, 45 EA 1
PROWLER SELECT LPES 606S155X PROWLER SELECT LPES EA 1
PROWLER SELECT LPES MC1755S2U MC 0165", 150 cm, straight, US EA 1
PROWLER SELECT LPES SHAPED 606S155FX PROWLER SELECT LPES 45 DEG TIP EA 1
PROWLER SELECT LPES SHAPED 606S155JX PROWLER SELECT LPES J TIP EA 1
PROWLER SELECT LPES SHAPED 606S155MX PROWLER SELECT LPES 90 DEG TIP EA 1
PROWLER SELECT LPES SHAPED MC1755F2U MC 0165", 150 cm, 45 tip, US EA 1
PROWLER SELECT LPES SHAPED MC1755M2U MC 0165", 150 cm, 90 tip, US EA 1
PROWLER SELECT LPES SHAPED MC1755J2U MC 0165", 150 cm, J tip, US EA 1
PROWLER SELECT PLUS 606S252 PROWLER SELECT PLUS 150/15CM EA 1
PROWLER SELECT PLUS 606S252X PROWLER SELECT PLUS 150/15CM EA 1
PROWLER SELECT PLUS 606S255X PROWLER SELECT PLUS 150/5CM EA 1
PROWLER SELECT PLUS 606S272X PROWLER SELECT PLUS 170/15 CM EA 1
PROWLER SELECT PLUS SHAPED 606S252FX PROWLER SELECT PLUS 15CM 45TIP EA 1
PROWLER SELECT PLUS SHAPED 606S255FX PROWLER SEL PLUS 150/5CM 45TIP EA 1
PROWLER SELECT PLUS SHAPED 606S255JX PROWLER SEL PLUS 150/5CM J TIP EA 1
PROWLER SELECT PLUS SHAPED 606S255MX PROWLER SELECT PLUS 5CM 90 TIP EA 1
RAPID TRANSIT 601210 RAPIDTRANSIT 70CM EA 1
RAPID TRANSIT 601231 RAPIDTRANSIT 135CM EA 1
RAPID TRANSIT 601240 RAPIDTRANSIT 100CM EA 1
RAPID TRANSIT 601251 RAPIDTRANSIT 150CM EA 1
RAPID TRANSIT 601251X RAPIDTRANSIT DUAL MARKER ;
150CM EA 1
RAPID TRANSIT 601271 RAPIDTRANSIT 170CM EA 1
TRUFILL N-BCA-1 GRAM KIT 631500 TRUFILL N-BCA-1 GRAM KIT EA 1
TRUFILL N-BCA-1 GRAM SET 632500NA TRUFILL N-BCA 1G &amp; ACCESSORIES EA 1
TRUFILL N-BCA-2 GRAM KIT 631400 TRUFILL N-BCA-2 GRAM KIT EA 1
TRUFILL N-BCA-2 GRAM SET 632400NA TRUFILL N-BCA 2G &amp; ACCESSORIES EA 1
UNIFORM FCX100202 UNIFORM 2MM X 2.5 CM EA 1
UNIFORM FCX100253 UNIFORM 2.5MM X 3.3 CM EA 1
UNIFORM FCX100305 UNIFORM 3MM X 5.4 CM EA 1
UNIFORM FCX100356 UNIFORM 3.5MM X 6.6 CM EA 1
UNIFORM FCX100407 UNIFORM 4MM X 7.5 CM EA 1
UNIFORM FCX100412 UNIFORM 4MM X 11.5 CM EA 1
UNIFORM FCX100509 UNIFORM 5MM X 9.7 CM EA 1
UNIFORM FCX100517 UNIFORM 5MM X 17 CM EA 1
UNIFORM FCX100611 UNIFORM 6MM X 11.9 CM EA 1
UNIFORM FCX100626 UNIFORM 6MM X 26 CM EA 1
UNIFORM FCX100713 UNIFORM 7MM X 13.9 CM EA 1
UNIFORM FCX100730 UNIFORM 7MM X 30 CM EA 1
UNIFORM FCX100816 UNIFORM 8MM X 16.1 CM EA 1
UNIFORM FCX100829 UNIFORM 8MM X 29 CM EA 1
UNIFORM XL FCX180510 UNIFORM XL 5MM X 10 CM EA 1
UNIFORM XL FCX180612 UNIFORM XL 6MM X 12.2 CM EA 1
UNIFORM XL FCX180714 UNIFORM XL 7MM X 14.3 CM EA 1
UNIFORM XL FCX180813 UNIFORM XL 8MM X 13.6 CM EA 1
UNIFORM XL FCX180830 UNIFORM XL 8MM X 30 CM EA 1
UNIFORM XL FCX180915 UNIFORM XL 9MM X 15.3 CM EA 1
UNIFORM XL FCX180933 UNIFORM XL 9MM X 33 CM EA 1
UNIFORM XL FCX181017 UNIFORM XL 10MM X 17.1 CM EA 1
UNIFORM XL FCX181034 UNIFORM XL 10MM X 34 CM EA 1
UNIFORM XL FCX181118 UNIFORM XL 11MM X 18.9 CM EA 1
UNIFORM XL FCX181137 UNIFORM XL 11MM X 37 CM EA 1
UNIFORM XL FCX181240 UNIFORM XL 12MM X 40 CM EA 1
UNIFORM XL FCX181343 UNIFORM XL 13MM X 43 CM EA 1
UNIFORM XL FCX181447 UNIFORM XL 14MM X 47 CM EA 1
UNIFORM XL FCX181647 UNIFORM XL 16MM X 47 CM EA 1
UNIFORM XL FCX181846 UNIFORM XL 18MM X 46 CM EA 1
UNIFORM XL FCX182050 UNIFORM XL 20MM X 50 CM EA 1
VIRTUAL KIT SERIES 000 CEREGLIDE + ;
TUBING CG25T CG 125CM + TUBING SET EA 1
VIRTUAL KIT SERIES 000 CEREGLIDE + ;
TUBING CG32T CG 132CM + TUBING SET EA 1
VIRTUAL KIT SERIES 100 EMBOTRAP III ;
+ PROWLER EX PAC12 ETIII 5x22mm + PX160 EA 1
VIRTUAL KIT SERIES 100 EMBOTRAP III ;
+ PROWLER EX PAC17 ETIII 5x37mm + PX160 EA 1
VIRTUAL KIT SERIES 100 EMBOTRAP III ;
+ PROWLER EX PAC15 ETIII 6.5x45mm + PX160 EA 1
VIRTUAL KIT SERIES 200 CEREBASE + ;
CEREGLIDE + TUBING 2C80CG5 CEREBASE 80CM + CG 125CMTS EA 1
VIRTUAL KIT SERIES 200 CEREBASE + ;
CEREGLIDE + TUBING 2C90CG5 CEREBASE 90CM + CG 125CMTS EA 1
VIRTUAL KIT SERIES 200 CEREBASE + ;
CEREGLIDE + TUBING 2C95CG5 CEREBASE 95CM + CG 125CMTS EA 1
VIRTUAL KIT SERIES 200 CEREBASE + ;
CEREGLIDE + TUBING 2C80CG2 CEREBASE 80CM + CG 132CMTS EA 1
VIRTUAL KIT SERIES 200 CEREBASE + ;
CEREGLIDE + TUBING 2C90CG2 CEREBASE 90CM + CG 132CMTS EA 1
VIRTUAL KIT SERIES 200 CEREBASE + ;
CEREGLIDE + TUBING 2C95CG2 CEREBASE 95CM + CG 132CMTS EA 1
VIRTUAL KIT SERIES 200 CEREBASE + ;
EMBOTRAP III 2C802 CEREBASE 80CM + ETIII 5X22MM EA 1
VIRTUAL KIT SERIES 200 CEREBASE + ;
EMBOTRAP III 2C902 CEREBASE 90cm + ETIII 5x22mm EA 1
VIRTUAL KIT SERIES 200 CEREBASE + ;
EMBOTRAP III 2C952 CEREBASE 95cm + ETIII 5x22mm EA 1
VIRTUAL KIT SERIES 200 CEREBASE + ;
EMBOTRAP III 2C807 CEREBASE 80cm + ETIII 5x37mm EA 1
VIRTUAL KIT SERIES 200 CEREBASE + ;
EMBOTRAP III 2C907 CEREBASE 90cm + ETIII 5x37mm EA 1
VIRTUAL KIT SERIES 200 CEREBASE + ;
EMBOTRAP III 2C957 CEREBASE 95cm + ETIII 5x37mm EA 1
VIRTUAL KIT SERIES 200 CEREBASE + ;
EMBOTRAP III 2C805 CEREBASE 80cm + ETIII 6x45mm EA 1
VIRTUAL KIT SERIES 200 CEREBASE + ;
EMBOTRAP III 2C905 CEREBASE 90cm + ETIII 6x45mm EA 1
VIRTUAL KIT SERIES 200 CEREBASE + ;
EMBOTRAP III 2C955 CEREBASE 95cm + ETIII 6x45mm EA 1
VIRTUAL KIT SERIES 200 EMBOGUARD ;
+ CEREGLIDE + TUBING 2E85CG5 EMBOGUARD 85CM + CG 125CMTS EA 1
VIRTUAL KIT SERIES 200 EMBOGUARD ;
+ CEREGLIDE + TUBING 2E95CG5 EMBOGUARD 95CM + CG 125CMTS EA 1
VIRTUAL KIT SERIES 200 EMBOGUARD ;
+ CEREGLIDE + TUBING 2E85CG2 EMBOGUARD 85CM + CG 132CMTS EA 1
VIRTUAL KIT SERIES 200 EMBOGUARD ;
+ CEREGLIDE + TUBING 2E95CG2 EMBOGUARD 95CM + CG 132CMTS EA 1</t>
  </si>
  <si>
    <t>Subject to the terms and conditions of this PA, the Company shall offer the Products to the Participants at the Contract Price stated in Schedule A. Only products covered by Schedule A and purchased under this PA are eligible for Price Concessions. The Company will hold each such Contract Price firm for the first Twenty-four (24) months period from the PA Effective Date. Thereafter, on or about each annual anniversary of the PA, the Company will be entitled to raise each Contract Price by up to three percent (3%), with 60 day written notice to the Customer. From time to time, the Company may offer, in writing, additional Discounts based on a Participant’s single purchase transaction. All other terms and conditions of this PA would apply to any such Participant purchases</t>
  </si>
  <si>
    <t>001030242~00084684.066</t>
  </si>
  <si>
    <t xml:space="preserve"> 00201529_x000D_</t>
  </si>
  <si>
    <t>00005715
00006856</t>
  </si>
  <si>
    <t>PA WL V3 20241105</t>
  </si>
  <si>
    <t>00005715 Ronald Reagan UCLA Medical Center;
00006856 Santa Monica UCLA Medical;</t>
  </si>
  <si>
    <t>Probes LK15 NEUWAVE LK Probe, 15CM, 17GA
Probes LK20 NEUWAVE LK Probe, 20CM, 17GA
Probes LN15 NEUWAVE LN Probe, 15CM, 17GA
Probes LN20 NEUWAVE LN Probe, 20CM, 17GA
Probes PR15 NEUWAVE PR Probe, 15CM, 17GA
Probes PR20 NEUWAVE PR Probe, 20CM, 17GA
Probes NWSR25 NEUWAVE SR Probe, 25CM, 13GA
Probes LK15XT NEUWAVE LK XT Probe, 15CM, 15GA TO 17GA, Tapered
Probes LK20XT NEUWAVE LK XT Probe, 20CM. 15GA TO 17GA, Tapered
Probes PR15XT NEUWAVE PR XT Probe, 15CM, 15GA TO 17GA, Tapered
Probes PR20XT NEUWAVE PR XT Probe, 20CM, 15GA TO 17GA, Tapered
Probes PRS15 NEUWAVE Open Surgical PR Probe, 15CM, 15GA to 17GA, Tapered (2.9M Cable)
Probes PRS35* NEUWAVE Lap Surgical PR Probe, 35CM, 11GA to 13GA, Tapered (2.9M cable)
Accessories RCPK NeuWave System PTC Clip, 5 pack</t>
  </si>
  <si>
    <t xml:space="preserve">This PA includes pricing for Probes and Accessories shown in Table 
1. Pricing shall remain firm for the term of this PA. The Company may at its discretion add or remove 
Products from this PA.
</t>
  </si>
  <si>
    <t>001030242~00084684.067</t>
  </si>
  <si>
    <t>Product Agreement
Velys™ Hip Navigation And Robotic-Assisted Solution Placement 
Agreement</t>
  </si>
  <si>
    <t>VELYS HIP NAVIGATION AND ROBOTIC-ASSISTED SOLUTION</t>
  </si>
  <si>
    <t>00005751
01549671</t>
  </si>
  <si>
    <t>Velys Gold Placement via Procedure PA v7 map 12.13.24</t>
  </si>
  <si>
    <t>00005751 UCI Medical Center;
01549671 UCI Health Irvine;</t>
  </si>
  <si>
    <t>Pay-Per-Case</t>
  </si>
  <si>
    <t>451580002 CYBERMED ALL IN ONE PC 1  EA;
451580011 VHRC RC STORAGE MODULE 1  EA;
451580012 MEDICAL GRADE POWER STRIP 1  EA;
451580013 MOLDED CABLE CLEAT 1  EA;
451580014 FLUSH MOUNT FOR FLAT PANEL 1  EA;
451580015 MEDICAL GRADE SILICONE KEYBOAR 1  EA; 
451580016 LUNA BNC TO VGA HMDI CONVERTER 1  EA;
451580075 EPIPHAN AV.IO 4K USB VID GRAB 1  EA;
451580018BNC Cable - Male to Male Extension Connector 1  EA;
451580037 VHN Vari HT Cart-Stand 1  EA;
451580039 VHN Vari HT Cart-Base 1  EA;
451580073 DISPLAY PORT TO HDMI CABLE 1  EA;
451580031 DVI-A TO VGA CONNECTOR CORD 1  EA;
451580074 VGA TO HDMI CONVERTER CABLE 1  EA;
Description SKU QTY UOM;
VELYS BASE STATION 451570100 1 EA;
VELYS POWER CABLE TYPE B 451570118 1 EA;
VELYS SATELLITE STATION 451570101 1 EA;
VELYS HOLDING ARM TBD* 1 EA;
Reusable Instrument Set   4 EA;
DPS AL CASE FULL MID HEIGHT 480000100 4 EA;
DPS AL LID FULL 480010000 4 EA;
VELYS INSTRUMENT CASE KNEE 451570232 4 EA;
VELYS SAW HANDPIECE 451570102 4 EA;
VELYS SAW INTERFACE LEFT 451570105 4 EA;
VELYS SAW INTERFACE RIGHT 451570106 4 EA;
VELYS ARRAY CLAMP 451570107 8 EA;
VELYS ARRAY DRILL PIN INSERTER 451570108 4 EA;
VELYS DEVICE ARRAY INTERFACE 451570109 4 EA;
VELYS SAW CLEANING BASKET 451570114 4 EA;
VELYS KNEE-SAW CLEAN CAP 451570226 8 EA;
ATTUNE PAT/FEM SZ 3-10 DRILL 254500049 4 EA;
PFC SPEC1 PATELLAR CALIPER 869188 4 EA;
CAS LIGAMENT TENSOR HANDLE 129901054 4 EA;
CAS TENSOR SPACER 5MM 129901055 8 EA;
CAS TENSOR SPACER 10MM 129901056 8 EA;
CAS LIGAMENT TENSOR SIZE 2-XF 129901080 4 EA;
CAS LIGAMENT TENSOR SIZE 4-XF 129901081 4 EA;
Total Knee Arthroplasty;
VELYS™ Robotic-Assisted Solution for Unicompartmental Knee Arthroplasty;
Secure Service Plan;</t>
  </si>
  <si>
    <t>001030242~00084684.069</t>
  </si>
  <si>
    <t>01305718
00005715
00006856
01030611
00058200
00010004
00005737
01384357
01018666
00003871
00013930
01329321
00019161
00005751</t>
  </si>
  <si>
    <t>PA Amend sl v1 01-22-2025.docx</t>
  </si>
  <si>
    <t>HIPS - PRIMARY;
HIPS - REVISION;
LPS - HIPS;
HIPS - DISPOSABLES;
HIPS - INSTRUMENTS;
KNEES - PRIMARY;
KNEES - REVISION;
LPS - KNEES;
KNEES - DISPOSABLES; 
KNEES - INSTRUMENTS;
SHOULDERS - PRIMARY;
SHOULDERS - REVISION;
SHOULDERS - DISPOSABLES;
SHOULDERS - INSTRUMENTS;
OR MED - DISPOSABLES;
OR MED - OR MED ENVIRONMENTAL;
OR MED - INSTRUMENT - GENERAL;
BONE CEMENT;
BONE CEMENT ACCESSORIES;</t>
  </si>
  <si>
    <t xml:space="preserve">On a prospective basis only, the Products and Pricing Tier </t>
  </si>
  <si>
    <t>The list of eligible participants is found in the original contract.</t>
  </si>
  <si>
    <t>001030242~00084684.070</t>
  </si>
  <si>
    <t>00058200 
00005715 
00005737 
00006856 
00010004 
00019161 </t>
  </si>
  <si>
    <t>PA Amendment sg v1 2-12-25.docx</t>
  </si>
  <si>
    <t>DEP Biologics Disposable 61000100 100mm Cannula EA
DEP Biologics Disposable 61000200 200mm Cannula EA
DEP Biologics Disposable 62000200 GPS Pusher EA
DEP Fibergraft 46000020 2cc FIBERGRAFT Morsels EA
DEP Fibergraft 46000050 6cc FIBERGRAFT Morsels EA
DEP Fibergraft 46000100 11cc FIBERGRAFT Morsels EA
DEP Fibergraft 47000010 1cc FIBERGRAFT Putty EA
DEP Fibergraft 47000020 2cc FIBERGRAFT Putty EA
DEP Fibergraft 47000040 4cc FIBERGRAFT Putty EA
DEP Fibergraft 47000060 6cc FIBERGRAFT Putty EA
DEP Fibergraft 47000110 11cc FIBERGRAFT Putty EA
DEP Fibergraft 48000040 4cc FIBERGRAFT GPS Putty EA
DEP Fibergraft 48000060 6cc FIBERGRAFT GPS Putty EA
DEP Fibergraft 48000110 11cc FIBERGRAFT GPS Putty EA
DEP Fibergraft 55000030 3cc FIBERGRAFT BG Matrix EA
DEP Fibergraft 55000063 6.25cc FIBERGRAFT BG Matrix EA
DEP Fibergraft 55000125 12.5cc FIBERGRAFT BG Matrix EA
DEP Fibergraft 55000200 20cc FIBERGRAFT BG Matrix EA</t>
  </si>
  <si>
    <t>Updated list of eligible participants: UCI Medical Center has been removed from the list of eligible participants as per notice/amendment #2 of the original contract with trim number: 001030242~00043614.160</t>
  </si>
  <si>
    <t>001030242~00084684.071</t>
  </si>
  <si>
    <t>00003871
00005801
00013930
01329321</t>
  </si>
  <si>
    <t>PA Amendment sg 2-14-25.docx</t>
  </si>
  <si>
    <t>TRIALTIS 5560131080CDS POLY FA DL, CANN, 10MM X 80 EA
TRIALTIS 5560139065FS POLY FA, FEN, 9MM X 65 EA
TRIALTIS 5560139060FS POLY FA, FEN, 9MM X 60 EA
TRIALTIS 5560139055FS POLY FA, FEN, 9MM X 55 EA
TRIALTIS 5560139050FS POLY FA, FEN, 9MM X 50 EA
TRIALTIS 5560139045FS POLY FA, FEN, 9MM X 45 EA
TRIALTIS 5560139040FS POLY FA, FEN, 9MM X 40 EA
TRIALTIS 5560139035FS POLY FA, FEN, 9MM X 35 EA
TRIALTIS 5560139030FS POLY FA, FEN, 9MM X 30 EA
TRIALTIS 5560138565FS POLY FA, FEN, 8.5MM X65 EA
TRIALTIS 5560138560FS POLY FA, FEN, 8.5MM X60 EA
TRIALTIS 5560138555FS POLY FA, FEN, 8.5MM X55 EA
TRIALTIS 5560138550FS POLY FA, FEN, 8.5MM X50 EA
TRIALTIS 5560138545FS POLY FA, FEN, 8.5MM X45 EA
TRIALTIS 5560138540FS POLY FA, FEN, 8.5MM X40 EA
TRIALTIS 5560138535FS POLY FA, FEN, 8.5MM X35 EA
TRIALTIS 5560138530FS POLY FA, FEN, 8.5MM X30 EA
TRIALTIS 5560138065FS POLY FA, FEN, 8MM X 65 EA
TRIALTIS 5560138060FS POLY FA, FEN, 8MM X 60 EA
TRIALTIS 5560138055FS POLY FA, FEN, 8MM X 55 EA
TRIALTIS 5560138050FS POLY FA, FEN, 8MM X 50 EA
TRIALTIS 5560138045FS POLY FA, FEN, 8MM X 45 EA
TRIALTIS 5560138040FS POLY FA, FEN, 8MM X 40 EA
TRIALTIS 5560138035FS POLY FA, FEN, 8MM X 35 EA
TRIALTIS 5560138030FS POLY FA, FEN, 8MM X 30 EA
TRIALTIS 5560137580FS POLY FA, FEN, 7.5MM X 80 EA
TRIALTIS 5560137565FS POLY FA, FEN, 7.5MM X 65 EA
TRIALTIS 5560137560FS POLY FA, FEN, 7.5MM X 60 EA
TRIALTIS 5560137555FS POLY FA, FEN, 7.5MM X 55 EA
TRIALTIS 5560137550FS POLY FA, FEN, 7.5MM X 50 EA
TRIALTIS 5560137545FS POLY FA, FEN, 7.5MM X 45 EA
TRIALTIS 5560137540FS POLY FA, FEN, 7.5MM X 40 EA
TRIALTIS 5560137535FS POLY FA, FEN, 7.5MM X 35 EA
TRIALTIS 5560137530FS POLY FA, FEN, 7.5MM X 30 EA
TRIALTIS 5560131065FS POLY FA, FEN, 10MM X 65 EA
TRIALTIS 5560131060FS POLY FA, FEN, 10MM X 60 EA
TRIALTIS 5560131055FS POLY FA, FEN, 10MM X 55 EA
TRIALTIS 5560131050FS POLY FA, FEN, 10MM X 50 EA
TRIALTIS 5560131045FS POLY FA, FEN, 10MM X 45 EA
TRIALTIS 5560131040FS POLY FA, FEN, 10MM X 40 EA
TRIALTIS 5560131035FS POLY FA, FEN, 10MM X 35 EA
TRIALTIS 5560131030FS POLY FA, FEN, 10MM X 30 EA
TRIALTIS 5560139099CDS POLY FA DL, CANN, 9MM X 100 EA
TRIALTIS 5560139090CDS POLY FA DL, CANN, 9MM X 90 EA
TRIALTIS 5560139080CDS POLY FA DL, CANN, 9MM X 80 EA
TRIALTIS 5560138099CDS POLY FA DL, CANN, 8MM X 100 EA
TRIALTIS 5560138090CDS POLY FA DL, CANN, 8MM X 90 EA
TRIALTIS 5560138080CDS POLY FA DL, CANN, 8MM X 80 EA
TRIALTIS 5560131099CDS POLY FA DL, CANN, 10MM X 100 EA
TRIALTIS 5560131090CDS POLY FA DL, CANN, 10MM X 90 EA
TRIALTIS 5560124530FS POLY SCREW, FEN, 4.5MM X 30 EA
TRIALTIS 5560127065FS POLY SCREW, FEN, 7MM X 65 EA
TRIALTIS 5560127060FS POLY SCREW, FEN, 7MM X 60 EA
TRIALTIS 5560127055FS POLY SCREW, FEN, 7MM X 55 EA
TRIALTIS 5560127050FS POLY SCREW, FEN, 7MM X 50 EA
TRIALTIS 5560127045FS POLY SCREW, FEN, 7MM X 45 EA
TRIALTIS 5560127040FS POLY SCREW, FEN, 7MM X 40 EA
TRIALTIS 5560127035FS POLY SCREW, FEN, 7MM X 35 EA
TRIALTIS 5560127030FS POLY SCREW, FEN, 7MM X 30 EA
TRIALTIS 5560126565FS POLY SCREW, FEN, 6.5MM X 65 EA
TRIALTIS 5560126560FS POLY SCREW, FEN, 6.5MM X 60 EA
TRIALTIS 5560126555FS POLY SCREW, FEN, 6.5MM X 55 EA
TRIALTIS 5560126550FS POLY SCREW, FEN, 6.5MM X 50 EA
TRIALTIS 5560126545FS POLY SCREW, FEN, 6.5MM X 45 EA
TRIALTIS 5560126540FS POLY SCREW, FEN, 6.5MM X 40 EA
TRIALTIS 5560126535FS POLY SCREW, FEN, 6.5MM X 35 EA
TRIALTIS 5560126530FS POLY SCREW, FEN, 6.5MM X 30 EA
TRIALTIS 5560126080FS POLY SCREW, FEN, 6MM X 80 EA
TRIALTIS 5560126065FS POLY SCREW, FEN, 6MM X 65 EA
TRIALTIS 5560126060FS POLY SCREW, FEN, 6MM X 60 EA
TRIALTIS 5560126055FS POLY SCREW, FEN, 6MM X 55 EA
TRIALTIS 5560126050FS POLY SCREW, FEN, 6MM X 50 EA
TRIALTIS 5560126045FS POLY SCREW, FEN, 6MM X 45 EA
TRIALTIS 5560126040FS POLY SCREW, FEN, 6MM X 40 EA
TRIALTIS 5560126035FS POLY SCREW, FEN, 6MM X 35 EA
TRIALTIS 5560126030FS POLY SCREW, FEN, 6MM X 30 EA
TRIALTIS 5560125560FS POLY SCREW, FEN, 5.5MM X 60 EA
TRIALTIS 5560125555FS POLY SCREW, FEN, 5.5MM X 55 EA
TRIALTIS 5560125550FS POLY SCREW, FEN, 5.5MM X 50 EA
TRIALTIS 5560125545FS POLY SCREW, FEN, 5.5MM X 45 EA
TRIALTIS 5560125540FS POLY SCREW, FEN, 5.5MM X 40 EA
TRIALTIS 5560125535FS POLY SCREW, FEN, 5.5MM X 35 EA
TRIALTIS 5560125530FS POLY SCREW, FEN, 5.5MM X 30 EA
TRIALTIS 5560125060FS POLY SCREW, FEN, 5MM X 60 EA
TRIALTIS 5560125055FS POLY SCREW, FEN, 5MM X 55 EA
TRIALTIS 5560125050FS POLY SCREW, FEN, 5MM X 50 EA
TRIALTIS 5560125045FS POLY SCREW, FEN, 5MM X 45 EA
TRIALTIS 5560125040FS POLY SCREW, FEN, 5MM X 40 EA
TRIALTIS 5560125035FS POLY SCREW, FEN, 5MM X 35 EA
TRIALTIS 5560125030FS POLY SCREW, FEN, 5MM X 30 EA
TRIALTIS 5560124560FS POLY SCREW, FEN, 4.5MM X 60 EA
TRIALTIS 5560124555FS POLY SCREW, FEN, 4.5MM X 55 EA
TRIALTIS 5560124550FS POLY SCREW, FEN, 4.5MM X 50 EA
TRIALTIS 5560124545FS POLY SCREW, FEN, 4.5MM X 45 EA
TRIALTIS 5560124540FS POLY SCREW, FEN, 4.5MM X 40 EA
TRIALTIS 5560124535FS POLY SCREW, FEN, 4.5MM X 35 EA
TRIALTIS 5560041010CS POLY SAI, CANN 10MM X 110 EA
TRIALTIS 5560049099CS POLY SAI, CANN 9MM X 100 EA
TRIALTIS 5560049090CS POLY SAI, CANN 9MM X 90 EA
TRIALTIS 5560049080CS POLY SAI, CANN 9MM X 80 EA
TRIALTIS 5560049070CS POLY SAI, CANN 9MM X 70 EA
TRIALTIS 5560049065CS POLY SAI, CANN 9MM X 65 EA
TRIALTIS 5560049010CS POLY SAI, CANN 9MM X 110 EA
TRIALTIS 5560048099CS POLY SAI, CANN 8MM X 100 EA
TRIALTIS 5560048090CS POLY SAI, CANN 8MM X 90 EA
TRIALTIS 5560048080CS POLY SAI, CANN 8MM X 80 EA
TRIALTIS 5560048070CS POLY SAI, CANN 8MM X 70 EA
TRIALTIS 5560048065CS POLY SAI, CANN 8MM X 65 EA
TRIALTIS 5560048010CS POLY SAI, CANN 8MM X 110 EA
TRIALTIS 5560047010CS POLY SAI, CANN 7MM X 110 EA
TRIALTIS 5560041199CS POLY SAI, CANN 11MM X 100 EA
TRIALTIS 5560041190CS POLY SAI, CANN 11MM X 90 EA
TRIALTIS 5560041180CS POLY SAI, CANN 11MM X 80 EA
TRIALTIS 5560041165CS POLY SAI, CANN 11MM X 65 EA
TRIALTIS 5560041099CS POLY SAI, CANN 10MM X 100 EA
TRIALTIS 5560041090CS POLY SAI, CANN 10MM X 90 EA
TRIALTIS 5560041080CS POLY SAI, CANN 10MM X 80 EA
TRIALTIS 5560041070CS POLY SAI, CANN 10MM X 70 EA
TRIALTIS 5560041065CS POLY SAI, CANN 10MM X 65 EA
TRIALTIS 5560646020 LAT O-R 563-60 L20 EA
TRIALTIS 5560646060 LAT O-R 563-60 L60 EA
TRIALTIS 5560646050 LAT O-R 563-60 L50 EA
TRIALTIS 5560646040 LAT O-R 563-60 L40 EA
TRIALTIS 5560646030 LAT O-R 563-60 L30 EA
TRIALTIS 5560124520S POLY SCREW, SOLID 4.5MM X 20 EA
TRIALTIS 5560127080S POLY SCREW, SOLID 7MM X 80 EA
TRIALTIS 5560127070S POLY SCREW, SOLID 7MM X 70 EA
TRIALTIS 5560127065S POLY SCREW, SOLID 7MM X 65 EA
TRIALTIS 5560127060S POLY SCREW, SOLID 7MM X 60 EA
TRIALTIS 5560127055S POLY SCREW, SOLID 7MM X 55 EA
TRIALTIS 5560127050S POLY SCREW, SOLID 7MM X 50 EA
TRIALTIS 5560127045S POLY SCREW, SOLID 7MM X 45 EA
TRIALTIS 5560127040S POLY SCREW, SOLID 7MM X 40 EA
TRIALTIS 5560127035S POLY SCREW, SOLID 7MM X 35 EA
TRIALTIS 5560127030S POLY SCREW, SOLID 7MM X 30 EA
TRIALTIS 5560127025S POLY SCREW, SOLID 7MM X 25 EA
TRIALTIS 5560126565S POLY SCREW, SOLID 6.5MM X 65 EA
TRIALTIS 5560126560S POLY SCREW, SOLID 6.5MM X 60 EA
TRIALTIS 5560126555S POLY SCREW, SOLID 6.5MM X 55 EA
TRIALTIS 5560126550S POLY SCREW, SOLID 6.5MM X 50 EA
TRIALTIS 5560126545S POLY SCREW, SOLID 6.5MM X 45 EA
TRIALTIS 5560126540S POLY SCREW, SOLID 6.5MM X 40 EA
TRIALTIS 5560126535S POLY SCREW, SOLID 6.5MM X 35 EA
TRIALTIS 5560126530S POLY SCREW, SOLID 6.5MM X 30 EA
TRIALTIS 5560126525S POLY SCREW, SOLID 6.5MM X 25 EA
TRIALTIS 5560126080S POLY SCREW, SOLID 6MM X 80 EA
TRIALTIS 5560126070S POLY SCREW, SOLID 6MM X 70 EA
TRIALTIS 5560126065S POLY SCREW, SOLID 6MM X 65 EA
TRIALTIS 5560126060S POLY SCREW, SOLID 6MM X 60 EA
TRIALTIS 5560126055S POLY SCREW, SOLID 6MM X 55 EA
TRIALTIS 5560126050S POLY SCREW, SOLID 6MM X 50 EA
TRIALTIS 5560126045S POLY SCREW, SOLID 6MM X 45 EA
TRIALTIS 5560126040S POLY SCREW, SOLID 6MM X 40 EA
TRIALTIS 5560126035S POLY SCREW, SOLID 6MM X 35 EA
TRIALTIS 5560126030S POLY SCREW, SOLID 6MM X 30 EA
TRIALTIS 5560126025S POLY SCREW, SOLID 6MM X 25 EA
TRIALTIS 5560125560S POLY SCREW, SOLID 5.5MM X 60 EA
TRIALTIS 5560125555S POLY SCREW, SOLID 5.5MM X 55 EA
TRIALTIS 5560125550S POLY SCREW, SOLID 5.5MM X 50 EA
TRIALTIS 5560125545S POLY SCREW, SOLID 5.5MM X 45 EA
TRIALTIS 5560125540S POLY SCREW, SOLID 5.5MM X 40 EA
TRIALTIS 5560125535S POLY SCREW, SOLID 5.5MM X 35 EA
TRIALTIS 5560125530S POLY SCREW, SOLID 5.5MM X 30 EA
TRIALTIS 5560125525S POLY SCREW, SOLID 5.5MM X 25 EA
TRIALTIS 5560125520S POLY SCREW, SOLID 5.5MM X 20 EA
TRIALTIS 5560125060S POLY SCREW, SOLID 5MM X 60 EA
TRIALTIS 5560125055S POLY SCREW, SOLID 5MM X 55 EA
TRIALTIS 5560125050S POLY SCREW, SOLID 5MM X 50 EA
TRIALTIS 5560125045S POLY SCREW, SOLID 5MM X 45 EA
TRIALTIS 5560125040S POLY SCREW, SOLID 5MM X 40 EA
TRIALTIS 5560125035S POLY SCREW, SOLID 5MM X 35 EA
TRIALTIS 5560125030S POLY SCREW, SOLID 5MM X 30 EA
TRIALTIS 5560125025S POLY SCREW, SOLID 5MM X 25 EA
TRIALTIS 5560125020S POLY SCREW, SOLID 5MM X 20 EA
TRIALTIS 5560124560S POLY SCREW, SOLID 4.5MM X 60 EA
TRIALTIS 5560124555S POLY SCREW, SOLID 4.5MM X 55 EA
TRIALTIS 5560124550S POLY SCREW, SOLID 4.5MM X 50 EA
TRIALTIS 5560124545S POLY SCREW, SOLID 4.5MM X 45 EA
TRIALTIS 5560124540S POLY SCREW, SOLID 4.5MM X 40 EA
TRIALTIS 5560124535S POLY SCREW, SOLID 4.5MM X 35 EA
TRIALTIS 5560124530S POLY SCREW, SOLID 4.5MM X 30 EA
TRIALTIS 5560124525S POLY SCREW, SOLID 4.5MM X 25 EA
TRIALTIS 5560131010DS POLY FA DL, SOLID 10MM X 110 EA
TRIALTIS 5560139080S POLY FA, SOLID 9MM X 80 EA
TRIALTIS 5560139070S POLY FA, SOLID 9MM X 70 EA
TRIALTIS 5560139065S POLY FA, SOLID 9MM X 65 EA
TRIALTIS 5560139060S POLY FA, SOLID 9MM X 60 EA
TRIALTIS 5560139055S POLY FA, SOLID 9MM X 55 EA
TRIALTIS 5560139050S POLY FA, SOLID 9MM X 50 EA
TRIALTIS 5560139045S POLY FA, SOLID 9MM X 45 EA
TRIALTIS 5560139040S POLY FA, SOLID 9MM X 40 EA
TRIALTIS 5560139035S POLY FA, SOLID 9MM X 35 EA
TRIALTIS 5560139030S POLY FA, SOLID 9MM X 30 EA
TRIALTIS 5560138565S POLY FA, SOLID 8.5MM X65 EA
TRIALTIS 5560138560S POLY FA, SOLID 8.5MM X60 EA
TRIALTIS 5560138555S POLY FA, SOLID 8.5MM X55 EA
TRIALTIS 5560138550S POLY FA, SOLID 8.5MM X50 EA
TRIALTIS 5560138545S POLY FA, SOLID 8.5MM X45 EA
TRIALTIS 5560138540S POLY FA, SOLID 8.5MM X40 EA
TRIALTIS 5560138535S POLY FA, SOLID 8.5MM X35 EA
TRIALTIS 5560138530S POLY FA, SOLID 8.5MM X30 EA
TRIALTIS 5560138080S POLY FA, SOLID 8MM X 80 EA
TRIALTIS 5560138070S POLY FA, SOLID 8MM X 70 EA
TRIALTIS 5560138065S POLY FA, SOLID 8MM X 65 EA
TRIALTIS 5560138060S POLY FA, SOLID 8MM X 60 EA
TRIALTIS 5560138055S POLY FA, SOLID 8MM X 55 EA
TRIALTIS 5560138050S POLY FA, SOLID 8MM X 50 EA
TRIALTIS 5560138045S POLY FA, SOLID 8MM X 45 EA
TRIALTIS 5560138040S POLY FA, SOLID 8MM X 40 EA
TRIALTIS 5560138035S POLY FA, SOLID 8MM X 35 EA
TRIALTIS 5560138030S POLY FA, SOLID 8MM X 30 EA
TRIALTIS 5560137580S POLY FA, SOLID 7.5MM X 80 EA
TRIALTIS 5560137570S POLY FA, SOLID 7.5MM X 70 EA
TRIALTIS 5560137565S POLY FA, SOLID 7.5MM X 65 EA
TRIALTIS 5560137560S POLY FA, SOLID 7.5MM X 60 EA
TRIALTIS 5560137555S POLY FA, SOLID 7.5MM X 55 EA
TRIALTIS 5560137550S POLY FA, SOLID 7.5MM X 50 EA
TRIALTIS 5560137545S POLY FA, SOLID 7.5MM X 45 EA
TRIALTIS 5560137540S POLY FA, SOLID 7.5MM X 40 EA
TRIALTIS 5560137535S POLY FA, SOLID 7.5MM X 35 EA
TRIALTIS 5560137530S POLY FA, SOLID 7.5MM X 30 EA
TRIALTIS 5560131080S POLY FA, SOLID 10MM X 80 EA
TRIALTIS 5560131070S POLY FA, SOLID 10MM X 70 EA
TRIALTIS 5560131065S POLY FA, SOLID 10MM X 65 EA
TRIALTIS 5560131060S POLY FA, SOLID 10MM X 60 EA
TRIALTIS 5560131055S POLY FA, SOLID 10MM X 55 EA
TRIALTIS 5560131050S POLY FA, SOLID 10MM X 50 EA
TRIALTIS 5560131045S POLY FA, SOLID 10MM X 45 EA
TRIALTIS 5560131040S POLY FA, SOLID 10MM X 40 EA
TRIALTIS 5560131035S POLY FA, SOLID 10MM X 35 EA
TRIALTIS 5560131030S POLY FA, SOLID 10MM X 30 EA
TRIALTIS 5560139099DS POLY FA DL, SOLID 9MM X 100 EA
TRIALTIS 5560139090DS POLY FA DL, SOLID 9MM X 90 EA
TRIALTIS 5560139080DS POLY FA DL, SOLID 9MM X 80 EA
TRIALTIS 5560139070DS POLY FA DL, SOLID 9MM X 70 EA
TRIALTIS 5560139010DS POLY FA DL, SOLID 9MM X 110 EA
TRIALTIS 5560138099DS POLY FA DL, SOLID 8MM X 100 EA
TRIALTIS 5560138090DS POLY FA DL, SOLID 8MM X 90 EA
TRIALTIS 5560138080DS POLY FA DL, SOLID 8MM X 80 EA
TRIALTIS 5560138070DS POLY FA DL, SOLID 8MM X 70 EA
TRIALTIS 5560138010DS POLY FA DL, SOLID 8MM X 110 EA
TRIALTIS 5560137599DS POLY FA DL, SOLID 7.5MM X 100 EA
TRIALTIS 5560137590DS POLY FA DL, SOLID 7.5MM X 90 EA
TRIALTIS 5560131260DS POLY FA DL, SOLID 12MM X 60 EA
TRIALTIS 5560131255DS POLY FA DL, SOLID 12MM X 55 EA
TRIALTIS 5560131250DS POLY FA DL, SOLID 12MM X 50 EA
TRIALTIS 5560131245DS POLY FA DL, SOLID 12MM X 45 EA
TRIALTIS 5560131240DS POLY FA DL, SOLID 12MM X 40 EA
TRIALTIS 5560131235DS POLY FA DL, SOLID 12MM X 35 EA
TRIALTIS 5560131199DS POLY FA DL, SOLID 11MM X 100 EA
TRIALTIS 5560131190DS POLY FA DL, SOLID 11MM X 90 EA
TRIALTIS 5560131180DS POLY FA DL, SOLID 11MM X 80 EA
TRIALTIS 5560131170DS POLY FA DL, SOLID 11MM X 70 EA
TRIALTIS 5560131160DS POLY FA DL, SOLID 11MM X 60 EA
TRIALTIS 5560131155DS POLY FA DL, SOLID 11MM X 55 EA
TRIALTIS 5560131150DS POLY FA DL, SOLID 11MM X 50 EA
TRIALTIS 5560131145DS POLY FA DL, SOLID 11MM X 45 EA
TRIALTIS 5560131140DS POLY FA DL, SOLID 11MM X 40 EA
TRIALTIS 5560131135DS POLY FA DL, SOLID 11MM X 35 EA
TRIALTIS 5560131110DS POLY FA DL, SOLID 11MM X 110 EA
TRIALTIS 5560131099DS POLY FA DL, SOLID 10MM X 100 EA
TRIALTIS 5560131090DS POLY FA DL, SOLID 10MM X 90 EA
TRIALTIS 5560131080DS POLY FA DL, SOLID 10MM X 80 EA
TRIALTIS 5560131070DS POLY FA DL, SOLID 10MM X 70 EA
TRIALTIS 55600100X4S SET SCREW T27 4 PK PK
TRIALTIS 55600100X1S SET SCREW T27 1 PK EA
TRIALTIS 55600100X2S SET SCREW T27 2 PK PK
TRIALTIS 5560553030CS CC LRDSD ROD 5.5 X 30MM EA
TRIALTIS 5560603150TS TI LRDSD ROD 6.0 X 150MM EA
TRIALTIS 5560603140TS TI LRDSD ROD 6.0 X 140MM EA
TRIALTIS 5560603130TS TI LRDSD ROD 6.0 X 130MM EA
TRIALTIS 5560603120TS TI LRDSD ROD 6.0 X 120MM EA
TRIALTIS 5560553150TS TI LRDSD ROD 5.5 X 150MM EA
TRIALTIS 5560553140TS TI LRDSD ROD 5.5 X 140MM EA
TRIALTIS 5560553130TS TI LRDSD ROD 5.5 X 130MM EA
TRIALTIS 5560553120TS TI LRDSD ROD 5.5 X 120MM EA
TRIALTIS 5560604150TS TI LRDSD ROD 6.0X150MM HEXVPR EA
TRIALTIS 5560604140TS TI LRDSD ROD 6.0X140MM HEXVPR EA
TRIALTIS 5560604130TS TI LRDSD ROD 6.0X130MM HEXVPR EA
TRIALTIS 5560604120TS TI LRDSD ROD 6.0X120MM HEXVPR EA
TRIALTIS 5560554150TS TI LRDSD ROD 5.5X150MM HEXVPR EA
TRIALTIS 5560554140TS TI LRDSD ROD 5.5X140MM HEXVPR EA
TRIALTIS 5560554130TS TI LRDSD ROD 5.5X130MM HEXVPR EA
TRIALTIS 5560554120TS TI LRDSD ROD 5.5X120MM HEXVPR EA
TRIALTIS 5560604095TS TI LRDSD ROD 6.0X95MM BLTVPR EA
TRIALTIS 5560604090TS TI LRDSD ROD 6.0X90MM BLTVPR EA
TRIALTIS 5560604085TS TI LRDSD ROD 6.0X85MM BLTVPR EA
TRIALTIS 5560604080TS TI LRDSD ROD 6.0X80MM BLTVPR EA
TRIALTIS 5560604075TS TI LRDSD ROD 6.0X75MM BLTVPR EA
TRIALTIS 5560604070TS TI LRDSD ROD 6.0X70MM BLTVPR EA
TRIALTIS 5560604065TS TI LRDSD ROD 6.0X65MM BLTVPR EA
TRIALTIS 5560604060TS TI LRDSD ROD 6.0X60MM BLTVPR EA
TRIALTIS 5560604055TS TI LRDSD ROD 6.0X55MM BLTVPR EA
TRIALTIS 5560604050TS TI LRDSD ROD 6.0X50MM BLTVPR EA
TRIALTIS 5560604045TS TI LRDSD ROD 6.0X45MM BLTVPR EA
TRIALTIS 5560604040TS TI LRDSD ROD 6.0X40MM BLTVPR EA
TRIALTIS 5560604035TS TI LRDSD ROD 6.0X35MM BLTVPR EA
TRIALTIS 5560604030TS TI LRDSD ROD 6.0X30MM BLTVPR EA
TRIALTIS 5560603095TS TI LRDSD ROD 6.0 X 95MM EA
TRIALTIS 5560603090TS TI LRDSD ROD 6.0 X 90MM EA
TRIALTIS 5560603085TS TI LRDSD ROD 6.0 X 85MM EA
TRIALTIS 5560603080TS TI LRDSD ROD 6.0 X 80MM EA
TRIALTIS 5560603075TS TI LRDSD ROD 6.0 X 75MM EA
TRIALTIS 5560603070TS TI LRDSD ROD 6.0 X 70MM EA
TRIALTIS 5560603065TS TI LRDSD ROD 6.0 X 65MM EA
TRIALTIS 5560603060TS TI LRDSD ROD 6.0 X 60MM EA
TRIALTIS 5560603055TS TI LRDSD ROD 6.0 X 55MM EA
TRIALTIS 5560603050TS TI LRDSD ROD 6.0 X 50MM EA
TRIALTIS 5560603045TS TI LRDSD ROD 6.0 X 45MM EA
TRIALTIS 5560603040TS TI LRDSD ROD 6.0 X 40MM EA
TRIALTIS 5560603035TS TI LRDSD ROD 6.0 X 35MM EA
TRIALTIS 5560603030TS TI LRDSD ROD 6.0 X 30MM EA
TRIALTIS 5560554095TS TI LRDSD ROD 5.5X95MM BLTVPR EA
TRIALTIS 5560554090TS TI LRDSD ROD 5.5X90MM BLTVPR EA
TRIALTIS 5560554085TS TI LRDSD ROD 5.5X85MM BLTVPR EA
TRIALTIS 5560554080TS TI LRDSD ROD 5.5X80MM BLTVPR EA
TRIALTIS 5560554075TS TI LRDSD ROD 5.5X75MM BLTVPR EA
TRIALTIS 5560554070TS TI LRDSD ROD 5.5X70MM BLTVPR EA
TRIALTIS 5560554065TS TI LRDSD ROD 5.5X65MM BLTVPR EA
TRIALTIS 5560554060TS TI LRDSD ROD 5.5X60MM BLTVPR EA
TRIALTIS 5560554050TS TI LRDSD ROD 5.5X50MM BLTVPR EA
TRIALTIS 5560553095TS TI LRDSD ROD 5.5 X 95MM EA
---Product list is too long at XXX pages. Please document for the rest of the items.---</t>
  </si>
  <si>
    <t>001030242~00084684.072</t>
  </si>
  <si>
    <t>Amendment To Product Agreement (IDN) (Ethicon Neuwave™ Capital Purchase)</t>
  </si>
  <si>
    <t>00013930
01329321</t>
  </si>
  <si>
    <t xml:space="preserve">IDN PA Amendment WL V2 20250305 </t>
  </si>
  <si>
    <t>00013930 UCSF Medical Center;
01329321 UCSF Mission Bay;</t>
  </si>
  <si>
    <t xml:space="preserve">NWC1US1R 
NW Ablation System, US 
Serial # NM20NEA00779 
Serial #NM13NEA00201 </t>
  </si>
  <si>
    <t>001030242~00084684.075</t>
  </si>
  <si>
    <t>214703</t>
  </si>
  <si>
    <t>606128</t>
  </si>
  <si>
    <t>01305718
00005715
00006856
01030611
00058200
00010004
00005737
01384357
01018666
00003871
00013930
01329321
00019161
00005751
00003893
00003872
00006910
01553974
00007121
00065653</t>
  </si>
  <si>
    <t>PA Amendment sl v3 03-25-2025</t>
  </si>
  <si>
    <t>01305718 UCLA Healthcare;
00005715 RONALD REAGAN UCLA MEDICAL CENTER;
00006856 SANTA MONICA UCLA MEDICAL;
01030611 University of San Diego Medical Center;
00058200 THE REGENTS OF THE UNIVERSITY OF CALIFORNIA;
00010004 UNIVERSTY OF CALIFORNIA SAN DIEGO;
00005737 UCSD MEDICAL CENTER;
01384357 UNIVERSITY OF CALIFORNIA SAN DIEGO MEDICAL CENTER;
01018666 UCSF Medical Center;
00003871 MOUNT ZION HOSPITAL &amp; MEDICAL CENTER;
00013930 UCSF MEDICAL CENTER;
01329321 UCSF MISSION BAY;
00019161 UNIVERSITY OF CALIFORNIA DAVIS;
00005751 UCI MEDICAL CENTER;
00003893 CHILDRENS HOSPITAL AND RESEARCH CENTER;
00003872 UCSF HEALTH SAINT MARY’S MEDICAL CENTER;
00006910 UCSF HEALTH SAINT FRANCIS HOSPITAL;
01553974 UCSF HEALTH BAYFRONT MEDICAL BUILDING;
00007121 UCLA WEST VALLEY MEDICAL CENTER (F/K/A WEST HILLS HOSPITAL AND MEDICAL CENTER);
00065653 WEST HILLS SURGICAL CENTER;</t>
  </si>
  <si>
    <t>Hips ‐ Primary Hips ‐ STEM Basic Fracture Cemented
Hips ‐ Primary Hips ‐ STEM Basic Fracture Pressfit
Hips ‐ Primary Hips ‐ STEM Cemented
Hips ‐ Primary Hips ‐ STEM Porous‐No Cement
Hips ‐ Primary Hips ‐ STEM Porous‐No Cement Dual Fixation
Hips ‐ Primary Hips ‐ STEM Porous‐No Cement Bone Preserving (AA)
Hips ‐ Primary Hips ‐ STEM Porous‐No Cement High Stability (AA)
Hips ‐ Primary Hips ‐ STEM MODULAR SRom
Hips ‐ Primary Hips ‐ SLEEVE MODULAR SRom
Hips ‐ Primary Hips ‐ CUP All Poly
Hips ‐ Primary Hips ‐ CUP Porous
Hips ‐ Primary Hips ‐ CUP DuoFix
Hips ‐ Primary Hips ‐ CUP Gription
Hips ‐ Primary Hips ‐ CUP BIMENTUM Pressfit
Hips ‐ Primary Hips ‐ CUP BIMENTUM Pressfit Plus
Hips ‐ Primary Hips ‐ LINER Self Centering
Hips ‐ Primary Hips ‐ LINER Marathon 22.225, 28, 32, 36mm
Hips ‐ Primary Hips ‐ LINER AltrX 28, 32, 36mm
Hips ‐ Primary Hips ‐ LINER Lg AltrX 40, 44, 48mm
Hips ‐ Primary Hips ‐ LINER Ceramic Ceramax
Hips ‐ Primary Hips ‐ Liner BIMENTUM 22, 28mm
Hips ‐ Primary Hips ‐ HEAD Unipolar
Hips ‐ Primary Hips ‐ HEAD Metal 22.225, 28mm
Hips ‐ Primary Hips ‐ HEAD Metal 32, 36mm
Hips ‐ Primary Hips ‐ HEAD Lg Metal 40, 44, 48mm
Hips ‐ Primary Hips ‐ HEAD Ceramic Delta (not TS) 28, 32, 36mm
Hips ‐ Primary Hips ‐ HEAD Ceramic Delta TS 40, 44mm
Hips ‐ Primary Hips ‐ ACC Acetab. Screw
Hips ‐ Primary Hips ‐ BIMENTUM Acetab. Screw
Hips ‐ Primary Hips ‐ ACC Apex Hole Eliminator
Hips ‐ Primary Hips ‐ SPACER Unipolar
Hips ‐ Primary Hips ‐ ACC Centralizer
Knees ‐ Primary Knees ‐ FEMUR HP Uni
Knees ‐ Primary Knees ‐ FEMUR Sigma Cemented
Knees ‐ Primary Knees ‐ FEMUR LCS Cemented
Knees ‐ Primary Knees ‐ FEMUR Sigma Porous
Knees ‐ Primary Knees ‐ FEMUR LCS Porous
Knees ‐ Primary Knees ‐ FEMUR Attune Cemented
Knees ‐ Primary Knees ‐ FEMUR Attune Porous
Knees ‐ Primary Knees ‐ INSERT Sigma HP Uni
Knees ‐ Primary Knees ‐ INSERT Sigma FB GVF
Knees ‐ Primary Knees ‐ INSERT Sigma FB Xlink
Knees ‐ Primary Knees ‐ INSERT Attune FB AOX
Knees ‐ Primary Knees ‐ INSERT Sigma RP GVF
Knees ‐ Primary Knees ‐ INSERT LCS RP GVF
Knees ‐ Primary Knees ‐ INSERT Sigma RP AOX
Knees ‐ Primary Knees ‐ INSERT LCS RP AOX
Knees ‐ Primary Knees ‐ INSERT Attune RP AOX
Knees ‐ Primary Knees ‐ TRAY Sigma HP Uni All Poly
Knees ‐ Primary Knees ‐ TRAY Sigma HP Uni Metal
Knees ‐ Primary Knees ‐ TRAY Sigma FB All Poly
Knees ‐ Primary KNEES ‐ TRAY ATTUNE FB ALL POLY
Knees ‐ Primary Knees ‐ TRAY Sigma FB Ti Cemented
Knees ‐ Primary Knees ‐ TRAY Sigma FB Ti Porous
Knees ‐ Primary Knees ‐ TRAY Sigma FB COCR Cemented
Knees ‐ Primary Knees ‐ TRAY Attune FB Cemented
Knees ‐ Primary Knees ‐ TRAY MBT Cemented
Knees ‐ Primary Knees ‐ TRAY Attune RP Cemented
Knees ‐ Primary Knees ‐ TRAY MBT Porous
Knees ‐ Primary Knees ‐ TRAY Attune RP Porous
Knees ‐ Primary Knees ‐ PATELLA Sigma All Poly
Knees ‐ Primary Knees ‐ PATELLA LCS All Poly
Knees ‐ Primary Knees ‐ PATELLA LCS Metal Back
Knees ‐ Primary Knees ‐ PATELLA Attune All Poly Medial
Knees ‐ Primary Knees ‐ PATELLA Attune All Poly Anatomic
Knees ‐ Disposables Knees ‐ Pins ‐ Sterile AMK
Knees ‐ Disposables Knees ‐ Pins ‐ NonSterile HP
Knees ‐ Disposables Knees ‐ Pins ‐ Sterile HP
Knees ‐ Disposables Knees ‐ Pins ‐ Sterile Attune
Knees ‐ Trumatch Knees ‐ TruMatch Pin Guides Kit
Knees ‐ Trumatch Knees ‐ TruMatch Pin Guides Femur Only
Knees ‐ Trumatch Knees ‐ TruMatch Pin Guides Tibia Only
Knees ‐ Trumatch Knees ‐ TruMatch 3.0 Hybrid Kit
Knees ‐ Trumatch Knees ‐ TruMatch Cutting Block Kit
Knees ‐ Trumatch Knees ‐ TruMatch Cutting Block Femur Only
Knees ‐ Trumatch Knees ‐ TruMatch Cutting Block Tibia Only
Shoulders ‐ Primary Shoulders ‐ RESURF HEAD Global CAP DuoFix
Shoulders ‐ Primary Shoulders ‐ RESURF HEAD Global CAP CTA DuoFix
Shoulders ‐ Primary Shoulders ‐ STEM Global FX Non‐Porocoat
Shoulders ‐ Primary Shoulders ‐ STEM Global FX Porocoat
Shoulders ‐ Primary Shoulders ‐ STEM Global Advantage Non‐Porocoat
Shoulders ‐ Primary Shoulders ‐ STEM Global Advantage Porocoat
Shoulders ‐ Primary Shoulders ‐ STEM Global AP Non‐Porocoat
Shoulders ‐ Primary Shoulders ‐ STEM Global AP Porocoat
Shoulders ‐ Primary Shoulders ‐ STEM Delta Xtend Monobloc
Shoulders ‐ Primary Shoulders ‐ STEM Delta Xtend Modular
Shoulders ‐ Primary Shoulders ‐ EPIPHYSIS Delta Xtend Modular HA
Shoulders ‐ Primary Shoulders ‐ STEM Global Unite
Shoulders ‐ Primary Shoulders ‐ PROX BODY Global Unite
Shoulders ‐ Primary Shoulders ‐ EPIPHYSIS Global Unite FX
Shoulders ‐ Primary Shoulders ‐ EPIPHYSIS Delta Xtend PC Alt Angle EPI
Shoulders ‐ Primary Shoulders ‐ HEAD Global Advantage Standard
Shoulders ‐ Primary Shoulders ‐ HEAD Global Advantage Eccentric
Shoulders ‐ Primary Shoulders ‐ HEAD Global Advantage CTA
Shoulders ‐ Primary Shoulders ‐ HEAD Global AP &amp; Unite Standard
Shoulders ‐ Primary Shoulders ‐ HEAD Global AP &amp; Unite Eccentric
Shoulders ‐ Primary Shoulders ‐ HEAD Global AP CTA
Shoulders ‐ Primary Shoulders ‐ CUP Delta Xtend Standard &amp; Retentive Poly
Shoulders ‐ Primary Shoulders ‐ CUP Delta Xtend High Mobility Poly
Shoulders ‐ Primary Shoulders ‐ GLENOID Global Keeled Xlink
Shoulders ‐ Primary Shoulders ‐ GLENOID Global APG Xlink
Shoulders ‐ Primary Shoulders ‐ GLENOID Global StepTech APG Xlink
Shoulders ‐ Primary Shoulders ‐ GLENOSPHERE Delta Xtend Standard &amp; Eccentric
Shoulders ‐ Primary Shoulders ‐ TAPER Global AP 135 Degree &amp; Ball Taper
Shoulders ‐ Primary Shoulders ‐ METAGLENE Delta Xtend
Shoulders ‐ Primary Shoulders ‐ SPACER Delta Xtend
Shoulders ‐ Primary Shoulders ‐ COLLAR Global Unite
Shoulders ‐ Primary Shoulders ‐ SCREWS Delta Xtend Locking‐Non Locking
Shoulders ‐ TruMatch Shoulders – TruMatch Glenoid Guides</t>
  </si>
  <si>
    <t>001030242~00084684.077</t>
  </si>
  <si>
    <t xml:space="preserve"> ENDO MECHANICAL</t>
  </si>
  <si>
    <t>00019161</t>
  </si>
  <si>
    <t>PA v1 NS 04.15.25</t>
  </si>
  <si>
    <t>00019161 University Of California Davis Medical Center</t>
  </si>
  <si>
    <t>ECHELON CIRCULAR POWERED STAPLER, 23MM CDH23P 30.00%;
ECHELON CIRCULAR POWERED STAPLER, 25MM CDH25P 30.00%;
ECHELON CIRCULAR POWERED STAPLER, 29MM CDH29P 30.00%;
ECHELON CIRCULAR POWERED STAPLER, 31MM CDH31P 30.00%;
GST BLUE RELOAD, 45MM, 6 ROW GST45B 30.00%;
GST GOLD RELOAD, 45MM, 6 ROW GST45D 30.00%;
GST GREEN RELOAD, 45MM, 6 ROW GST45G 30.00%;
GST BLACK RELOAD, 45MM, 6 ROW GST45T 30.00%;
GST WHITE RELOAD, 45MM, 6 ROW GST45W 30.00%;
ECHELON ENDO LINEAR CUTTER RELOAD (GST), 60MM, BLUE GST60B 30.00%;
ECHELON ENDO LINEAR CUTTER RELOAD (GST), 60MM, GOLD GST60D 30.00%;
ECHELON ENDO LINEAR CUTTER RELOAD (GST), 60MM, GREEN GST60G 30.00%;
ECHELON ENDO LINEAR CUTTER RELOAD GST, 60MM, BLACK GST60T 30.00%;
ECHELON ENDO LINEAR CUTTER RELOAD (GST), 60MM, WHITE GST60W 30.00%;
GRAY RELOAD FOR 60MM ECHELON ECR60M 30.00%;
ECHELON 45MM RELOAD - GRAY ECR45M 30.00%;
POWERED PLUS COMPACT 45 PCEE45A 30.00%;
POWERED 60 ECHELON +, 280MM SHAFT PCEE60A 30.00%;
POWERED PLUS LONG 45 PLEE45A 30.00%;
ECHELON FLEX POWERED PLUS STAPLER, LONG LENGTH, 440MM PLEE60A 30.00%;
POWERED PLUS STANDARD 45 PSEE45A 30.00%;
ECHELON FLEX POWERED PLUS STAPLER, STANDARD LENGTH, 340MM PSEE60A 30.00%;
ECHELON 3000 45mm Compact ECH45C 30.00%;
ECHELON 3000 45mm Standard ECH45S 30.00%;
ECHELON 3000 45mm Long ECH45L 30.00%;
ECHELON 3000 60mm Compact ECH60C 30.00%;
ECHELON 3000 60mm Standard ECH60S 30.00%;
ECHELON 3000 60mm Long ECH60L 30.00%;
35MM VASCULAR POWERED ENDOCUTTER PVE35A 30.00%;
35MM VASCULAR RELOAD CARTRIDGE VASECR35 30.00%;
ECHELON ENDOPATH™ Staple Line Reinforcement 60mm ECH60R $1,500.00;
ECHELON CONTOUR™ CURVED CUTTER STAPLER WITH BLUE RELOAD 40MM GCS40B 30.00%;
ECHELON CONTOUR™ CURVED CUTTER STAPLER WITH GREEN RELOAD 40MM GCS40G 30.00%;
ECHELON CONTOUR™ GST RELOAD (BLUE) GCR40B 30.00%;
ECHELON CONTOUR™ GST RELOAD (GREEN) GCR40G 30.00%;
ECHELON LINEAR™ Cutter 60mm GLC60 30.00%;
ECHELON LINEAR™ Cutter 80mm GLC80 30.00%;
ECHELON LINEAR™ Cutter 100mm GLC100 30.00%;
ECHELON LINEAR™ Cutters 60mm Blue Reload GLCR60B 30.00%;
ECHELON LINEAR™ Cutters 60mm Green Reload GLCR60G 30.00%;
ECHELON LINEAR™ Cutters 80mm Blue Reload GLCR80B 30.00%;
ECHELON LINEAR™ Cutters 80mm Green Reload GLCR80G 30.00%;
ECHELON LINEAR™ Cutters 100mm Blue Reload GLCR100B 30.00%;
ECHELON LINEAR™ Cutters 100mm Green Reload GLCR100G 30.00%;</t>
  </si>
  <si>
    <t>Discount pricing subject to Annual NCP commitment amount of $50,000 USD.</t>
  </si>
  <si>
    <t>001030242~00084684.078</t>
  </si>
  <si>
    <t>PA SK V1 15Apr2025</t>
  </si>
  <si>
    <t>001030242~00084684.080</t>
  </si>
  <si>
    <t>IDN PA JD v1 20250514.docx</t>
  </si>
  <si>
    <t>00019161 UNIVERSITY OF CALIFORNIA DAVIS MEDICAL CENTER</t>
  </si>
  <si>
    <t>Biceps Implants - SUPER QUICK 222984 SUPER QA+ O/C DS CP-2 *EA 1 EA
INSTABILITY DISPOSABLES - CHIA 214101 CHIA PERCPASSER SUTURE PASSER 5 PACK 5 PK
INSTABILITY IMPLANTS - PERMACORD 223149 GRYPHON P PEEK DSW PERMACORD 1 EA
INSTABILITY IMPLANTS - PROKNOT 210821 GRYPHON PEEK W/PROKNOT 1 EA
LIGAMENT DISPOSABLES - COMBO GUIDE 232453 COMBO BEATH PIN EA 1 EA
LIGAMENT DISPOSABLES - GRAFT KNIVES 232110 ACL ACC GRKNIFE 10MM *PK/10 10 PK
LIGAMENT DISPOSABLES - GUIDE PINS 219321 ACL DRILLPN W/EYE .094X14" *EA 1 EA
LIGAMENT IMPLANTS - MILAGRO ADV BR 231823 MILAGRO ADVANCE SCREW 10X30MM 1 EA
LIGAMENT IMPLANTS - MILAGRO ADV BR 231824 MILAGRO ADVANCE SCREW 11X30MM 1 EA
LIGAMENT IMPLANTS - MILAGRO ADV BR 231831 MILAGRO ADVANCE SCREW 7X30MM 1 EA
LIGAMENT IMPLANTS - MILAGRO ADV BR 231819 MILAGRO ADVANCE SCREW 10X23MM 1 EA
LIGAMENT IMPLANTS - MILAGRO ADV BR 231822 MILAGRO ADVANCE SCREW 9X30MM 1 EA
LIGAMENT IMPLANTS - MILAGRO ADV BR 231832 MILAGRO ADVANCE SCREW 12X30MM 1 EA
LIGAMENT IMPLANTS - MILAGRO ADV BR 231816 MILAGRO ADVANCE SCREW 7X23MM 1 EA
LIGAMENT IMPLANTS - MILAGRO ADV BR 231817 MILAGRO ADVANCE SCREW 8X23MM 1 EA
LIGAMENT IMPLANTS - MILAGRO ADV BR 231818 MILAGRO ADVANCE SCREW 9X23MM 1 EA
LIGAMENT IMPLANTS - MILAGRO ADV BR 231821 MILAGRO ADVANCE SCREW 8X30MM 1 EA
LIGAMENT IMPLANTS - RIGIDLOOP ADJ 232447 RGDLOOP ADJUSTABLE STND 1 EA
LIGAMENT IMPLANTS - RIGIDLOOP ADJ 232449 RGDLOOP ADJUSTABLE XLARG 1 EA
RC Disposables - EXPRESSEW 214141 EXPRESSEW III NEEDLE PK5 5 PK
RC IMPLANTS - HEALIX ADV PERMACORD 223137 5.5 HEALIXADVPEEK3SUTANC PCORD 1 EA
RC IMPLANTS - HEALIX ADV PERMACORD 223139 6.5 HEALIXADVPEEK3SUTANC PCORD 1 EA
SHOULDER DISPOSABLES - CANNULAS 214116 CLEARCANNULA-THREADED 7.0MMX75MM 5PK -ST 5 PK
SHOULDER DISPOSABLES - CANNULAS 214120 CLEARCANNULA-THREADED 8.5MMX75MM 5PK -ST 5 PK
SHOULDER DISPOSABLES - CANNULAS 214122 CLEARCANNULA-THREADED 8.5MMX90MM 5PK -ST 5 PK
SHOULDER DISPOSABLES - CANNULAS 214110 CLEARCANNULA-THREADED 5.5MMX90MM 5PK -ST 5 PK
SHOULDER DISPOSABLES - CANNULAS 214108 CLEARCANNULA-THREADED 5.5MMX75MM 5PK -ST 5 PK
SMALL JOINT IMPLANTS - MINI 212035 MINI QA+ #2/O OCORD V-5 1 EA
Suture Implants - ORTHOCORD 223111 ORTHOCORD BLUE W/O NDLES *PK/12 12 PK
SUTURE IMPLANTS - ORTHOCORD 223105 ORTHOCORD VIOLET W/O NDLES *PK/12 12 PK
SUTURE IMPLANTS - ORTHOCORD 223103 ORTHOCORDVIOLET W/OS-6 NDLS PK/12 12 PK
SUTURE IMPLANTS - ORTHOCORD 223102 ORTHOCORDVIOLET W/MO-6 NDLS PK/12 12 PK</t>
  </si>
  <si>
    <t>Subject to the terms and conditions of this PA, as of the PA Effective Date, the Company shall offer the Products to the Participants at the prices stated in Schedule A. The component pricing is firm for the term of this PA.</t>
  </si>
  <si>
    <t>001030242~00084684.081</t>
  </si>
  <si>
    <t>213430</t>
  </si>
  <si>
    <t xml:space="preserve">00019161 </t>
  </si>
  <si>
    <t>PA sl v5 05-22-2025.docx</t>
  </si>
  <si>
    <t>201.506 2.4MM CORTEX SCREW SELF-TAPPING 6MM EA
201.508 2.4MM CORTEX SCREW SELF-TAPPING 8MM EA
201.512 2.4MM CORTEX SCREW SELF-TAPPING 12MM EA
201.514 2.4MM CORTEX SCREW SELF-TAPPING 14MM EA
201.928 2.0MM IMF SCREW SELF-DRILLING 8MM PK
201.932 2.0MM IMF SCREW SELF-DRILLING 12MM PK
288.025 MAXILLARY DISTRACTOR BODY 10MM EA
288.026 MAXILLARY DISTRACTOR BODY 15MM EA
288.027 MAXILLARY DISTRACTOR BODY 20MM EA
288.028 MAXILLARY DISTRACTOR BODY 25MM EA
288.038 ANTERIOR FOOT F/MAXILLARY DSTR MAXILLA RIGHT/SPLINT LEFT/6MM EA
288.039 ANTERIOR FOOT F/MAXILLARY DSTR MAXILLA RIGHT/SPLINT LEFT/10MM EA
288.04 ANTERIOR FOOT F/MAXILLARY DSTR MAXILLA RIGHT/SPLINT LEFT/14MM EA
288.042 ANTERIOR FOOT F/MAXILLARY DSTR MAXILLA LEFT/SPLINT RIGHT 6MM EA
288.043 ANTERIOR FOOT F/MAXILLARY DSTR MAXILLA LEFT/SPLINT RIGHT/10MM EA
288.044 ANTERIOR FOOT F/MAXILLARY DSTR MAXILLA LEFT/SPLINT RIGHT/14MM EA
288.052 POSTERIOR FOOT-SHORT 7MM OFFSET F/MAXILLARY DSTR EA
288.053 POSTERIOR FOOT-SHORT 12MM OFFSET F/MAXILLARY DSTR EA
288.055 POSTERIOR FOOT-MEDIUM 7MM OFFSET F/MAXILLARY DSTR EA
288.056 POSTERIOR FOOT-MEDIUM 12MM OFFSET F/MAXILLARY DSTR EA
288.058 POSTERIOR FOOT-TALL 7MM OFFSET F/MAXILLARY DSTR EA
288.059 POSTERIOR FOOT-TALL 12MM OFFSET F/MAXILLARY DSTR EA
288.065 3.5MM MACHINE SCREW FOR MAXILLARY DISTRACTOR EA
292.801 2.0MM KIRSCHNER WIRE W/CALIB W/15MM THRD TROCAR POINT-150MM PK
304.071 BC DISTRACTOR BODY/EXTENSION ARM MODULE FOR CMF DISTRACTOR EA
304.072 1.0MM/1.3MM MODULE F/CMF DISTRACTOR EA
304.073 1.5MM MODULE F/CMF DISTRACTOR EA
304.074 2.0MM MODULE F/CMF DISTRACTOR EA
304.081 RAISED HEAD SCREW MODULE FOR CMF DISTRACTION SYSTEM EA
304.089 AB DISTRACTOR BODY MODULE FOR CMF DISTRACTOR EA
304.095 MODULE FOR 2.0MM CURVILINEAR DISTRACTOR EA
304.099 LABEL SHEET FOR CMF DISTRACTOR EA
304.102 SCREW LENGTH MARKER-2MM PK
304.103 SCREW LENGTH MARKER-3MM PK
304.104 SCREW LENGTH MARKER-4MM PK
304.105 SCREW LENGTH MARKER-5MM PK
304.106 SCREW LENGTH MARKER-6MM PK
304.107 SCREW LENGTH MARKER-7MM PK
304.108 SCREW LENGTH MARKER-8MM PK
304.109 SCREW LENGTH MARKER-9MM PK
304.110 SCREW LENGTH MARKER-10MM PK
304.111 SCREW LENGTH MARKER-11MM PK
304.112 SCREW LENGTH MARKER-12MM PK
304.113 SCREW LENGTH MARKER-13MM PK
304.114 SCREW LENGTH MARKER-14MM PK
304.115 SCREW LENGTH MARKER-15MM PK
304.116 SCREW LENGTH MARKER-16MM PK
304.117 SCREW LENGTH MARKER-17MM PK
304.118 SCREW LENGTH MARKER-18MM PK
304.119 SCREW LENGTH MARKER-19MM PK
304.121 SCREW LENGTH MARKER-21MM PK
304.122 SCREW LENGTH MARKER-22MM PK
304.123 SCREW LENGTH MARKER-23MM PK
304.124 SCREW LENGTH MARKER-24MM PK
304.125 SCREW LENGTH MARKER 25MM PK
304.126 SCREW LENGTH MARKER 26MM PK
304.127 SCREW LENGTH MARKER 27MM PK
304.128 SCREW LENGTH MARKER 28MM PK
304.132 SCREW LENGTH MARKER 32MM PK
304.134 SCREW LENGTH MARKER 34MM PK
304.136 SCREW LENGTH MARKER 36MM PK
304.138 SCREW LENGTH MARKER 38MM PK
304.634 LOW PROFILE NEURO COMPACT MODULE EA
304.647 1.5MM COMPACT FIXATION SET CASE FOR TI IMPLANTS EA
304.659 1.3MM COMPACT FIXATION SET CASE FOR TI IMPLANTS EA
304.661 1.5MM MODULE FOR TI IMPLANTS EA
304.662 2.0MM MODULE FOR TI IMPLANTS EA
304.663 1.0MM MODULE FOR TI IMPLANTS EA
304.672 1.3MM MODULE FOR TI IMPLANTS EA
304.673 MANDIBULAR MFS 2.0MM LOCKING PLATE MODULE EA
304.674 LOW PROFILE NEURO STANDARD MODULE EA
304.679 2.0MM COMPACT FIXATION MODULE EA
304.686 MODULAR FIXATION SYSTEM INSTRUMENT TRAY - UNIVERSAL EA
304.687 MODULAR FIXATION SYSTEM INSTR TRAY LID - UNIVERSAL EA
304.688 INSTRUMENT TRAY FOR 2.0MM PLATE HOLDING TROCAR EA
304.692 MODULE FOR LOW PROFILE CRANIOFACIAL EA
304.701 LOCKING RECONSTRUCTION PLATE MODULE EA
304.706 TI MULTI VECTOR DISTRACTOR MODULE EA
304.708 IMF SCREW MODULE EA
304.711 ORTHOGNATHIC PLATE MODULE EA
304.712 ORTHOGNATHIC PLATE MODULE FOR TI PRE-BENT PLATES EA
304.731 BASIC INSTRUMENT TRAY INSERT FOR MMFS EA
304.732 RATCHETING SCREWDRIVER TRAY INSERT FOR MMFS EA
304.733 STANDARD SCREWDRIVER TRAY INSERT FOR MMFS EA
304.734 CRANIOFACIAL TRAY INSERT FOR MMFS EA
304.736 TROCAR TRAY INSERT A EA
304.738 CORNER POSTS FOR MMFS UPGRADE PK
304.739 UNIVERSAL INSTRUMENT TRAY LID-LARGE EA
304.741 TROCAR TRAY INSERT B EA
304.744 MODULE CASE FOR 2.0MM TI MANDIBLE LOCKING PLATE SET EA
304.753 MAXILLARY DISTRACTOR MODULE CASE EA
304.754 GRAPHIC CASE FOR EXTERNAL MIDFACE DISTRACTOR SYSTEM EA
304.756 IMPLANT MODULE FOR EXTERNAL MIDFACE DISTRACTOR SYSTEM EA
304.760 UNIVERSAL INSTRUMENT TRAY LARGE/DEEP EA
304.761 NEURO INSTRUMENT TRAY LID LARGE EA
304.762 NEURO INSERT TRAY FOR INSTRUMENTS EA
304.763 2.4MM MANDIBLE TRAUMA PLATES INSERT TRAY EA
304.764 2.4MM MICROVASCULAR PLATES INSERT TRAY EA
304.765 DOUBLE ANGLE PLATES INSERT TRAY EA
304.766 SPECIALTY PLATES INSERT TRAY EA
304.767 COMPRESSION PLATES INSERT TRAY EA
304.771 UNIVERSAL INSTRUMENT TRAY EXTRA LARGE/DEEP EA
304.772 NEURO INSTRUMENT TRAY LID EXTRA LARGE EA
304.773 NEURO INSERT TRAY FOR CRANIAL CLAMPS EA
304.774 NEURO INSERT TRAY FOR BATTERY POWERED SCREWDRIVER EA
304.775 NEURO MULTI CLAMP INSERT TRAY EA
304.776 LABEL SHEET FOR CRANIAL CLAMPS EA
304.793 CRANIAL CLAMP MODULE (UP TO 18MM ONLY) EA
304.797 TI MIDFACE DISTRACTOR MODULE CASE EA
304.799 INSERT TRAY FOR ORTHOGNATHIC MODULES EA
305.694 MODULE FOR LONGER TI STERNAL LOCKING SCREW/PLATE/DRILL BIT EA
305.695 PLATE BENDING INSERT BLOCK FOR TI STERNAL MODULES EA
305.699 LABEL SHEET FOR TI STERNAL MODULE 305.694 EA
305.806 SMALL INSTRUMENT TRAY LID FOR RESORBABLE FIXATION SYSTEM EA
305.807 SMALL INSTRUMENT TRAY BASE FOR RESORBABLE FIXATION SYSTEM EA
305.809; LARGE INSTRUMENT TRAY LID FOR RESORBABLE FIXATION ; SYSTEM EA
305.815; BENDING TEMPLATE MODULE FOR RESORBABLE FIXATION ; SYSTEM EA
305.811 INSTRUMENT INSERT F/RESORBABLE INSTRUMENT TRAYS EA
305.814 FINGER MAT INSERT F/RESORBABLE INSTRUMENT TRAYS EA
305.816 LABEL SHEET FOR RESORBABLE INSTRUMENT TRAYS EA
305.818 BATTERY POWERED DRIVER INSERT EA
306.501 MATRIXNEURO COMPACT MODULE EA
306.502 MATRIXNEURO INSTRUMENT MODULE EA
306.512 SCREW INSERT FOR MATRIXNEURO IMPLANT MODULE EA
306.521;
LID FOR COMPACT IMPLANT MODULE MATRIXNEURO ;
SYSTEM EA
306.532 NEURO INSERT TRAY FOR MATRIXNEURO INSTRUMENTS EA
306.533 NEURO INSERT TRAY FOR MATRIXNEURO INSTR AND BPD EA
306.534;
CRANIAL CLAMP INSERT TRAY FOR APPLICATION ;
INSTRUMENT EA
306.535;
LABEL SHEET FOR INSERT TRAY CRANIAL CLAMP ;
INSTRUMENT EA
306.546;
MATRIXNEURO ULP PLATE INSERT FOR MATRIXNEURO ;
MODULE EA
306.547;
MATRIXNEURO ULP LABEL SHEET FOR MATRIXNEURO ;
MODULE EA
306.601 GRAPHIC CASE FOR MATRIXMIDFACE SYSTEM EA
306.603 GRAPHIC CASE LID FOR MATRIXMIDFACE SYSTEM EA
306.611 1.0MM CMFS MODULE FOR MATRIXMIDFACE SYSTEM EA
306.613 1.3MM CMFS MODULE FOR MATRIXMIDFACE SYSTEM EA
306.614;
0.4MM PLATE MODULE INSERT FOR MATRIXMIDFACE ;
SYSTEM EA
306.615;
0.5MM PLATE MODULE INSERT FOR MATRIXMIDFACE ;
SYSTEM EA
306.616;
SCREW MODULE F/MATRIXMIDFACE WITH REVERSIBLE ;
SCREW INSERT EA
306.617;
0.7MM PLATE MODULE INSERT FOR MATRIXMIDFACE ;
SYSTEM EA
306.618;
0.8MM PLATE MODULE INSERT FOR MATRIXMIDFACE ;
SYSTEM EA
306.619;
ORBITAL PLATE AND MESH MODULE FOR MATRIXMIDFACE ;
SYSTEM EA
306.624 GENERIC MODULE LID FOR MATRIXMIDFACE SYSTEM EA
306.626 INSTRUMENT TRAY FOR MATRIXMIDFACE SYSTEM EA
306.627;
DRILL BITS AND BLADES MODULE FOR MATRIXMIDFACE ;
SYSTEM EA
306.628;
LABEL SHEET FOR DRILLS/BLADES MATRIXMIDFACE ;
SYSTEM EA
306.631 LABEL SHEET FOR 1.0MM CMFS MATRIXMIDFACE SYSTEM EA
306.633 LABEL SHEET FOR 1.3MM CMFS MATRIXMIDFACE SYSTEM EA
306.634;
LABEL SHEET FOR 0.4MM PLATES MATRIXMIDFACE ;
SYSTEM EA
306.635;
LABEL SHEET FOR 0.5MM PLATES MATRIXMIDFACE ;
SYSTEM EA
306.636 LABEL SHEET FOR SCREWS MATRIXMIDFACE SYSTEM EA
306.637;
LABEL SHEET FOR 0.7MM PLATES MATRIXMIDFACE ;
SYSTEM EA
306.638;
LABEL SHEET FOR 0.8MM PLATES MATRIXMIDFACE ;
SYSTEM EA
306.639;
LABEL SHEET FOR ORBITAL PLATES MATRIXMIDFACE ;
SYSTEM EA
306.641;
LABEL SHEET FOR PREFORMED ORBITAL PLATES;
MATRIXMIDFACE EA
306.701 GRAPHIC CASE FOR MATRIXMANDIBLE SYSTEM EA
306.702;
INSTR TRAY F/GRAPHIC CASE/MED MATRIXMANDIBLE ;
BENDER/CUTTER EA
306.703 GRAPHIC CASE LID FOR MATRIXMANDIBLE SYSTEM EA
306.704;
LABEL SHEET SMALL PLATE MODULE FOR ;
MATRIXMANDIBLE SYSTEM EA
306.705;
LABEL SHEET SCREW MODULE FOR MATRIXMANDIBLE ;
SYSTEM EA
306.706;
LABEL SHEET LARGE PLATE MODULE FOR ;
MATRIXMANDIBLE SYSTEM EA
306.707;
INSTR TRAY F/GRAPHIC CASE/MED MATRIXMANDIBLE ;
TROCAR/DRIVERS EA
306.711 LID FOR MANDIBLE EXTERNAL FIXATOR SET GRAPHIC CASE EA
306.712;
INSERT TRAY F/TROCAR INSTR FOR MATRIXMANDIBLE ;
SYSTEM EA
306.713;
INSERT TRAY F/BENDING INSTR FOR MATRIXMANDIBLE ;
SYSTEM EA
306.714;
INSERT TRAY F/BENDING PLIERS FOR MATRIXMANDIBLE ;
SYSTEM EA
306.721;
LID FOR MANDIBLE EXTERNAL FIXATOR II SET GRAPHIC ;
CASE EA
306.726;
FINGER MAT F/USE W/306.702 FOR MATRIXMANDIBLE ;
SYSTEM EA
306.727;
LID F/INSTR TRAY/MEDIUM MATRIXMANDIBLE GRAPHIC ;
CASE EA
306.728;
HOLDER F/CALIBRATED DRILL BITS MATRIXMANDIBLE ;
SYSTEM EA
306.731 INSTRUMENT TRAY MATRIXMANDIBLE EA
306.732 INSTRUMENT TRAY MATRIXMANDIBLE EA
306.733 TROCAR INSTRUMENT MODULE MATRIXMANDIBLE EA
306.735;
LABEL SHEET FOR 306.731 MATRIXMANDIBLE ;
INSTRUMENTS EA
306.736;
LABEL SHEET FOR 306.732 MATRIXMANDIBLE ;
INSTRUMENTS EA
306.739;
LID F/INSTR TRAY/LARGE MATRIXMANDIBLE GRAPHIC ;
CASE EA
306.741 SMALL PLATE MODULE LID FOR MATRIXMANDIBLE SYSTEM EA
306.742 SCREW MODULE FOR MATRIXMANDIBLE SYSTEM EA
306.743 SCREW MODULE LID FOR MATRIXMANDIBLE SYSTEM EA
306.744;
LABEL SHEET FOR 306.733 MATRIXMANDIBLE ;
INSTRUMENTS EA
306.745;
RECON SCREW CADDY INSERT TRAY FOR ;
MATRIXMANDIBLE SYSTEM EA
306.746;
2.8MM PLATE INSERT TRAY FOR MATRIXMANDIBLE ;
SYSTEM EA
306.747;
2.0MM/2.5MM DBL ANGLE PL INSRT TRAY FOR ;
MATRIXMANDIBLE SYSTEM EA
306.748 LARGE PLATE MODULE LID FOR MATRIXMANDIBLE SYSTEM EA
306.749 LARGE PLATE MODULE FOR MATRIXMANDIBLE SYSTEM EA
306.752 IMF SCREW MODULE/MINI MATRIXMANDIBLE SYSTEM EA
306.755 LAG SCREW MODULE MATRIXMANDIBLE SYSTEM EA
306.757;
IMF SCREW MODULE/COMPACT MATRIXMANDIBLE ;
SYSTEM EA
306.758 LABEL SHEET FOR CURVILINEAR DISTRACTOR MODULE EA
306.762;
STRENGTH GRADIENT LABEL SHEET MATRIXMANDIBLE ;
SYSTEM EA
306.765;
LABEL SHEET FOR IMF MODULE MATRIXMANDIBLE ;
SYSTEM EA
306.766;
LABEL SHEET LAG SCREW MODULE MATRIXMANDIBLE ;
SYSTEM EA
306.767;
LABEL SHEET F/SUBCONDYLAR TRAY FOR ;
MATRIXMANDIBLE SYSTEM EA
306.772;
GENERIC SCREW INSERT TRAY FOR MATRIXMANDIBLE ;
SYSTEM EA
306.774;
LABEL SHEET FOR SCREW MODULE FOR MATRIXMANDIBLE ;
SYSTEM EA
306.777 GRAPHIC CASE MEDIUM FOR MATRIXMANDIBLE SYSTEM EA</t>
  </si>
  <si>
    <t xml:space="preserve">Subject to the terms and conditions of this agreement, as of the Effective Date, the 
Company shall offer the Products to the Participants at the prices stated in Tier 3 of Schedule A. For each 
Year following the first Year, the Company shall offer the Products to the Participants at the Participants’ 
eligible Tier of Schedule A based upon NCP for the prior Year. To the extent a change in pricing is 
required, it will become effective on a prospective basis within 30 days following the end of the prior Year. </t>
  </si>
  <si>
    <t>001030242~00084684.082</t>
  </si>
  <si>
    <t>212447</t>
  </si>
  <si>
    <t>DEPUY SYNTHES SPINE/TRAUMA ORTHOBIOLOGICS</t>
  </si>
  <si>
    <t>PA Amendment sl v2 03-04-2025.docx</t>
  </si>
  <si>
    <t>PROCURE BONE MARROW ASPIRATION KIT 710.111.99S
BONE MARROW ASPIRATION 11GAUGE 11CM
NEEDLE W/SIDE HOLES-STER EA
PROCURE BONE MARROW ASPIRATION KIT 710.150.99S
BONE MARROW ASPIRATION 11GAUGE 15CM
NEEDLE W/DISTAL HOLE-STE EA
PROCURE BONE MARROW ASPIRATION KIT 710.151.99S
BONE MARROW ASPIRATION 11GAUGE 15CM
NEEDLE W/SIDE HOLES-STER EA
CELLECT 276124001 ASPIRATOR NEEDLE 1 HOLE 4 " EA
CELLECT 276124002 ASPIRATOR NEEDLE 3 HOLE 4 " EA
CELLECT 276124202 ASPIRATOR 3-HOLE 6" NDLE EA
CELLECT 276121001 ASPIRATOR KIT 1-HOLE 4" NDLE EA
CELLECT 276123001 ASPIRATOR KIT 3-HOLE 4" NDLE EA
CELLECT 276123201 ASPIRATOR KIT 3-HOLE 6" NDLE EA
FIBERGRAFT 47000060 6cc FIBERGRAFT Putty EA
FIBERGRAFT 46000050 6cc FIBERGRAFT Morsels EA
FIBERGRAFT 48000060 6cc FIBERGRAFT GPS Putty EA
FIBERGRAFT 55000063 6.25cc FIBERGRAFT BG Matrix EA
FIBERGRAFT 47000040 4cc FIBERGRAFT Putty EA
FIBERGRAFT 48000040 4cc FIBERGRAFT GPS Putty EA
FIBERGRAFT 55000030 3cc FIBERGRAFT BG Matrix EA
FIBERGRAFT 47000020 2cc FIBERGRAFT Putty EA
FIBERGRAFT 46000020 2cc FIBERGRAFT Morsels EA
FIBERGRAFT 55000200 20cc FIBERGRAFT BG Matrix EA
FIBERGRAFT 61000200 200mm Cannula EA
FIBERGRAFT 47000010 1cc FIBERGRAFT Putty EA
FIBERGRAFT 55000170 17cc FIBERGRAFT BG Matrix EA
FIBERGRAFT 55000125 12.5cc FIBERGRAFT BG Matrix EA
FIBERGRAFT 47000110 11cc FIBERGRAFT Putty EA
FIBERGRAFT 46000100 11cc FIBERGRAFT Morsels EA
FIBERGRAFT 48000110 11cc FIBERGRAFT GPS Putty EA
FIBERGRAFT 61000100 100mm Cannula EA
SBIO_CHRONOS_SYNTHETIC GRANULES 5CC 710.025.99S CHRONOS GRANULES-LG 2.8-5.6MM/5CC-ST EA
SBIO_CHRONOS_SYNTHETIC GRANULES 10CC 710.026.99S CHRONOS GRANULES-LG 2.8-5.6MM/10CC-ST EA
SBIO_CHRONOS_SYNTHETIC GRANULES 20CC 710.027.99S CHRONOS GRANULES-LG 2.8-5.6MM/20CC-ST EA
DS NON CONTRACTED 62000200 FIBERGRAFT GPS PUSHER EA
TR NON CONTRACTED 74000030 FIBRGRFT BG MAT S 3CC 2.5CM EA
TR NON CONTRACTED 74000063 FIBRGRFT BG MAT M 6.25CC 5CM EA
TR NON CONTRACTED 74000125 FIBRGRFT BG MAT L 12.5CC 10CM EA
TR NON CONTRACTED 74000170 FIBRGRFT BG MAT X-L 17CC 20CM EA
TR NON CONTRACTED 74000200 FIBRGRFT BG MAT X-L 20CC 10CM EA
TR NON CONTRACTED 75000100 GPS CANNULA 100MM EA
TR NON CONTRACTED 75000200 GPS CANNULA 200MM EA
TR NON CONTRACTED 76000040 FIBERGRAFT BG PUTTY GPS S 4CC EA
TR NON CONTRACTED 76000060 FIBERGRAFT BG PUTTY GPS M 6CC EA
TR NON CONTRACTED 76000110 FIBERGRAFT BG PUTTY GPS L 11CC EA
TR NON CONTRACTED 77000020 FIBERGRAFT BG MORSELS X-S 2CC EA
TR NON CONTRACTED 77000060 FIBERGRAFT BG MORSELS MED 6CC EA
TR NON CONTRACTED 77000110 FIBERGRAFT BG MORSELS LRG 11CC EA
TR NON CONTRACTED 78000010 FIBERGRAFT BG PUTTY XX-SM 1CC EA
TR NON CONTRACTED 78000020 FIBERGRAFT BG PUTTY X-SM 2CC EA
TR NON CONTRACTED 78000040 FIBERGRAFT BG PUTTY SM 4CC EA
TR NON CONTRACTED 78000060 FIBERGRAFT BG PUTTY MED 6CC EA
TR NON CONTRACTED 78000110 FIBERGRAFT BG PUTTY LARGE 11CC EA
FIBERGRAFT 59000063 6.25cc FIBERGRAFT Aeridyan Matrix EA
FIBERGRAFT 59000030 3cc FIBERGRAFT Aeridyan Matrix EA
FIBERGRAFT 59000200 20cc FIBERGRAFT Aeridyan Matrix EA
FIBERGRAFT 59000125 12.5cc FIBERGRAFT Aeridyan Matrix EA
FIBERGRAFT 73000063 6.25cc FIBERGRAFT Aeridyan Matrix EA
FIBERGRAFT 73000030 3cc FIBERGRAFT Aeridyan Matrix EA
FIBERGRAFT 73000200 20cc FIBERGRAFT Aeridyan Matrix EA
FIBERGRAFT 73000125 12.5cc FIBERGRAFT Aeridyan Matrix EA</t>
  </si>
  <si>
    <t>On a prospective basis only, a. the Products and pricing listed on Exhibit A, attached hereto, are added to Schedule A of the PA. b. the pricing for the Products listed below are deleted from Schedule A in its entirety and replaced with the Products and pricing listed on Exhibit B, attached hereto.</t>
  </si>
  <si>
    <t>001030242~00084684.083</t>
  </si>
  <si>
    <t>224678</t>
  </si>
  <si>
    <t>Amendment To Product Agreement (Ethicon Endo-Mechanical)</t>
  </si>
  <si>
    <t xml:space="preserve"> ENDO MECHANICAL </t>
  </si>
  <si>
    <t>PA Amend v2 NS 053025</t>
  </si>
  <si>
    <t xml:space="preserve">ECHELON CIRCULAR POWERED STAPLER, 23MM CDH23P 66.00%;
ECHELON CIRCULAR POWERED STAPLER, 25MM CDH25P 66.00%;
ECHELON CIRCULAR POWERED STAPLER, 29MM CDH29P 66.00%;
ECHELON CIRCULAR POWERED STAPLER, 31MM CDH31P 66.00%;
GST BLUE RELOAD, 45MM, 6 ROW GST45B 30.00%;
GST GOLD RELOAD, 45MM, 6 ROW GST45D 30.00%;
GST GREEN RELOAD, 45MM, 6 ROW GST45G 30.00%;
GST BLACK RELOAD, 45MM, 6 ROW GST45T 30.00%;
GST WHITE RELOAD, 45MM, 6 ROW GST45W 30.00%;
ECHELON ENDO LINEAR CUTTER RELOAD (GST), 60MM, BLUE GST60B 30.00%;
ECHELON ENDO LINEAR CUTTER RELOAD (GST), 60MM, GOLD GST60D 30.00%;
ECHELON ENDO LINEAR CUTTER RELOAD (GST), 60MM, GREEN GST60G 30.00%;
ECHELON ENDO LINEAR CUTTER RELOAD GST, 60MM, BLACK GST60T 30.00%;
ECHELON ENDO LINEAR CUTTER RELOAD (GST), 60MM, WHITE GST60W 30.00%;
GRAY RELOAD FOR 60MM ECHELON ECR60M 30.00%;
ECHELON 45MM RELOAD - GRAY ECR45M 30.00%;
POWERED PLUS COMPACT 45 PCEE45A 30.00%;
POWERED 60 ECHELON +, 280MM SHAFT PCEE60A 30.00%;
POWERED PLUS LONG 45 PLEE45A 30.00%;
ECHELON FLEX POWERED PLUS STAPLER, LONG LENGTH, 440MM PLEE60A 30.00%;
POWERED PLUS STANDARD 45 PSEE45A 30.00%;
ECHELON FLEX POWERED PLUS STAPLER, STANDARD LENGTH, 340MM PSEE60A 30.00%;
ECHELON 3000 45mm Compact ECH45C 30.00%;
ECHELON 3000 45mm Standard ECH45S 30.00%;
ECHELON 3000 45mm Long ECH45L 30.00%;
ECHELON 3000 60mm Compact ECH60C 30.00%;
ECHELON 3000 60mm Standard ECH60S 30.00%;
ECHELON 3000 60mm Long ECH60L 30.00%;
35MM VASCULAR POWERED ENDOCUTTER PVE35A 30.00%;
35MM VASCULAR RELOAD CARTRIDGE VASECR35 30.00%;
ECHELON ENDOPATH™ Staple Line Reinforcement 60mm ECH60R $1,500.00;
ECHELON CONTOUR™ CURVED CUTTER STAPLER WITH BLUE RELOAD 40MM GCS40B 30.00%;
ECHELON CONTOUR™ CURVED CUTTER STAPLER WITH GREEN RELOAD 40MM GCS40G 30.00%;
ECHELON CONTOUR™ GST RELOAD (BLUE) GCR40B 30.00%;
ECHELON CONTOUR™ GST RELOAD (GREEN) GCR40G 30.00%;
ECHELON LINEAR™ Cutter 60mm GLC60 30.00%;
ECHELON LINEAR™ Cutter 80mm GLC80 30.00%;
ECHELON LINEAR™ Cutter 100mm GLC100 30.00%;
ECHELON LINEAR™ Cutters 60mm Blue Reload GLCR60B 30.00%;
ECHELON LINEAR™ Cutters 60mm Green Reload GLCR60G 30.00%;
ECHELON LINEAR™ Cutters 80mm Blue Reload GLCR80B 30.00%;
ECHELON LINEAR™ Cutters 80mm Green Reload GLCR80G 30.00%;
ECHELON LINEAR™ Cutters 100mm Blue Reload GLCR100B 30.00%;
ECHELON LINEAR™ Cutters 100mm Green Reload GLCR100G 30.00%;
</t>
  </si>
  <si>
    <t>Subject to the terms and conditions of this PA, the Company shall offer the Products to the Participants at the Discounts stated in the Schedule A1. Prices at the product code level may be obtained by calling Johnson &amp; Johnson Health Care Systems Customer Service at 800-255-2500 or from the Customer’s Distributor. As of the PA Effective Date, the Discounts will be applied to Price Book SD95.</t>
  </si>
  <si>
    <t>001030242~00084684.084</t>
  </si>
  <si>
    <t>217291</t>
  </si>
  <si>
    <t>PA sl v2 04-08-2025</t>
  </si>
  <si>
    <t>ALIGNMENT DISPOSABLES - TRACKER 219460 TRACKER DRBIT 2.0X6.5" *EA 1 EA
ALIGNMENT DISPOSABLES - TRACKER 219462 TRACKER DRBIT 4.5X6.5" *EA 1 EA
ALIGNMENT DISPOSABLES - TRACKER 219461 TRACKER DRBIT 3.2X7.0" *EA 1 EA
ALIGNMENT IMPLANTS - TRACKER 219465 TRACKER ANCHORPIN 2.0X45MM *EA 1 EA
ALIGNMENT IMPLANTS - TRACKER 219467 TRACKER ANCHORPIN 2.0X77MM *EA 1 EA
ALIGNMENT IMPLANTS - TRACKER 219466 TRACKER ANCHORPIN 2.0X64MM *EA 1 EA
ALIGNMENT INSTRUMENTS - TRACKER 215187 TRACKER TRAY GDEMOD *EA 1 EA
ALIGNMENT INSTRUMENTS - TRACKER 219458 TRACKER POSITIONCARD *EA 1 EA
ALIGNMENT INSTRUMENTS - TRACKER 219457 TRACKER BONE CLAMP *EA 1 EA
ALIGNMENT INSTRUMENTS - TRACKER 219456 TRACKER ANCHORPIN PULLER *EA 1 EA
ALIGNMENT INSTRUMENTS - TRACKER 219455 TRACKER SLOPESELECT ARM *EA 1 EA
ALIGNMENT INSTRUMENTS - TRACKER 219454 TRACKER RETRACTOR *EA 1 EA
ALIGNMENT INSTRUMENTS - TRACKER 219453 TRACKER CUTTBLOCK W/PIVOT *EA 1 EA
ALIGNMENT INSTRUMENTS - TRACKER 219452 TRACKER CUTTING BLOCK *EA 1 EA
BICEPS DISPOSABLES - KITS 232426 TENODESIS DISPOSABLES KIT 1 EA
BICEPS DISPOSABLES - SUPER QUICK 211113 SUPER/RC DRBIT 2.9MM *EA 1 EA
BICEPS DISPOSABLES - SUPER QUICK 211513 SUPER/RC DRBIT ARTHRO 2.9MM 1 EA
BICEPS IMPLANTS - MILAGRO 231803 MILAGRO INSCR SMALL SIZE 5X23 1 EA
BICEPS IMPLANTS - MILAGRO 231814 5X12 MILAGRO INTERERENCE SCREW 1 EA
BICEPS IMPLANTS - MILAGRO 231813 6X12 MILAGRO INTERFRENCE SCREW 1 EA
BICEPS IMPLANTS - MILAGRO 231812 8X15 MILAGRO INTERFRENCE SCREW 1 EA
BICEPS IMPLANTS - MILAGRO 231811 7X15 MILAGRO INTERFRENCE SCREW 1 EA
BICEPS IMPLANTS - MILAGRO 231809 MILAGRO INSCR SMALL SIZE 6X30 1 EA
BICEPS IMPLANTS - MILAGRO 231807 MILAGRO INSCR SMALL SIZE 6X23 1 EA
BICEPS IMPLANTS - MILAGRO 231804 MILAGRO INSCR SMALL SIZE 5X30 1 EA
BICEPS IMPLANTS - SUPER QUICK 222984 SUPER QA+ O/C DS CP-2 *EA 1 EA
BICEPS IMPLANTS - SUPER QUICK 212032 SUPER QA+ #2 ETH CP-2 *EA 1 EA
BICEPS IMPLANTS - TIGHT-N 208881 TIGHT-N TENDON ANCHOR, 5.5MM 1 EA
BICEPS IMPLANTS - TIGHT-N 208882 TIGHT-N TENDON ANCHOR, 7.0MM 1 EA
BICEPS IMPLANTS - TIGHT-N 208883 TIGHT-N TENDON ANCHOR, 8.5MM 1 EA
BICEPS INSTRUMENTS - GRAFT PREP 219444 GRAFT SIZING BLOCK, 5-12MM 1 EA
BICEPS INSTRUMENTS - GRAFT PREP 219445 TENDON SIZER, 4-9MM 1 EA
BICEPS INSTRUMENTS - GUIDEWIRES 219971 GUIDEWIRE CAP 1 EA
BICEPS INSTRUMENTS - MILAGRO 219438 MODULR DRVER,30MM,SMALL SIZE MILAGRO 1 EA
BICEPS INSTRUMENTS - MILAGRO 219448 5X12 AND 6X12MM MODULAR DRIVER 1 EA
BICEPS INSTRUMENTS - MILAGRO 219447 7X15 AND 8X15MM MODULAR DRIVER 1 EA
BICEPS INSTRUMENTS - MILAGRO 219446 MODULR DRIVR,23MM,SMALL SIZE MILAGRO 1 EA
BICEPS INSTRUMENTS - QUICKANCHORS 212114 SUPER/ROTCUFF INSERT *EA 1 EA
BICEPS INSTRUMENTS - QUICKANCHORS 214562 ARTHRO DRGDE SAWTOOTH *EA 1 EA
BICEPS INSTRUMENTS - QUICKANCHORS 214561 ARTHRO DRGDE SHARKMOUTH *EA 1 EA
BICEPS INSTRUMENTS - REAMERS 219440 ACORN REAMER, 5MM 1 EA
BICEPS INSTRUMENTS - REAMERS 219443 FULLY FLUTED REAMER, 5.5MM 1 EA
BICEPS INSTRUMENTS - REAMERS 219442 FULLY FLUTED REAMER, 5MM 1 EA
BICEPS INSTRUMENTS - REAMERS 219441 ACORN REAMER, 5.5MM 1 EA
BICEPS INSTRUMENTS - TIGHT-N 208886 TIGHT-N IMPLANT SIZER 1 EA
BICEPS INSTRUMENTS - TIGHT-N 208887 TIGHT-N 5.5MM CANULATED REAMER 1 EA
BICEPS INSTRUMENTS - TIGHT-N 208888 TIGHT-N 7.0MM CANULATED REAMER 1 EA
BICEPS INSTRUMENTS - TIGHT-N 208889 TIGHT-N 8.5MM CANULATED REAMER 1 EA
BICEPS INSTRUMENTS - TIGHT-N 208891 TIGHT-N 5.5MM SELF PILOTING REAMER 1 EA
BICEPS INSTRUMENTS - TIGHT-N 208892 TIGHT-N 7.0MM SELF PILOTING REAMER 1 EA
BICEPS INSTRUMENTS - TIGHT-N 208893 TIGHT-N 8.5MM SELF PILOTING REAMER 1 EA
CARTILAGE INSTRUMENTS - COR 252307 COR PLUNGER 4MM *EA 1 EA
CARTILAGE INSTRUMENTS - COR 252319 COR PLUNGER 8MM *EA 1 EA
CARTILAGE INSTRUMENTS - COR 252313 COR PLUNGER 6MM *EA 1 EA
CARTILAGE DISPOSABLES - COR 252107 COR DISPOSABLE SYSTEM 4MM 1 EA
CARTILAGE DISPOSABLES - COR 252113 COR DISPOSABLE SYSTEM W/PERP 10MM 1 EA
CARTILAGE DISPOSABLES - COR 252112 COR DISPOSABLE SYSTEM W/PERP 8MM 1 EA
CARTILAGE DISPOSABLES - COR 252111 COR DISPOSABLE SYSTEM W/PERP 6MM 1 EA
CARTILAGE DISPOSABLES - COR 252110 COR DISPOSABLE SYSTEM 10MM 1 EA
CARTILAGE DISPOSABLES - COR 252109 COR DISPOSABLE SYSTEM 8MM 1 EA
CARTILAGE DISPOSABLES - COR 252108 COR DISPOSABLE SYSTEM 6MM 1 EA
FLUID MGMT ACCESSORIES 281406 ARTHROSCOPY EQUIPMENT CART 1 EA
FLUID MGMT ACCESSORIES 283573 FOOT PEDAL(FMS VUE/NEXTRA) 1 EA
FLUID MGMT ACCESSORIES 283551 REMOTE CONTROL(FMS VUE/NEXTRA) 1 EA
FLUID MGMT ACCESSORIES 282114 FMS CONNECT (VUE) 1 EA
FLUID MGMT GENERAL DISPOSABLES 281380 1380 WASTE COLLECT BAG 10L PK/25 -NS 25 PK
FLUID MGMT GENERAL DISPOSABLES 284163 4163 FOOT PED COVER 2WAY PK/100 -NS 100 PK
FLUID MGMT GENERAL DISPOSABLES 284156 4156 FOOT PED COVER 4WAY PK/100 -NS 100 PK
FLUID MGMT GENERAL DISPOSABLES 281580 1580 4.5MM FMS CANNULA PK/20 -SH 20 PK
FLUID MGMT GENERAL DISPOSABLES 281572 1572 2.5MM FMS CANNULA PK/20 -SH 20 PK
FLUID MGMT SYSTEMS 284002 FMS VUE PUMP 1 EA
FLUID MGMT SYSTEMS 284004 FMS VUE II PUMP-SHAVER BOX 1 EA
FLUID MGMT TUBING DISPOSABLES 281103 INTERMEDIARY TUBESET 24PK 24 PK
FLUID MGMT TUBING DISPOSABLES 284649 REUSE PATIENT SET FMS 24PK 24 PK
FLUID MGMT TUBING DISPOSABLES 284610 DISP PATIENT SET FMS 24PK 24 PK
FLUID MGMT TUBING DISPOSABLES 284508 INFLOW TUBING FMS VUE 24PK 24 PK
FLUID MGMT TUBING DISPOSABLES 284504 IRRIGATION TUBESET 24PK 24 PK
FLUID MGMT TUBING DISPOSABLES 281142 INTERMED TUBESET SCHKVLVE 24PK 24 PK
FLUID MGMT TUBING DISPOSABLES 281113 GRAVITY TUBE SET 24PK 24 PK
HIP INSTRUMENTS - GENERAL 213042 GRYPHON HIP GUIDE SAW TOOTH 1 EA
HIP INSTRUMENTS - GENERAL 219103 SLOTTED HIP GUIDE 1 EA
HIP INSTRUMENTS - GENERAL 219102 HIP OBTURATOR 1 EA
HIP INSTRUMENTS - GENERAL 214154 4.5 HIP CANNULATED SWITCHSTICK 1 EA
HIP INSTRUMENTS - GENERAL 214153 5.0 HIP CANNULATED SWITCHSTICK 1 EA
HIP INSTRUMENTS - GENERAL 214151 HANDLE,HIP CANNULATED SWITCHING STICK 1 EA
HIP INSTRUMENTS - GENERAL 214148 HIP TISSUE LIB BLADE 20 DOWN 1 EA
HIP INSTRUMENTS - GENERAL 214147 HIP GRASPER STR 1 EA
HIP INSTRUMENTS - GENERAL 214146 HIP SUTURE MANI 1 EA
HIP INSTRUMENTS - GENERAL 214145 HIP KNOT MANIPULATOR 1 EA
HIP INSTRUMENTS - GENERAL 214144 HIP GRASPER 20 RIGHT 1 EA
HIP INSTRUMENTS - GENERAL 214143 HIP GRASPER 20 LEFT 1 EA
HIP INSTRUMENTS - GENERAL 214142 HIP CURETTE 20 BENT 1 EA
HIP INSTRUMENTS - GENERAL 214139 HIP BITER STR 1 EA
HIP INSTRUMENTS - GENERAL 214138 HIP CORDCUTTER 1 EA
HIP INSTRUMENTS - GENERAL 214137 HIP BITER 15UP 1 EA
HIP INSTRUMENTS - GENERAL 214136 6.0MM SLOTTED CANN 1 EA
HIP INSTRUMENTS - GENERAL 214135 5.5MM SLOTTED CANN 1 EA
HIP INSTRUMENTS - GENERAL 214134 4.0 HIP CANN SWITCHSTICK 1 EA
HIP INSTRUMENTS - GENERAL 214133 6.0 HIP CANN SWITCHSTICK 1 EA
HIP INSTRUMENTS - GENERAL 214132 5.5 HIP CANN SWITCHSTICK 1 EA
HIP INSTRUMENTS - GENERAL 214131 HIP PROBE 90 1 EA
HIP INSTRUMENTS - GENERAL 214111 7.0 X110MM REUSABLE OBTURATOR 1 EA
HIP INSTRUMENTS - GENERAL 214013 HIP SUTURE PASSER STR 1 EA
HIP INSTRUMENTS - GENERAL 214009 HIP SUTURE PASSER UP 1 EA
HIP INSTRUMENTS - GENERAL 213044 GRYPHON HIP GUIDE FISH MOUTH 1 EA
INSTABILITY DISPOSABLES - CHIA 214101 CHIA PERCPASSER SUTURE PASSER 5 PACK 5 PK
INSTABILITY DISPOSABLES - IDEAL 251001 IDEAL SUTURE SHUTTLE 25 DEGREES LEFT -G 1 EA
INSTABILITY DISPOSABLES - IDEAL 251723 IDEAL SUTGRASPER 60 DEG *EA 1 EA
INSTABILITY DISPOSABLES - IDEAL 251722 IDEAL SUTGRASPER 45 DEG *EA 1 EA
INSTABILITY DISPOSABLES - IDEAL 251721 IDEAL SUTGRASPER 30 DEG *EA 1 EA
INSTABILITY DISPOSABLES - IDEAL 251720 IDEAL SUTGRASPER 15 DEG *EA 1 EA
INSTABILITY DISPOSABLES - IDEAL 251007 IDEAL SUTRE SHUTLE STRGHT CRESCENT -G 1 EA
INSTABILITY DISPOSABLES - IDEAL 251006 IDEAL SUTURE SHUTTLE STRAIGHT HOOK -G 1 EA
INSTABILITY DISPOSABLES - IDEAL 251005 IDEAL SUTURE SHUTTLE 90 DEGREES 1 EA
INSTABILITY DISPOSABLES - IDEAL 251004 IDEAL SHUTTLE 45 DEGREES RIGHT -G 1 EA
INSTABILITY DISPOSABLES - IDEAL 251003 IDEAL SUTURE SHUTTLE 45 DEGREES LEFT 1 EA
INSTABILITY DISPOSABLES - IDEAL 251002 IDEAL SUTURE SHUTTLE 25 DEGREES RIGHT -G 1 EA
INSTABILITY DISPOSABLES - K-WIRES 288207 GLENOID K-WIRE (380MM) 1 EA
INSTABILITY DISPOSABLES - LATARJET 288238 LATARJET PROCEDURE KIT 1 EA
INSTABILITY DISPOSABLES - LATARJET 288239 BRISTOW PROCEDURE KIT 1 EA
INSTABILITY IMPLANTS - BIOKNOTLESS 212722 BIOKNOTLESS RAPIDE W/OC 1 EA
INSTABILITY IMPLANTS - BIOKNOTLESS 212726 BIOKNOTLESS PLUS W/OC 1 EA
INSTABILITY IMPLANTS - DYNACORD 210120 GRYPHON P BR ANC-DYNACORD BL 1 EA
INSTABILITY IMPLANTS - DYNACORD 210123 GRYPHON P PK ANC-DYNA STR/BL 1 EA
INSTABILITY INSTRUMENTS - LATAR EXP 288221 GLENOID GUIDE 1 EA
INSTABILITY INSTRUMENTS - LATAR EXP 288219 LATARJET CASE 1 EA
INSTABILITY INSTRUMENTS - LATAR EXP 288218 LATARJET TRAY 1 EA
INSTABILITY INSTRUMENTS - LATAR EXP 288217 LATARJET CASE LID 1 EA
INSTABILITY INSTRUMENTS - LATAR EXP 288215 SUBSCAPULARIS SPREADER 1 EA
INSTABILITY INSTRUMENTS - LATAR EXP 288214 GLENOID LEVER, DOUBLE PRONG 1 EA
INSTABILITY INSTRUMENTS - LATAR EXP 288213 LATARJET, HOHMANN RETRACTOR 1 EA
INSTABILITY INSTRUMENTS - LATAR EXP 288212 LATARJET, HUMERAL HEAD RETRACTOR 1 EA
INSTABILITY INSTRUMENTS - LATAR EXP 288211 COMBO SCREWDRIVER 1 EA
INSTABILITY INSTRUMENTS - LATAR EXP 288210 REFERENCE TUBE 1 EA
INSTABILITY INSTRUMENTS - LATAR EXP 288209 CORACOID SCREW, 3.5MM 1 EA
INSTABILITY INSTRUMENTS - LATAR EXP 288208 GLENOID OFFSET PIN 1 EA
INSTABILITY INSTRUMENTS - LATAR EXP 288206 CORACOID OFFSET PIN 1 EA
INSTABILITY INSTRUMENTS - LATAR EXP 288205 SUBSCAPULARIS CHANNELER 1 EA
INSTABILITY INSTRUMENTS - LATAR EXP 288204 SHARP CURVED OSTEOTOME 1 EA
INSTABILITY INSTRUMENTS - LATAR EXP 288203 TOP HAT TAP 1 EA
INSTABILITY INSTRUMENTS - LATAR EXP 288202 CORACOID TOP HAT DRILL 1 EA
INSTABILITY INSTRUMENTS - LATAR EXP 288201 CORACOID DRILL 1 EA
INSTABILITY INSTRUMENTS - LATAR EXP 288200 INLINE CORACOID DRILL GUIDE 1 EA
INSTABILITY INSTRUMENTS - LATARJET 219652 BONE GRAFT SWITCHING STICK 1 EA
INSTABILITY INSTRUMENTS - LATARJET 288242 LATARJET, SMALL PROBE 1 EA
INSTABILITY INSTRUMENTS - LATARJET 285365 LATARJET CC DRILL GUIDE 1 EA
INSTABILITY INSTRUMENTS - LATARJET 285325 LATARJET SOLID SCREWDRIVER 1 EA
INSTABILITY INSTRUMENTS - LATARJET 285300 LATARJET GLENOID LONG DRILL BIT 3.2 1 EA
INSTABILITY INSTRUMENTS - LATARJET 285270 LATARJET CURVED OSTEOTOME 1 EA
INSTABILITY INSTRUMENTS - LATARJET 285260 LATARJET CORACOID SHORT K WIRE 1 EA
INSTABILITY INSTRUMENTS - LATARJET 285215 LATARJET BONE SCREW RETRIEVER 1 EA
INSTABILITY INSTRUMENTS - LATARJET 285143 BRIST-LATRJET GLNOID 2.9DRBIT 1 EA
INSTABILITY INSTRUMENTS - LATARJET 219994 BONE GRAFT SCREWDRIVER 1 EA
INSTABILITY INSTRUMENTS - LATARJET 219993 BONE GRAFT INTRODUCER 14MM 1 EA
INSTABILITY INSTRUMENTS - LATARJET 219992 BONE GRAFT INTRODUCER 163MM 1 EA
INSTABILITY INSTRUMENTS - LATARJET 219991 BONE GRAFT INTRUODUCER 12MM 1 EA
INSTABILITY INSTRUMENTS - LATARJET 219656 BONE GRAFT SHORT DRILL 3.5 1 EA
INSTABILITY INSTRUMENTS - LATARJET 219655 BONE GRAFT SHORT DRILL 2MM 1 EA
INSTABILITY INSTRUMENTS - LATARJET 219654 BONE GRAFT GLENOID DRILL 2.7MM 1 EA
INSTABILITY INSTRUMENTS - LATARJET 219653 BONE GRAFT SCREW GUIDE W/OBT 1 EA
INSTABILITY INSTRUMENTS - LUPINE 211033 LUPINE STABILIZATION DRBT *EA 1 EA
INSTABILITY INSTRUMENTS - LUPINE 214639 LUPINE STABILIZATION OBTURATOR *EA 1 EA
INSTABILITY INSTRUMENTS - LUPINE 213819 LUPINE STABILIZATION SAWTOOTH DRGDE *EA 1 EA
INSTABILITY INSTRUMENTS - LUPINE 213818 LUPINE STABILIZATION HYBRID FM DRGD *EA 1 EA
INSTABILITY INSTRUMENTS - LUPINE 213817 LUPINE STABILIZATION FISHMOUTH DRGDE *EA 1 EA
INSTABILITY INSTRUMENTS - LUPINE 213816 LUPINE STABILIZATION DOVETAIL DRGDE *EA 1 EA
INSTABILITY INSTRUMENTS - LUPINE 211042 LUPINE SPIRAL FLUTED DRILL BIT 1 EA
INSTABILITY INSTRUMENTS - VERSALOOP 210176 VERSALOOP STR GUIDE 1.8MM FM 1 EA
INSTABILITY INSTRUMENTS - VERSALOOP 210218 VERSALOOP XL CURV G 12.5,1.5ST 1 EA
INSTABILITY INSTRUMENTS - VERSALOOP 210217 VERSALOOP XL STR G 1.5MM ST 1 EA
INSTABILITY INSTRUMENTS - VERSALOOP 210213 VERSALOOP OBTURATOR 1.8MM 1 EA
INSTABILITY INSTRUMENTS - VERSALOOP 210205 VERSALOOP OBTURATOR 1.5MM 1 EA
INSTABILITY INSTRUMENTS - VERSALOOP 210198 VERSALOOP CURV G 25, 1.8 ST 1 EA
INSTABILITY INSTRUMENTS - VERSALOOP 210197 VERSALOOP CURV G 25, 1.5 ST 1 EA
INSTABILITY INSTRUMENTS - VERSALOOP 210196 VERSALOOP CURV G 12.5, 1.8 ST 1 EA
INSTABILITY INSTRUMENTS - VERSALOOP 210195 VERSALOOP CURV G 12.5, 1.5 ST 1 EA
INSTABILITY INSTRUMENTS - VERSALOOP 210182 VERSALOOP DRILL 1.5-HB 1.8-SB 1 EA
INSTABILITY INSTRUMENTS - VERSALOOP 210179 VERSALOOP STR GUIDE 1.8MM ST 1 EA
KNEE DISPOSABLES - GENERAL 219377 RESTORE TIB CANN THRD *PK/5 5 PK
KNEE INSTRUMENTS - GENERAL 219203 PROFILE HEXDRV CANN 3.5MM *EA 1 EA
KNEE INSTRUMENTS - GENERAL 270129 30MM MODULAR STRAIGHTSHOT DRIVER -NS 1 EA
KNEE INSTRUMENTS - GENERAL 270128 35MM HEX DRIVER W/TEARDROP HANDLE -NS 1 EA
KNEE INSTRUMENTS - GENERAL 270127 23MM HEX DRIVER W/TEARDROP HANDLE -NS 1 EA
KNEE INSTRUMENTS - GENERAL 254847 RATCHET HANDLE 1 EA
KNEE INSTRUMENTS - GENERAL 254730 TENDON HARV CLOSED STRIPPER EA 1 EA
KNEE INSTRUMENTS - GENERAL 254715 ACL ACC MODULAR HNDLE *EA 1 EA
KNEE INSTRUMENTS - GENERAL 254687 ANTEROMEDIAL FEMORAL AIMER 7.5MM -NS 1 EA
KNEE INSTRUMENTS - GENERAL 254686 ANTEROMEDIAL FEMORAL AIMER 6.5MM -NS 1 EA
KNEE INSTRUMENTS - GENERAL 254672 ANTEROMEDIAL FEMORAL AIMER, 5.5MM -NS 1 EA
KNEE INSTRUMENTS - GENERAL 232015 RESTORE ACL GRAFT SIZER *EA 1 EA
KNEE INSTRUMENTS - GENERAL 232005 TENDONHARV TARGET DISP CUTTER *EA 1 EA
KNEE INSTRUMENTS - GENERAL 232004 TENDONHARV TARGET HARVESTER *EA 1 EA
KNEE INSTRUMENTS - GENERAL 232002 TENDONHARV PIGTAIL PEELER *EA 1 EA
KNEE INSTRUMENTS - GENERAL 219974 TENDON FORK 1 EA
KNEE INSTRUMENTS - GENERAL 219968 GRAFT PREP SYS CUTTINGBD *EA 1 EA
KNEE INSTRUMENTS - GENERAL 219967 GRAFT PREP SYS DRGDE *EA 1 EA
KNEE INSTRUMENTS - GENERAL 219966 GRAFT PREP SYS GRAFTSIZER *EA 1 EA
KNEE INSTRUMENTS - GENERAL 219965 GRAFT PREP SYS SUTCLAMP *EA 1 EA
KNEE INSTRUMENTS - GENERAL 219964 GRAFT PREP SYS GRAFTCLAMP (2 REQ) *EA 1 EA
KNEE INSTRUMENTS - GENERAL 219963 GRAFT PREP SYS TENSIONCLAMP *EA 1 EA
KNEE INSTRUMENTS - GENERAL 219962 GRAFT PREP SYS SLIDERUNIT (2 REQ) *EA 1 EA
KNEE INSTRUMENTS - GENERAL 219961 GRAFT PREP SYS BOARD *EA 1 EA
KNEE INSTRUMENTS - GENERAL 219957 MODULAR DRV 23MM 1 EA
KNEE INSTRUMENTS - GENERAL 219952 PATHMAKER TUNNEL NOTCHER *EA 1 EA
KNEE INSTRUMENTS - GENERAL 219621 TENODESIS, 4MM 1 EA
KNEE INSTRUMENTS - GENERAL 219435 ANTEROMEDIAL OFFSET AIMER, 4.5MM 1 EA
KNEE INSTRUMENTS - GENERAL 219434 ANTEROMEDIAL OFFSET AIMER, 5.0MM 1 EA
KNEE INSTRUMENTS - GENERAL 219415 TUNNEL DILATOR 12.0MM *EA 1 EA
KNEE INSTRUMENTS - GENERAL 219414 TUNNEL DILATOR 11.5MM *EA 1 EA
KNEE INSTRUMENTS - GENERAL 219413 TUNNEL DILATOR 11.0MM *EA 1 EA
KNEE INSTRUMENTS - GENERAL 219412 TUNNEL DILATOR 10.5MM *EA 1 EA
KNEE INSTRUMENTS - GENERAL 219411 TUNNEL DILATOR 10.0MM *EA 1 EA
KNEE INSTRUMENTS - GENERAL 219410 TUNNEL DILATOR 9.5MM *EA 1 EA
KNEE INSTRUMENTS - GENERAL 219409 TUNNEL DILATOR 9.0MM *EA 1 EA
KNEE INSTRUMENTS - GENERAL 219408 TUNNEL DILATOR 8.5MM *EA 1 EA
KNEE INSTRUMENTS - GENERAL 219407 TUNNEL DILATOR 8.0MM *EA 1 EA
KNEE INSTRUMENTS - GENERAL 219406 TUNNEL DILATOR 7.5MM *EA 1 EA
KNEE INSTRUMENTS - GENERAL 219405 TUNNEL DILATOR 7.0MM *EA 1 EA
KNEE INSTRUMENTS - GENERAL 219404 TUNNEL DILATOR 6.5MM *EA 1 EA
KNEE INSTRUMENTS - GENERAL 219403 TUNNEL DILATOR 6.0MM *EA 1 EA
KNEE INSTRUMENTS - GENERAL 219393 TIBIAL GUIDE ARM - TIP AIMER 1 EA
KNEE INSTRUMENTS - GENERAL 219392 TIBIAL GUIDE ARM - ELBOW AIMER 1 EA
KNEE INSTRUMENTS - GENERAL 219391 TIBIAL GUIDE RAIL 1 EA
KNEE INSTRUMENTS - GENERAL 219390 TIBIAL GUIDE BULLET 1 EA
KNEE INSTRUMENTS - GENERAL 219381 RESTORE REV SCR-OUT TIPHEX SM *EA 1 EA
KNEE INSTRUMENTS - GENERAL 219358 RESTORE FEMAIMER OFFSET 8MM *EA 1 EA
KNEE INSTRUMENTS - GENERAL 219357 RESTORE FEMAIMER OFFSET 7MM *EA 1 EA
KNEE INSTRUMENTS - GENERAL 219356 RESTORE FEMAIMER OFFSET 6MM *EA 1 EA
KNEE INSTRUMENTS - GENERAL 219355 RESTORE FEMAIMER OFFSET 5MM *EA 1 EA
KNEE INSTRUMENTS - GENERAL 219351 RESTORE TUNNEL NOTCHER *EA 1 EA
KNEE INSTRUMENTS - GENERAL 219316 ACL PATELLAR RETRACTOR *EA 1 EA
KNEE INSTRUMENTS - GENERAL 219314 NCHPLSTY AWL TIB 90 RND *EA 1 EA
KNEE INSTRUMENTS - GENERAL 219313 NCHPLSTY AWL FEM 45 RND *EA 1 EA
KNEE INSTRUMENTS - GENERAL 219312 RESTORE BKCUTBURR/JACOB *EA 1 EA
KNEE INSTRUMENTS - GENERAL 219311 NCHPLSTY GOUGE GRAFTHARV *EA 1 EA
KNEE INSTRUMENTS - GENERAL 219309 NCHPLSTY RASP CURVED *EA 1 EA
KNEE INSTRUMENTS - GENERAL 219308 NCHPLSTY CURETTE CUP *EA 1 EA
KNEE INSTRUMENTS - GENERAL 219307 NCHPLSTY CURETTE RING 7MM *EA 1 EA
KNEE INSTRUMENTS - GENERAL 219306 NCHPLSTY CURETTE RING 4MM *EA 1 EA
KNEE INSTRUMENTS - GENERAL 219305 NCHPLSTY GOUGE ARTHRO *EA 1 EA
KNEE INSTRUMENTS - GENERAL 219304 NCHPLSTY MALLET *EA 1 EA
KNEE INSTRUMENTS - GENERAL 219303 NCHPLSTY OSTEOTOME W/SCALE *EA 1 EA
KNEE INSTRUMENTS - GENERAL 219302 NCHPLSTY RASP FLAT *EA 1 EA
KNEE INSTRUMENTS - GENERAL 219301 RESTORE TIB GDE/RACHET *EA 1 EA
KNEE INSTRUMENTS - GENERAL 219215 ARTHRO MOD RATCHET HDLE/CHUCK *EA 1 EA
KNEE INSTRUMENTS - GENERAL 219204 PROFILE/BIGADV HXDRV CANN 4MM 1 EA
KNEE INSTRUMENTS - REAMERS 219331 RESTORE ACORNREAM 11MM THIN *EA 1 EA
KNEE INSTRUMENTS - REAMERS 219637 LOW PROFILE REAMER, 13MM 1 EA
KNEE INSTRUMENTS - REAMERS 219636 LOW PROFILE REAMER, 12MM 1 EA
KNEE INSTRUMENTS - REAMERS 219635 LOW PROFILE REAMER, 11.5MM 1 EA
KNEE INSTRUMENTS - REAMERS 219634 LOW PROFILE REAMER, 11MM 1 EA
KNEE INSTRUMENTS - REAMERS 219633 LOW PROFILE REAMER, 10.5MM 1 EA
KNEE INSTRUMENTS - REAMERS 219632 LOW PROFILE REAMER, 10MM 1 EA
KNEE INSTRUMENTS - REAMERS 219631 LOW PROFILE REAMER, 9.5MM 1 EA
KNEE INSTRUMENTS - REAMERS 219630 LOW PROFILE REAMER, 9MM 1 EA
KNEE INSTRUMENTS - REAMERS 219629 LOW PROFILE REAMER, 8.5MM 1 EA
KNEE INSTRUMENTS - REAMERS 219628 LOW PROFILE REAMER, 8MM 1 EA
KNEE INSTRUMENTS - REAMERS 219627 LOW PROFILE REAMER, 7.5MM 1 EA
KNEE INSTRUMENTS - REAMERS 219626 LOW PROFILE REAMER, 7MM 1 EA
KNEE INSTRUMENTS - REAMERS 219625 LOW PROFILE REAMER, 6.5MM 1 EA
KNEE INSTRUMENTS - REAMERS 219624 LOW PROFILE REAMER, 6MM 1 EA
KNEE INSTRUMENTS - REAMERS 219558 RESTORE FULLFLUTE REAM 11.5MM *EA 1 EA
KNEE INSTRUMENTS - REAMERS 219557 RESTORE FULLFLUTE REAM 10.5MM *EA 1 EA
KNEE INSTRUMENTS - REAMERS 219556 RESTORE FULLFLUTE REAM 9.5MM *EA 1 EA
KNEE INSTRUMENTS - REAMERS 219555 RESTORE FULLFLUTE REAM 8.5MM *EA 1 EA
KNEE INSTRUMENTS - REAMERS 219554 RESTORE FULLFLUTE REAM 7.5MM *EA 1 EA
KNEE INSTRUMENTS - REAMERS 219553 RESTORE FULLFLUTE REAM 6.5MM *EA 1 EA
KNEE INSTRUMENTS - REAMERS 219552 RESTORE ACORNREAM 11.5.5MM THIN *EA 1 EA
KNEE INSTRUMENTS - REAMERS 219551 RESTORE ACORNREAM 10.5MM THIN *EA 1 EA
KNEE INSTRUMENTS - REAMERS 219550 RESTORE ACORNREAM 9.5MM THIN *EA 1 EA
KNEE INSTRUMENTS - REAMERS 219549 RESTORE ACORNREAM 8.5MM THIN *EA 1 EA
KNEE INSTRUMENTS - REAMERS 219548 RESTORE ACORNREAM 7.5MM THIN *EA 1 EA
KNEE INSTRUMENTS - REAMERS 219547 RESTORE ACORNREAM 6.5MM THIN *EA 1 EA
KNEE INSTRUMENTS - REAMERS 219349 RESTORE FULLFLUTE REAM 9MM *EA 1 EA
KNEE INSTRUMENTS - REAMERS 219348 RESTORE FULLFLUTE REAM 8MM *EA 1 EA
KNEE INSTRUMENTS - REAMERS 219347 RESTORE FULLFLUTE REAM 7MM *EA 1 EA
KNEE INSTRUMENTS - REAMERS 219346 RESTORE FULLFLUTE REAM 6MM *EA 1 EA
KNEE INSTRUMENTS - REAMERS 219343 RESTORE FULLFLUTE REAM 13MM *EA 1 EA
KNEE INSTRUMENTS - REAMERS 219342 RESTORE FULLFLUTE REAM 12MM *EA 1 EA
KNEE INSTRUMENTS - REAMERS 219341 RESTORE FULLFLUTE REAM 11MM *EA 1 EA
KNEE INSTRUMENTS - REAMERS 219340 RESTORE FULLFLUTE REAM 10MM *EA 1 EA
KNEE INSTRUMENTS - REAMERS 219339 RESTORE ACORNREAM 9MM THIN *EA 1 EA
KNEE INSTRUMENTS - REAMERS 219338 RESTORE ACORNREAM 8MM THIN *EA 1 EA
KNEE INSTRUMENTS - REAMERS 219337 RESTORE ACORNREAM 7MM THIN *EA 1 EA
KNEE INSTRUMENTS - REAMERS 219336 RESTORE ACORNREAM 6MM THIN *EA 1 EA
KNEE INSTRUMENTS - REAMERS 219335 RESTORE ACORNREAM 10MM THIN *EA 1 EA
KNEE INSTRUMENTS - REAMERS 219333 RESTORE ACORNREAM 13MM THIN *EA 1 EA
KNEE INSTRUMENTS - REAMERS 219332 RESTORE ACORNREAM 12MM THIN *EA 1 EA
KNEE INSTRUMENTS - TRAYS 213053 RIGIDFIX CURVE XPIN INSTR TRAY 1 EA
KNEE INSTRUMENTS - TRAYS 254848 LARGE STERILIZATION TRAY LID 1 EA
KNEE INSTRUMENTS - TRAYS 254846 STERILIZATION TRAY 2 1 EA
KNEE INSTRUMENTS - TRAYS 254845 STERILIZATION TRAY 1 1 EA
KNEE INSTRUMENTS - TRAYS 254839 STERILIZATION CASE 1 EA
KNEE INSTRUMENTS - TRAYS 232033 RIGIDLOOP TRAY SILICONE MAT 1 EA
KNEE INSTRUMENTS - TRAYS 232032 RIGIDLOOP INSTRUMENT TRAY 1 EA
KNEE INSTRUMENTS - TRAYS 215810 GRAFT PREP SYS TRAY *EA 1 EA
KNEE INSTRUMENTS - TRAYS 215459 EXTERNAL STERILIZATION CASE LID 1 EA
KNEE INSTRUMENTS - TRAYS 215455 SMALL STERILIZATION TRAY LID 1 EA
KNEE INSTRUMENTS - TRAYS 215454 SMALL STERILIZATION TRAY 1 EA
KNEE INSTRUMENTS - TRAYS 215453 MEDIUM STERILIZATION TRAY LID 1 EA
KNEE INSTRUMENTS - TRAYS 215452 MEDIUM STERILIZATION TRAY 1 EA
KNEE INSTRUMENTS - TRAYS 215451 LARGE STERILIZATION TRAY LID 1 EA
KNEE INSTRUMENTS - TRAYS 215430 MILAGRO STERILTRAY GP PIN MAT *EA 1 EA
KNEE INSTRUMENTS - TRAYS 215429 MILAGRO STERILIZATION TRAY *EA 1 EA
KNEE INSTRUMENTS - TRAYS 215428 MILAGRO &amp; INTRAFIX STERILIZATIONTRAY *EA 1 EA
KNEE INSTRUMENTS - TRAYS 215426 RAPIDLOC CADDY *EA 1 EA</t>
  </si>
  <si>
    <t>The Company shall offer the Products to the Participants at the 
prices stated in Schedule A.  The component pricing is firm for the first Year. Thereafter, the Company 
shall increase the component prices by 3% on each anniversary date of this PA.</t>
  </si>
  <si>
    <t>001030242~00084684.085</t>
  </si>
  <si>
    <t>196295</t>
  </si>
  <si>
    <t>Rebate Product Agreement (Depuy Synthes CMF)</t>
  </si>
  <si>
    <t>Rebate Program Agreement</t>
  </si>
  <si>
    <t>00003871
00013930
01329321
00080009
00005801</t>
  </si>
  <si>
    <t xml:space="preserve">PA Rebate Only sl v4 05-01-2025 </t>
  </si>
  <si>
    <t>00003871 MOUNT ZION HOSPITAL &amp; MEDICAL CENTER;
00013930 UCSF MEDICAL CENTER;
01329321 UCSF MISSION BAY; 
00080009 UCSF-ORAL FACIAL SURGERY COURT; 
00005801 UNIVERSITY OF CALIFORNIA;</t>
  </si>
  <si>
    <t>Pricing Discount</t>
  </si>
  <si>
    <t xml:space="preserve">CMF </t>
  </si>
  <si>
    <t>The Company and the Customer may be parties to pricing agreements (the “Pricing Agreements”) which specify discounts or other price concessions to which the Customer is entitled on purchases of certain Company Products. This agreement is supplemental to and not subject to the terms and conditions of any Pricing Agreements and does not modify the Customer’s existing commitments under the Pricing Agreements.</t>
  </si>
  <si>
    <t>001030242~00084684.086</t>
  </si>
  <si>
    <t>Amendment To Product Agreement (Cerenovus, For IDN)</t>
  </si>
  <si>
    <t xml:space="preserve">00005715
00006856
00050112
00003871
00013930
01329321
00058200
00005736
00005737
00010004
00005751
00019161
00007152
00007117
00003812
00007146
</t>
  </si>
  <si>
    <t>AMENDMENT TO PA IDN ADD_ Rebate Section</t>
  </si>
  <si>
    <t xml:space="preserve">ASPIRATION TUBING EVT110 CERENOVUS ASPIRATION TUBING SE EA 1
CEREBASE GS9080SD GS 90, 80 CM, STRAIGHT, DISTAL EA 1
CEREBASE GS9090SD GS 90, 90 CM, STRAIGHT, DISTAL EA 1
CEREBASE GS9095SD GS 90, 95 CM, STRAIGHT, DISTAL EA 1
CEREGLIDE 71 NIC71115U 115CM CEREGLIDE 71 CATHETER EA 1
CEREGLIDE 71 NIC71125U 125CM CEREGLIDE 71 CATHETER EA 1
CEREGLIDE 71 NIC71132U 132CM CEREGLIDE 71 CATHETER EA 1
CEREGLIDE 71 NIC71137U 137CM CEREGLIDE 71 CATHETER EA 1
CEREGLIDE 92 SBC92114UG SBC 92 114 CM US EA 1
CEREGLIDE 92 SBC92122UG SBC 92 122 CM US EA 1
CEREGLIDE 92 SBC92130UG SBC 92 130 CM US EA 1
CEREGLIDE 92 SBC92135UG SBC 92 135 CM US EA 1
CEREPAK DETACHER MDH1 MECHANICAL DETACHMENT HANDLE EA 1
EMBOGUARD BG8785U EMBOGUARD 87, 85 CM EA 1
EMBOGUARD BG8795U EMBOGUARD 87, 95 CM EA 1
EMBOTRAP III ET309522 EMBOTRAP III 5 MM X 22 MM EA 1
EMBOTRAP III ET309537 EMBOTRAP III 5 MM X 37 MM EA 1
EMBOTRAP III ET309645 EMBOTRAP III 6.5 MM X 45 MM EA 1
ENTERPRISE 2 ENF401600 ENTERPRISE2 4MMX16MM NO TIP EA 1
ENTERPRISE 2 ENF401612 ENTERPRISE2 4MMX16MM EA 1
ENTERPRISE 2 ENF402300 ENTERPRISE2 4MMX23MM NO TIP EA 1
ENTERPRISE 2 ENF402312 ENTERPRISE2 4MMX23MM EA 1
ENTERPRISE 2 ENF403000 ENTERPRISE2 4MMX30MM NO TIP EA 1
ENTERPRISE 2 ENF403012 ENTERPRISE2 4MMX30MM EA 1
ENTERPRISE 2 ENF403900 ENTERPRISE2 4MMX39MM NO TIP EA 1
ENTERPRISE 2 ENF403912 ENTERPRISE2 4MMX39MM EA 1
ENVOY 5F 55625000 ENVOY 5F, CBL BURKE 100 CM EA 1
ENVOY 5F 55625090 ENVOY 5F, CBL BURKE 90CM EA 1
ENVOY 5F 55625400 ENVOY 5F, H1 100 CM EA 1
ENVOY 5F 55625490 ENVOY 5F, H1 90CM EA 1
ENVOY 5F 55625600 ENVOY 5F, MPC 100 CM EA 1
ENVOY 5F 55625690 ENVOY 5F, MPC 90CM EA 1
ENVOY 5F 55625800 ENVOY 5F, MPD 100 CM EA 1
ENVOY 5F 55625890 ENVOY 5F, MPD 90CM EA 1
ENVOY 5F 55626000 ENVOY 5F, STR 100CM EA 1
ENVOY 5F 55626090 ENVOY 5F, STR 90CM EA 1
ENVOY 6F 67025000 ENVOY 6F, CBL BURKE 100CM EA 1
ENVOY 6F 67025000B ENVOY 6F, XB CBL BURKE 100CM EA 1
ENVOY 6F 67025090 ENVOY 6F, CBL BURKE 90CM EA 1
ENVOY 6F 67025090B ENVOY 6F, XB CBL BURKE 90CM EA 1
ENVOY 6F 67025200 ENVOY 6F, SIM2 100CM EA 1
ENVOY 6F 67025200B ENVOY 6F, XB SIM2 100CM EA 1
ENVOY 6F 67025290 ENVOY 6F, SIM2 90CM EA 1
ENVOY 6F 67025290B ENVOY 6F, XB SIM2 90CM EA 1
ENVOY 6F 67025400 ENVOY 6F, HH-1 100CM EA 1
ENVOY 6F 67025400B ENVOY 6F, XB HH-1 100CM EA 1
ENVOY 6F 67025490 ENVOY 6F, HH-1 90CM EA 1
ENVOY 6F 67025490B ENVOY 6F, XB HH-1 90CM EA 1
ENVOY 6F 67025600 ENVOY 6F, MPC 100CM EA 1
ENVOY 6F 67025600B ENVOY 6F, XB MPC 100CM EA 1
ENVOY 6F 67025690 ENVOY 6F, MPC 90CM EA 1
ENVOY 6F 67025690B ENVOY 6F, XB MPC 90CM EA 1
ENVOY 6F 67025800 ENVOY 6F, MPD 100CM EA 1
ENVOY 6F 67025800B ENVOY 6F, XB MPD 100CM EA 1
ENVOY 6F 67025890 ENVOY 6F, MPD 90CM EA 1
ENVOY 6F 67025890B ENVOY 6F, XB MPD 90CM EA 1
ENVOY 6F 67026000 ENVOY 6F, STR 100CM EA 1
ENVOY 6F 67026000B ENVOY 6F, XB STR 100CM EA 1
ENVOY 6F 67026090 ENVOY 6F, STR 90CM EA 1
ENVOY 6F 67026090B ENVOY 6F, XB STR 90CM EA 1
ENVOY 7F 77824800 ENVOY, 7F, 100 CM, CBL EA 1
ENVOY 7F 77824890 ENVOY, 7F, 90 CM, CBL EA 1
ENVOY 7F 77825200 ENVOY, 7F, 100 CM, SIMMONS 2 EA 1
ENVOY 7F 77825290 ENVOY, 7F, 90 CM, SIMMONS 2 EA 1
ENVOY 7F 77825400 ENVOY, 7F, 100 CM, H1 EA 1
ENVOY 7F 77825490 ENVOY, 7F, 90 CM, H1 EA 1
ENVOY 7F 77825600 ENVOY, 7F, 100 CM, MPC EA 1
ENVOY 7F 77825690 ENVOY, 7F, 90 CM, MPC EA 1
ENVOY 7F 77825800 ENVOY, 7F, 100 CM, MPD EA 1
ENVOY 7F 77825890 ENVOY, 7F, 90 CM, MPD EA 1
ENVOY 7F 77826000 ENVOY, 7F, 100 CM, STRAIGHT EA 1
ENVOY 7F 77826090 ENVOY, 7F, 90 CM, STRAIGHT EA 1
ENVOY DA 67125605D ENVOY DA, 6F, 105CM, MPC EA 1
ENVOY DA 67125605DB ENVOY DA XB, 6F, 105CM, MPC EA 1
ENVOY DA 67125695D ENVOY DA, 6F, 95 CM, MPC EA 1
ENVOY DA 67125695DB ENVOY DA XB, 6F, 95 CM, MPC EA 1
ENVOY DA 67125805D ENVOY DA, 6F, 105CM, MPD EA 1
ENVOY DA 67125805DB ENVOY DA XB, 6F, 105CM, MPD EA 1
ENVOY DA 67125895D ENVOY DA, 6F, 95CM, MPD EA 1
ENVOY DA 67125895DB ENVOY DA XB, 6F, 95 CM, MPD EA 1
ENVOY DA 67126005D ENVOY DA, 6F, 105CM, STRAIGHT EA 1
ENVOY DA 67126005DB ENVOY DA XB, 6F, 105CM, STRAIG EA 1
ENVOY DA 67126095D ENVOY DA, 6F, 95CM, STRAIGHT EA 1
ENVOY DA 67126095DB ENVOY DA XB, 6F, 95 CM, STRAIG EA 1
FREEFORM SCR120306 FREEFORM 3MM X 6 CM EA 1
FREEFORM SCR120308 FREEFORM 3MM X 8 CM EA 1
FREEFORM SCR120407 FREEFORM 4MM X 7 CM EA 1
FREEFORM SCR120410 FREEFORM 4MM X 10 CM EA 1
FREEFORM SCR120412 FREEFORM 4MM X 12 CM EA 1
FREEFORM SCR120510 FREEFORM 5MM X 10 CM EA 1
FREEFORM SCR120515 FREEFORM 5MM X 15 CM EA 1
FREEFORM SCR120610 FREEFORM 6MM X 10 CM EA 1
FREEFORM SCR120615 FREEFORM 6MM X 15 CM EA 1
FREEFORM SCR120620 FREEFORM 6MM X 20 CM EA 1
FREEFORM SCR120715 FREEFORM 7MM X 15 CM EA 1
FREEFORM SCR120721 FREEFORM 7MM X 21 CM EA 1
FREEFORM SCR120815 FREEFORM 8MM X 15 CM EA 1
FREEFORM SCR120824 FREEFORM 8MM X 24 CM EA 1
FREEFORM SCR120925 FREEFORM 9MM X 25 CM EA 1
FREEFORM SCR121030 FREEFORM 10MM X 30 CM EA 1
FREEFORM SCR121230 FREEFORM 12MM X 30 CM EA 1
FREEFORM SCR122505 FREEFORM 2.5MM X 5 CM EA 1
FREEFORM SCR123509 FREEFORM 3.5MM X 9 CM EA 1
FREEFORM SCR123575 FREEFORM 3.5MM X 7.5 CM EA 1
FREEFORM MINI MCR091010 FREEFORM Mini 1MM X 1CM EA 1
FREEFORM MINI MCR091015 FREEFORM Mini 1MM X 1.5CM EA 1
FREEFORM MINI MCR091020 FREEFORM Mini 1MM X 2CM EA 1
FREEFORM MINI MCR091025 FREEFORM Mini 1MM X 2.5CM EA 1
FREEFORM MINI MCR091030 FREEFORM Mini 1MM X 3CM EA 1
FREEFORM MINI MCR091040 FREEFORM Mini 1MM X 4CM EA 1
FREEFORM MINI MCR091520 FREEFORM Mini 1.5MM X 2CM EA 1
FREEFORM MINI MCR091525 FREEFORM Mini 1.5MM X 2.5CM EA 1
FREEFORM MINI MCR091530 FREEFORM Mini 1.5MM X 3CM EA 1
FREEFORM MINI MCR091540 FREEFORM Mini 1.5MM X 4CM EA 1
FREEFORM MINI MCR092030 FREEFORM Mini 2MM X 3CM EA 1
FREEFORM MINI MCR092040 FREEFORM Mini 2MM X 4CM EA 1
FREEFORM MINI MCR092060 FREEFORM Mini 2MM X 6CM EA 1
FREEFORM MINI MCR092535 FREEFORM Mini 2.5MM X 3.5CM EA 1
FREEFORM MINI MCR092545 FREEFORM Mini 2.5MM X 4.5CM EA 1
FREEFORM MINI MCR092555 FREEFORM Mini 2.5MM X 5.5CM EA 1
FREEFORM MINI MCR093040 FREEFORM Mini 3MM X 4CM EA 1
FREEFORM MINI MCR093060 FREEFORM Mini 3MM X 6CM EA 1
FREEFORM MINI MCR093080 FREEFORM Mini 3MM X 8CM EA 1
FREEFORM MINI MCR092020 FREEFORM Mini 2MM X 2MM EA 1
FREEFORM XTRASOFT XCR120201 FREEFORM XSFT 2MM X 1.5 CM EA 1
FREEFORM XTRASOFT XCR120202 FREEFORM XSFT 2MM X 2 CM EA 1
FREEFORM XTRASOFT XCR120304 FREEFORM XSFT 3MM X 4 CM EA 1
FREEFORM XTRASOFT XCR120306 FREEFORM XSFT 3MM X 6 CM EA 1
FREEFORM XTRASOFT XCR120308 FREEFORM XSFT 3MM X 8 CM EA 1
FREEFORM XTRASOFT XCR120406 FREEFORM XSFT 4MM X 6 CM EA 1
FREEFORM XTRASOFT XCR120408 FREEFORM XSFT 4MM X 8 CM EA 1
FREEFORM XTRASOFT XCR120410 FREEFORM XSFT 4MM X 10 CM EA 1
FREEFORM XTRASOFT XCR122505 FREEFORM XSFT 2.5MM X 5 CM EA 1
FREEFORM XTRASOFT XCR122525 FREEFORM XSFT 2.5MM X 2.5 CM EA 1
FREEFORM XTRASOFT XCR122535 FREEFORM XSFT 2.5MM X 3.5 CM EA 1
FREEFORM XTRASOFT XCR123505 FREEFORM XSFT 3.5MM X 5 CM EA 1
FREEFORM XTRASOFT XCR123509 FREEFORM XSFT 3.5MM X 9 CM EA 1
FREEFORM XTRASOFT XCR123575 FREEFORM XSFT 3.5MM X 7.5 CM EA 1
FREEFORM XTRASOFT XCR120510 FREEFORM XSFT 5MM X 10 CM EA 1
FREEFORM XTRASOFT XCR120515 FREEFORM XSFT 5MM X 15 CM EA 1
FREEFORM XTRASOFT XCR120610 FREEFORM XSFT 6MM X 10 CM EA 1
FREEFORM XTRASOFT XCR120620 FREEFORM XSFT 6MM X 20 CM EA 1
HELIFORM XL SHD180312 HELIFORM XL 3MM X 12 CM EA 1
HELIFORM XL SHD180415 HELIFORM XL 4MM X 15 CM EA 1
HELIFORM XL SHD180520 HELIFORM XL 5MM X 20 CM EA 1
HELIFORM XL SHD180625 HELIFORM XL 6MM X 25 CM EA 1
HELIFORM XL SHD180733 HELIFORM XL 7MM X 33 CM EA 1
HELIFORM XL SHD180835 HELIFORM XL 8MM X 35 CM EA 1
HELIFORM XL SHD180935 HELIFORM XL 9MM X 35 CM EA 1
HELIFORM XL SHD181040 HELIFORM XL 10MM X 40 CM EA 1
HELIFORM XL SHD181242 HELIFORM XL 12MM X 42 CM EA 1
HELIFORM XL SHD181445 HELIFORM XL 14MM X 45 CM EA 1
HELIFORM XL SHD181650 HELIFORM XL 16MM X 50 CM EA 1
HELIFORM XL SHD181855 HELIFORM XL 18MM X 55 CM EA 1
HELIFORM XL SHD182060 HELIFORM XL 20MM X 60 CM EA 1
HELIFORM XTRASOFT XL XHE120204 HELIFORM XSFT XL 2MM X 4 CM EA 1
HELIFORM XTRASOFT XL XHE120206 HELIFORM XSFT XL 2MM X 6 CM EA 1
HELIFORM XTRASOFT XL XHE120208 HELIFORM XSFT XL 2MM X 8 CM EA 1
NEUROSCOUT 14 601314 NEUROSCOUT 14, STD EA 1
NEUROSCOUT 14 601414 NEUROSCOUT 14, SOFT EA 1
NEUROSCOUT 14 XL 601315 NEUROSCOUT 14, STD XL EA 1
NEUROSCOUT 14 XL 601415 NEUROSCOUT 14, SOFT XL EA 1
ORBIT GALAXY COMPLEX FILL COIL 640CF0201 OG CMPLX FILL COIL 2X1.5 EA 1
ORBIT GALAXY COMPLEX FILL COIL 640CF0202 OG CMPLX FILL COIL 2X2 EA 1
ORBIT GALAXY COMPLEX FILL COIL 640CF0304 OG CMPLX FILL COIL 3X4 EA 1
ORBIT GALAXY COMPLEX FILL COIL 640CF0306 OG CMPLX FILL COIL 3X6 EA 1
ORBIT GALAXY COMPLEX FILL COIL 640CF0308 OG CMPLX FILL COIL 3X8 EA 1
ORBIT GALAXY COMPLEX XTRASOFT;
COIL 640CX0201 OG CMPLX XTRASOFT COIL 2X1.5 EA 1
ORBIT GALAXY COMPLEX XTRASOFT;
COIL 640CX0202 OG CMPLX XTRASOFT COIL 2X2 EA 1
ORBIT GALAXY COMPLEX XTRASOFT;
COIL 640CX0303 OG CMPLX XTRASOFT COIL 3X3 EA 1
ORBIT GALAXY COMPLEX XTRASOFT;
COIL 640CX0304 OG CMPLX XTRASOFT COIL 3X4 EA 1
ORBIT GALAXY COMPLEX XTRASOFT;
COIL 640CX0306 OG CMPLX XTRASOFT COIL 3X6 EA 1
ORBIT GALAXY COMPLEX XTRASOFT;
COIL 640CX0308 OG CMPLX XTRASOFT COIL 3X8 EA 1
ORBIT GALAXY COMPLEX XTRASOFT;
COIL 640CX0404 OG CMPLX XTRASOFT COIL 4X4 EA 1
ORBIT GALAXY COMPLEX XTRASOFT ;
COIL 640CX0406 OG CMPLX XTRASOFT COIL 4X6 EA 1
ORBIT GALAXY COMPLEX XTRASOFT ;
COIL 640CX0408 OG CMPLX XTRASOFT COIL 4X8 EA 1
ORBIT GALAXY COMPLEX XTRASOFT ;
COIL 640CX0410 OG CMPLX XTRASOFT COIL 4X10 EA 1
ORBIT GALAXY COMPLEX XTRASOFT ;
COIL 640CX2505 OG CMPLX XTRASOFT COIL 2.5X5 EA 1
ORBIT GALAXY COMPLEX XTRASOFT ;
COIL 640CX2525 OG CMPLX XTRASOFT COIL 2.5X2.5 EA 1
ORBIT GALAXY COMPLEX XTRASOFT ;
COIL 640CX2535 OG CMPLX XTRASOFT COIL 2.5X3.5 EA 1
ORBIT GALAXY COMPLEX XTRASOFT ;
COIL 640CX3505 OG CMPLX XTRASOFT COIL 3.5X5 EA 1
ORBIT GALAXY COMPLEX XTRASOFT ;
COIL 640CX3509 OG CMPLX XTRASOFT COIL 3.5X9 EA 1
ORBIT GALAXY COMPLEX XTRASOFT ;
COIL 640CX3575 OG CMPLX XTRASOFT COIL 3.5X7.5 EA 1
ORBIT GALAXY HELICAL XTRASOFT ;
COIL 640HX0204 OG HELICAL XTRSOFT COIL 2X4 EA 1
ORBIT GALAXY HELICAL XTRASOFT ;
COIL 640HX0206 OG HELICAL XTRSOFT COIL 2X6 EA 1
ORBIT GALAXY HELICAL XTRASOFT ;
COIL 640HX0208 OG HELICAL XTRSOFT COIL 2X8 EA 1
ORBIT GALAXY TDL COMPLEX FILL COIL 640CF0404 OG TDL CMPLX FILL COIL 4X4 EA 1
ORBIT GALAXY TDL COMPLEX FILL COIL 640CF0407 OG TDL CMPLX FILL COIL 4X7 EA 1
ORBIT GALAXY TDL COMPLEX FILL COIL 640CF0410 OG TDL CMPLX FILL COIL 4X10 EA 1
ORBIT GALAXY TDL COMPLEX FILL COIL 640CF0412 OG TDL CMPLX FILL COIL 4X12 EA 1
ORBIT GALAXY TDL COMPLEX FILL COIL 640CF0505 OG TDL CMPLX FILL COIL 5X5 EA 1
ORBIT GALAXY TDL COMPLEX FILL COIL 640CF0510 OG TDL CMPLX FILL COIL 5X10 EA 1
ORBIT GALAXY TDL COMPLEX FILL COIL 640CF0515 OG TDL CMPLX FILL COIL 5X15 EA 1
ORBIT GALAXY TDL COMPLEX FILL COIL 640CF0610 OG TDL CMPLX FILL COIL 6X10 EA 1
ORBIT GALAXY TDL COMPLEX FILL COIL 640CF0615 OG TDL CMPLX FILL COIL 6X15 EA 1
ORBIT GALAXY TDL COMPLEX FILL COIL 640CF0620 OG TDL CMPLX FILL COIL 6X20 EA 1
ORBIT GALAXY TDL COMPLEX FILL COIL 640CF0715 OG TDL CMPLX FILL COIL 7X15 EA 1
ORBIT GALAXY TDL COMPLEX FILL COIL 640CF0721 OG TDL CMPLX FILL COIL 7X21 EA 1
ORBIT GALAXY TDL COMPLEX FILL COIL 640CF0815 OG TDL CMPLX FILL COIL 8X15 EA 1
ORBIT GALAXY TDL COMPLEX FILL COIL 640CF0824 OG TDL CMPLX FILL COIL 8X24 EA 1
ORBIT GALAXY TDL COMPLEX FILL COIL 640CF0915 OG TDL CMPLX FILL COIL 9X15 EA 1
ORBIT GALAXY TDL COMPLEX FILL COIL 640CF0925 OG TDL CMPLX FILL COIL 9X25 EA 1
ORBIT GALAXY TDL COMPLEX FILL COIL 640CF1030 OG TDL CMPLX FILL COIL 10X30 EA 1
ORBIT GALAXY TDL COMPLEX FILL COIL 640CF1230 OG TDL CMPLX FILL COIL 12X30 EA 1
ORBIT GALAXY TDL COMPLEX FRAME ;
COIL 640CR0620 OG TDL CMPLX FRAME COIL 6X20 EA 1
ORBIT GALAXY TDL COMPLEX FRAME ;
COIL 640CR0725 OG TDL CMPLX FRAME COIL 7X25 EA 1
ORBIT GALAXY TDL COMPLEX FRAME ;
COIL 640CR0830 OG TDL CMPLX FRAME COIL 8X30 EA 1
ORBIT GALAXY TDL COMPLEX FRAME ;
COIL 640CR0930 OG TDL CMPLX FRAME COIL 9X30 EA 1
ORBIT GALAXY TDL COMPLEX FRAME ;
COIL 640CR1030 OG TDL CMPLX FRAME COIL 10X30 EA 1
ORBIT GALAXY TDL COMPLEX FRAME ;
COIL 640CR1230 OG TDL CMPLX FRAME COIL 12X30 EA 1
ORBIT GALAXY TDL COMPLEX FRAME ;
COIL 640CR1430 OG TDL CMPLX FRAME COIL 14X30 EA 1
ORBIT GALAXY TDL COMPLEX FRAME ;
COIL 640CR1630 OG TDL CMPLX FRAME COIL 16X30 EA 1
ORBIT GALAXY TDL COMPLEX FRAME ;
COIL 640CR1830 OG TDL CMPLX FRAME COIL 18X30 EA 1
ORBIT GALAXY TDL COMPLEX FRAME ;
COIL 640CR2030 OG TDL CMPLX FRAME COIL 20X30 EA 1
PROWLER 10 606051 PROWLER-10 150CM EA 1
PROWLER 10 606051X PROWLER-10 150CM DUAL MARKER EA 1
PROWLER 10 SHAPED 606051FX PRESHAPED PROWLER10 45TIP 2MRK EA 1
PROWLER 10 SHAPED 606051JX PRESHAPED PROWLER10 J TIP 2MRK EA 1
PROWLER 10 SHAPED 606051MX PRESHAPED PROWLER10 90TIP 2MRK EA 1
PROWLER 14 606131 PROWLER-14 135CM EA 1
PROWLER 14 606151 PROWLER-14 150CM EA 1
PROWLER 14 606151X PROWLER-14 DUAL MARKER EA 1
PROWLER 14 606171 PROWLER-14 170CM EA 1
PROWLER 14 SHAPED 606151FX PRESHAPED PROWLER14 45TIP 2MRK EA 1
PROWLER 14 SHAPED 606151JX PRESHAPED PROWLER14 J TIP 2MRK EA 1
PROWLER 14 SHAPED 606151MX PRESHAPED PROWLER14 90TIP 2MRK EA 1
PROWLER EX MC2165S2U 160CM 5CM DISTAL 2 MB STR TIP EA 1
PROWLER PLUS 6062310 PROWLER PLUS CATH EA 1
PROWLER PLUS 6062310F PSHP PROWLER PLUS 135CM MP EA 1
PROWLER PLUS 6062310M PSHP PROWLER PLUS 135CM MAX EA 1
PROWLER PLUS 6062510 PROWLER PLUS 20CM TIP, 150 CM EA 1
PROWLER PLUS 6062510X PROWLER PLUS 150/20CM DUAL ;
MRK EA 1
PROWLER PLUS 6062511 PROWLER PLUS 45CM TIP, 150CM EA 1
PROWLER PLUS 6062511X PROWLER PLUS 150/45CM DUAL ;
MRK EA 1
PROWLER PLUS 6062910 PROWLER PLUS 110CM EA 1
PROWLER PLUS SHAPED 6062310J PSHP PROWLER PLUS 135CM J EA 1
PROWLER PLUS SHAPED 6062510FX PSHP PROWLER PLUS 20CM TIP 45O EA 1
PROWLER PLUS SHAPED 6062510JX PSHP PROWLER PLUS 20CM TIP, J EA 1
PROWLER PLUS SHAPED 6062510MX PSHP PROWLER PLUS 20CM TIP 90O EA 1
PROWLER PLUS SHAPED 6062511FX PSHP PROWLER PLUS 45CM TIP, 45 EA 1
PROWLER SELECT LPES 606S155X PROWLER SELECT LPES EA 1
PROWLER SELECT LPES MC1755S2U MC 0165", 150 cm, straight, US EA 1
PROWLER SELECT LPES SHAPED 606S155FX PROWLER SELECT LPES 45 DEG TIP EA 1
PROWLER SELECT LPES SHAPED 606S155JX PROWLER SELECT LPES J TIP EA 1
PROWLER SELECT LPES SHAPED 606S155MX PROWLER SELECT LPES 90 DEG TIP EA 1
PROWLER SELECT LPES SHAPED MC1755F2U MC 0165", 150 cm, 45 tip, US EA 1
PROWLER SELECT LPES SHAPED MC1755M2U MC 0165", 150 cm, 90 tip, US EA 1
PROWLER SELECT LPES SHAPED MC1755J2U MC 0165", 150 cm, J tip, US EA 1
PROWLER SELECT PLUS 606S252 PROWLER SELECT PLUS 150/15CM EA 1
PROWLER SELECT PLUS 606S252X PROWLER SELECT PLUS 150/15CM EA 1
PROWLER SELECT PLUS 606S255X PROWLER SELECT PLUS 150/5CM EA 1
PROWLER SELECT PLUS 606S272X PROWLER SELECT PLUS 170/15 CM EA 1
PROWLER SELECT PLUS SHAPED 606S252FX PROWLER SELECT PLUS 15CM 45TIP EA 1
PROWLER SELECT PLUS SHAPED 606S255FX PROWLER SEL PLUS 150/5CM 45TIP EA 1
PROWLER SELECT PLUS SHAPED 606S255JX PROWLER SEL PLUS 150/5CM J TIP EA 1
PROWLER SELECT PLUS SHAPED 606S255MX PROWLER SELECT PLUS 5CM 90 TIP EA 1
RAPID TRANSIT 601210 RAPIDTRANSIT 70CM EA 1
RAPID TRANSIT 601231 RAPIDTRANSIT 135CM EA 1
RAPID TRANSIT 601240 RAPIDTRANSIT 100CM EA 1
RAPID TRANSIT 601251 RAPIDTRANSIT 150CM EA 1
RAPID TRANSIT 601251X RAPIDTRANSIT DUAL MARKER ;
150CM EA 1
RAPID TRANSIT 601271 RAPIDTRANSIT 170CM EA 1
TRUFILL N-BCA-1 GRAM KIT 631500 TRUFILL N-BCA-1 GRAM KIT EA 1
TRUFILL N-BCA-1 GRAM SET 632500NA TRUFILL N-BCA 1G &amp; ACCESSORIES EA 1
TRUFILL N-BCA-2 GRAM KIT 631400 TRUFILL N-BCA-2 GRAM KIT EA 1
TRUFILL N-BCA-2 GRAM SET 632400NA TRUFILL N-BCA 2G &amp; ACCESSORIES EA 1
UNIFORM FCX100202 UNIFORM 2MM X 2.5 CM EA 1
UNIFORM FCX100253 UNIFORM 2.5MM X 3.3 CM EA 1
UNIFORM FCX100305 UNIFORM 3MM X 5.4 CM EA 1
UNIFORM FCX100356 UNIFORM 3.5MM X 6.6 CM EA 1
UNIFORM FCX100407 UNIFORM 4MM X 7.5 CM EA 1
UNIFORM FCX100412 UNIFORM 4MM X 11.5 CM EA 1
UNIFORM FCX100509 UNIFORM 5MM X 9.7 CM EA 1
UNIFORM FCX100517 UNIFORM 5MM X 17 CM EA 1
UNIFORM FCX100611 UNIFORM 6MM X 11.9 CM EA 1
UNIFORM FCX100626 UNIFORM 6MM X 26 CM EA 1
UNIFORM FCX100713 UNIFORM 7MM X 13.9 CM EA 1
UNIFORM FCX100730 UNIFORM 7MM X 30 CM EA 1
UNIFORM FCX100816 UNIFORM 8MM X 16.1 CM EA 1
UNIFORM FCX100829 UNIFORM 8MM X 29 CM EA 1
UNIFORM XL FCX180510 UNIFORM XL 5MM X 10 CM EA 1
UNIFORM XL FCX180612 UNIFORM XL 6MM X 12.2 CM EA 1
UNIFORM XL FCX180714 UNIFORM XL 7MM X 14.3 CM EA 1
UNIFORM XL FCX180813 UNIFORM XL 8MM X 13.6 CM EA 1
UNIFORM XL FCX180830 UNIFORM XL 8MM X 30 CM EA 1
UNIFORM XL FCX180915 UNIFORM XL 9MM X 15.3 CM EA 1
UNIFORM XL FCX180933 UNIFORM XL 9MM X 33 CM EA 1
UNIFORM XL FCX181017 UNIFORM XL 10MM X 17.1 CM EA 1
UNIFORM XL FCX181034 UNIFORM XL 10MM X 34 CM EA 1
UNIFORM XL FCX181118 UNIFORM XL 11MM X 18.9 CM EA 1
UNIFORM XL FCX181137 UNIFORM XL 11MM X 37 CM EA 1
UNIFORM XL FCX181240 UNIFORM XL 12MM X 40 CM EA 1
UNIFORM XL FCX181343 UNIFORM XL 13MM X 43 CM EA 1
UNIFORM XL FCX181447 UNIFORM XL 14MM X 47 CM EA 1
UNIFORM XL FCX181647 UNIFORM XL 16MM X 47 CM EA 1
UNIFORM XL FCX181846 UNIFORM XL 18MM X 46 CM EA 1
UNIFORM XL FCX182050 UNIFORM XL 20MM X 50 CM EA 1
VIRTUAL KIT SERIES 000 CEREGLIDE + ;
TUBING CG25T CG 125CM + TUBING SET EA 1
VIRTUAL KIT SERIES 000 CEREGLIDE + ;
TUBING CG32T CG 132CM + TUBING SET EA 1
VIRTUAL KIT SERIES 100 EMBOTRAP III ;
+ PROWLER EX PAC12 ETIII 5x22mm + PX160 EA 1
VIRTUAL KIT SERIES 100 EMBOTRAP III ;
+ PROWLER EX PAC17 ETIII 5x37mm + PX160 EA 1
VIRTUAL KIT SERIES 100 EMBOTRAP III ;
+ PROWLER EX PAC15 ETIII 6.5x45mm + PX160 EA 1
VIRTUAL KIT SERIES 200 CEREBASE + ;
CEREGLIDE + TUBING 2C80CG5 CEREBASE 80CM + CG 125CMTS EA 1
VIRTUAL KIT SERIES 200 CEREBASE + ;
CEREGLIDE + TUBING 2C90CG5 CEREBASE 90CM + CG 125CMTS EA 1
VIRTUAL KIT SERIES 200 CEREBASE + ;
CEREGLIDE + TUBING 2C95CG5 CEREBASE 95CM + CG 125CMTS EA 1
VIRTUAL KIT SERIES 200 CEREBASE + ;
CEREGLIDE + TUBING 2C80CG2 CEREBASE 80CM + CG 132CMTS EA 1
VIRTUAL KIT SERIES 200 CEREBASE + ;
CEREGLIDE + TUBING 2C90CG2 CEREBASE 90CM + CG 132CMTS EA 1
VIRTUAL KIT SERIES 200 CEREBASE + ;
CEREGLIDE + TUBING 2C95CG2 CEREBASE 95CM + CG 132CMTS EA 1
VIRTUAL KIT SERIES 200 CEREBASE + ;
EMBOTRAP III 2C802 CEREBASE 80CM + ETIII 5X22MM EA 1
VIRTUAL KIT SERIES 200 CEREBASE + ;
EMBOTRAP III 2C902 CEREBASE 90cm + ETIII 5x22mm EA 1
VIRTUAL KIT SERIES 200 CEREBASE + ;
EMBOTRAP III 2C952 CEREBASE 95cm + ETIII 5x22mm EA 1
VIRTUAL KIT SERIES 200 CEREBASE + ;
EMBOTRAP III 2C807 CEREBASE 80cm + ETIII 5x37mm EA 1
VIRTUAL KIT SERIES 200 CEREBASE + ;
EMBOTRAP III 2C907 CEREBASE 90cm + ETIII 5x37mm EA 1
VIRTUAL KIT SERIES 200 CEREBASE + ;
EMBOTRAP III 2C957 CEREBASE 95cm + ETIII 5x37mm EA 1
VIRTUAL KIT SERIES 200 CEREBASE + ;
EMBOTRAP III 2C805 CEREBASE 80cm + ETIII 6x45mm EA 1
VIRTUAL KIT SERIES 200 CEREBASE + ;
EMBOTRAP III 2C905 CEREBASE 90cm + ETIII 6x45mm EA 1
VIRTUAL KIT SERIES 200 CEREBASE + ;
EMBOTRAP III 2C955 CEREBASE 95cm + ETIII 6x45mm EA 1
VIRTUAL KIT SERIES 200 EMBOGUARD ;
+ CEREGLIDE + TUBING 2E85CG5 EMBOGUARD 85CM + CG 125CMTS EA 1
VIRTUAL KIT SERIES 200 EMBOGUARD ;
+ CEREGLIDE + TUBING 2E95CG5 EMBOGUARD 95CM + CG 125CMTS EA 1
VIRTUAL KIT SERIES 200 EMBOGUARD ;
+ CEREGLIDE + TUBING 2E85CG2 EMBOGUARD 85CM + CG 132CMTS EA 1
VIRTUAL KIT SERIES 200 EMBOGUARD ;
+ CEREGLIDE + TUBING 2E95CG2 EMBOGUARD 95CM + CG 132CMTS EA 1
</t>
  </si>
  <si>
    <t>001030242~00084684.087</t>
  </si>
  <si>
    <t>224027</t>
  </si>
  <si>
    <t>Amendment To Product Agreement (Depuy Synthes CMF)</t>
  </si>
  <si>
    <t xml:space="preserve">00005801
00013930
01329321
00080009
00003871
</t>
  </si>
  <si>
    <t>PA Amend JD v1 20250617.docx</t>
  </si>
  <si>
    <t xml:space="preserve">XM106.2545S DD-XCM BIO TISSUE MATRIX 25CM X45CM TH-S EA;
XM106.2540S DD-XCM BIO TISSUE MATRIX 25CM X40CM TH-S EA;
XM106.2535TCS DD-XCM BIO TISSUE MTRX 25CMX35CM TH-TC-S EA;
XM106.2040S DD-XCM BIO TISSUE MATRIX 20CM X40CM TH-S EA;
XM106.2030S DD-XCM BIO TISSUE MATRIX 20CM X30CM TH-S EA;
XM106.2025S DD-XCM BIO TISSUE MATRIX 20CM X25CM TH-S EA;
XM106.2020S DD-XCM BIO TISSUE MATRIX 20CM X20CM TH-S EA;
XM106.1625S DD-XCM BIO TISSUE MATRIX 16CM X25CM TH-S EA;
XM106.1620S DD-XCM BIO TISSUE MATRIX 16CM X20CM TH-S EA;
XM106.1220S DD-XCM BIO TISSUE MATRIX 12CM X20CM TH-S EA;
XM106.1020S DD-XCM BIO TISSUE MATRIX 10CM X20CM TH-S EA;
XM106.1016S DD-XCM BIO TISSUE MATRIX 10CM X16CM TH-S EA;
XM106.0820S DD-XCM BIO TISSUE MATRIX 8CM X 20CM TH-S EA;
XM106.0816S DD-XCM BIO TISSUE MATRIX 8CM X 16CM TH-S EA;
XM106.0812S DD-XCM BIO TISSUE MATRIX 8CM X 12CM TH-S EA;
XM106.0616S DD-XCM BIO TISSUE MATRIX 6CM X 16CM TH-S EA;
XM106.0612S DD-XCM BIO TISSUE MATRIX 6CM X 12CM TH-S EA;
XM106.0407S DD-XCM BIO TISSUE MATRIX 4CM X 7CM TH-S EA;
SD980.111 TRUMATCH MDFMND TI 3DPRNT ORBL KT WO PLN EA;
SD980.110 TRUMATCH MDFC/MND TI 3D PRNT ORBTL KIT EA;
SD980.109 TRUMATCH MDFC/MND TI 3D PRNT IMPL/MND/LG EA;
SD980.108 TRUMATCH MDFC/MND TI 3D PRNT IMPL/MND/MD EA;
SD980.107 TRUMATCH MDFC/MND TI 3D PRNT IMPL/MND/SM EA;
SD980.106 TRUMATCH MDFC/MND TI 3D PRNT IMPL/MDF/SM EA;
SD980.105 TRUMATCH MDFC/MND TI 3D PRNT IMPL/MDF/LG EA;
SD980.104 TRUMATCH MDFC/MND TI 3D PRNT GD/ ORBIT EA;
SD980.103 TRUMATCH MDFC/MND TI 3D PRNT IMPL/ ORBT EA;
SD980.021 TRUMATCH MDFC/MND TI 3D PRNT PL/ MND/LG EA;
SD980.020 TRUMATCH MDFC/MND TI 3D PRNT PL/ MND/M EA;
SD980.019 TRUMATCH MDFC/MND TI 3D PRNT PL/MND/SM EA;
SD980.018 TRUMATCH MIDFACE/MANDIBLE KIT ZYGOMATIC EA;
SD980.017 TRUMATCH MDFC/MND TI 3D PRNT GUD/MND EA;
SD980.016 TRUMATCH MDFC/MND TI 3D PRNT PL/MND/MINI EA;
SD980.015 TRUMATCH MDFC/MND TI 3D PRNT GUD/ MDFC EA;
SD980.014 TRUMATCH MDFC/MND TI 3D PRNT PL/ MDFC EA;
SD980.013 TRUMATCH ORTHGTHC KIT GENIOPLASTY/ADD-ON EA;
SD980.012 TRUMATCH ORTHGTHC KIT BASIC MAND/WO PLN EA;
SD980.011 TRUMATCH ORTHGTHC KIT BASIC MANDIBULAR EA;
SD980.010 TRUMATCH ORTHGTHC KIT FULL MAND/WO PLN EA;
SD980.009 TRUMATCH ORTHOGNATHICS KIT FL MANDIBULAR EA;
SD980.008 TRUMATCH ORTHGTHC KIT BSIC MAXLRY/WO PLN EA;
SD980.007 TRUMATCH ORTHGTHC KIT BSIC MAXILLARY EA;
SD980.006 TRUMATCH ORTHGTHC KIT FULL MAXLRY/WO PLN EA;
SD980.005 TRUMATCH ORTHGTHC KIT FULL MAXILLARY EA;
SD980.004 TRUMATCH ORTHGTHC KIT BSC BIMXLRY/WO PLN EA;
SD980.003 TRUMATCH ORTHGTHC KIT BSIC BIMAXILLARY EA;
SD980.002 TRUMATCH ORTHGTHC KIT FL BIMAXLRY/WO PLN EA;
SD980.001 TRUMATCH ORTHGTHC KIT FULL BIMAXILLARY EA;
SD900.469 ANATOMICAL MODEL CHILD, SKULL, PLASTER EA;
SD900.468 ANATOM MODEL CHILD, MAX - CRANIUM, PLAS EA;
SD900.467 ANATOM MODEL CHILD, MAX - ORBIT, PLAS EA;
SD900.466 ANATOMICAL MODEL CHILD, MAND-ORBIT, PLAS EA;
SD900.465 ANATOMICAL MODEL CHILD, MAND- MAX, PLAS EA;
SD900.464 ANATOM MODEL CHILD, CRANIAL CAP, PLAS EA;
SD900.463 ANATOMICAL MODEL CHILD, ORBIT, PLASTER EA;
SD900.462 ANATOMICAL MODEL CHILD, MAXILLA, PLASTER EA;
SD900.461 ANATOMICAL MODEL CHILD, MANDIBLE, PLAS EA;
SD900.409 ANATOMICAL MODEL SKULL, PLASTER EA;
SD900.408 ANATOMICAL MODEL MAXILLA - CRANIUM, PLAS EA;
SD900.407 ANATOMICAL MODEL MAXILLA - ORBIT, PLAS EA;
SD900.406 ANATOMICAL MODEL MANDIBLE - ORBIT, PLAS EA;
SD900.405 ANATOMICAL MODEL MANDBL - MAXILLA, PLAS EA;
SD900.404 ANATOMICAL MODEL CRANIAL CAP, PLASTER EA;
SD900.403 ANATOMICAL MODEL ORBIT, PLASTER EA;
SD900.402 ANATOMICAL MODEL MAXILLA, PLASTER EA;
SD900.401 ANATOMICAL MODEL MANDIBLE, PLASTER EA;
SD900.370 ANATOM MODEL CHILD, GRAFT SITE, WHITE EA;
SD900.369 ANATOMICAL MODEL CHILD, SKULL, WHITE EA;
SD900.368 ANATOM MODEL CHILD, MAX - CRANIUM, WHITE EA;
SD900.367 ANATOM MODEL CHILD, MAX - ORBIT, WHITE EA;
SD900.366 ANATOM MODEL CHILD, MAND-ORBIT, WHITE EA;
SD900.365 ANATOMICAL MODEL CHILD, MAND-MAX, WHITE EA;
SD900.364 ANATOM MODEL CHILD, CRANIAL CAP, WHITE EA;
SD900.363 ANATOMICAL MODEL CHILD, ORBIT, WHITE EA;
SD900.362 ANATOMICAL MODEL CHILD, MAXILLA, WHITE EA;
SD900.361 ANATOMICAL MODEL CHILD, MANDIBLE, WHITE EA;
SD900.339 PLANNED OUTCOME MODEL SKULL, WHITE EA;
SD900.337 PLANNED MODEL MAXILLA - ORBITS, WHITE EA;
SD900.336 PLANNED MODEL MANDIBLE - ORBITS, WHITE EA;
SD900.334 PLANNED OUTCOM MODL MAXIL N-FIB GRFT/WHT EA;
SD900.333 PLANNED OUTCOM MODL MAXILLA FIB GRFT/WHT EA;
SD900.332 PLANNED OUTCOM MODL MAND N-FIB GRAFT/WHT EA;
SD900.331 PLANNED MODEL MANDIBLE, WHITE EA;
SD900.310 ANATOMICAL MODEL FIBULA, WHITE EA;
SD900.309 ANATOMICAL MODEL SKULL, WHITE EA;
SD900.308 ANATOM MODEL MAXILLA - CRANIUM, WHITE EA;
SD900.307 ANATOMICAL MODEL MAXILLA - ORBITS, WHITE EA;
SD900.306 ANATOMICAL MODEL MANDBL - ORBITS, WHITE EA;
SD900.305 ANATOMICAL MODEL MANDBL - MAXILLA, WHITE EA;
SD900.304 ANATOMICAL MODEL CRANIAL CAP, WHITE EA;
SD900.303 ANATOMICAL MODEL ORBITS, WHITE EA;
SD900.302 ANATOMICAL MODEL MAXILLA, WHITE EA;
SD900.301 ANATOMICAL MODEL MANDIBLE, WHITE EA;
SD900.270 ANATOM MODEL CHILD, GRAFT SITE, CLEAR EA;
SD900.269 ANATOMICAL MODEL CHILD, SKULL, CLEAR EA;
SD900.268 ANATOM MODEL CHILD, MAXILLA/CRANIUM/CLR EA;
SD900.267 ANATOM MODEL CHILD, MAXILLA - ORBITS/CLR EA;
SD900.266 ANATOM MODEL CHILD, MAND -ORBITS/CLR EA;
SD900.265 ANATOM MODEL CHILD, MAND/MAXILLA/CLR EA;
SD900.264 ANATOM MODEL CHILD, CRANIAL CAP, CLEAR EA;
SD900.263 ANATOMICAL MODEL CHILD, ORBITS, CLEAR EA;
SD900.262 ANATOMICAL MODEL CHILD, MAXILLA, CLEAR EA;
SD900.261 ANATOMICAL MODEL CHILD, MANDIBLE, CLEAR EA;
SD900.239 PLANNED OUTCOME MODEL SKULL, CLEAR EA;
SD900.238 PLANNED MODEL MAXILLA - CRANIUM, CLEAR EA;
SD900.237 PLANNED MODEL MAXILLA - ORBITS, CLEAR EA;
SD900.236 PLANNED MODEL MANDIBLE - ORBITS, CLEAR EA;
SD900.235 PLANND OUTCOM MODL LINEAR DISTRACT/CLR EA;
SD900.234 PLANND OUTCOM MODL MAXILA N-FIB GRFT/CLR EA;
SD900.233 PLANND OUTCOM MODL MAXILLA FIB GRFT/CLR EA;
SD900.232 PLANND OUTCM MODL MAND NON-FIB GRAFT/CLR EA;
SD900.231 PLANNED OUTCOME MODEL MANDIBLE, CLEAR EA;
SD900.216 ANATOMICAL MODEL SPECIALTY/X-LARGE/CLEAR EA;
SD900.215 ANATOMICAL MODEL SPECIALTY/LARGE/CLEAR EA;
SD900.214 ANATOMICAL MODEL SPECIALTY/MEDIUM/CLEAR EA;
SD900.213 ANATOMICAL MODEL SPECIALTY/SMALL/CLEAR EA;
SD900.212 ANATOMICAL MODEL GRAFT SITE, CLEAR EA;
SD900.210 ANATOMICAL MODEL FIBULA, CLEAR EA;
SD900.209 ANATOMICAL MODEL SKULL, CLEAR EA;
SD900.208 ANATOM MODEL MAXILLA - CRANIUM, CLEAR EA;
SD900.207 ANATOMICAL MODEL MAXILLA - ORBIT, CLEAR EA;
SD900.206 ANATOMICAL MODEL MANDIBLE - ORBIT, CLEAR EA;
SD900.205 ANATOMICAL MODEL MANDBL - MAXILLA, CLEAR EA;
SD900.204 ANATOMICAL MODEL CRANIAL CAP, CLEAR EA;
SD900.203 ANATOMICAL MODEL ORBIT, CLEAR EA;
SD900.202 ANATOMICAL MODEL MAXILLA, CLEAR EA;
SD900.201 ANATOMICAL MODEL MANDIBLE, CLEAR EA;
SD900.111 PATIENT SPECIFIC GUIDE WITH PLANNING EA;
SD900.110 PATIENT SPECIFIC GUIDE CRANIUM, GRAFT EA;
SD900.109 PS GUIDE CRANIUM, FRONTAL B&amp;EAU EA;
SD900.108 PATIENT SPECIFIC GUIDE CRANIUM, FOREHEAD EA;
SD900.107 PS GUIDE DISTRACTOR POSITIONING EA;
SD900.106 PS SPLINT ORTHOGNATHIC, FINAL EA;
SD900.105 PS SPLINT ORTHOGNATHIC, INTERMEDIATE EA;
SD900.104 PATIENT SPECIFIC GUIDE MIDFACE EA;
SD900.103 PATIENT SPECIFIC GUIDE NON-FIBULA GRAFT EA;
SD900.102 PATIENT SPECIFIC GUIDE GRAFT HARVESTING EA;
SD900.101 PATIENT SPECIFIC GUIDE MANDIBLE EA;
SD900.094 SEGMENTATION SERVICE EA;
SD900.093 STL FILE TRANSFER SERVICE EA;
SD900.092 OUTCOME ANALYSIS SERVICE EA;
SD900.091 PLANNING SESSION/ORTHOGNATHIC EA;
SD900.090 PLANNING SESSION EA;
SD900.056 PS INSTR/PLAN KT MIDFACE RECON EA;
SD900.054 PS INSTR/PLAN KT MIDFACE RECON O MODEL EA;
SD900.051 PS INSTR/PLAN KT MANDBL RECON, O MODEL EA;
SD900.011 PS INSTR/PLAN KT CRANIFACL RECON WO MODL EA;
SD900.010 PS INSTR/PLAN KT CRANIOFACIAL RECON MODL EA;
SD900.009 PS INSTR/PLAN KT ORTHOGNTHC KIT/1 SPLINT EA;
SD900.008 PS INSTR/PLAN KT ORTHOGNTHC KIT/2 SPLNTS EA;
SD900.007 PS INSTR/PLAN KT LINEAR DISTRACTION EA;
SD900.006 PS INSTR/PLAN KT DISTRACTION EA;
SD900.005 PS INSTR/PLAN KT MAXLA RECON N-FIB GRFT EA;
SD900.004 PS INSTR/PLAN KT MIDFACE RECON EA;
SD900.003 PS INSTR/PLAN KT BASIC MANDBL RECON EA;
SD900.002 PS INSTR/PLAN KT MAND RECON NON-FIB GRFT EA;
SD900.001 PS INSTR/PLAN KT MANDBL RECON EA;
SD800.570 PSI SD800.570 PEEK IMPLANT EA;
SD800.569 PSI SD800.569 PEEK IMPLANT EA;
SD800.568 PSI SD800.568 PEEK IMPLANT EA;
SD800.567 PSI SD800.567 PEEK IMPLANT EA;
SD800.566 PSI SD800.566 PEEK IMPLANT EA;
SD800.565 PSI SD800.565 PEEK IMPLANT EA;
SD800.564 PSI SD800.564 PEEK IMPLANT EA;
SD800.563 PSI SD800.563 PEEK IMPLANT EA;
SD800.562 PSI SD800.562 PEEK IMPLANT EA;
SD800.561 PSI SD800.561 PEEK IMPLANT EA;
SD800.560 PSI SD800.560 PEEK IMPLANT EA;
SD800.559 PSI SD800.559 PEEK IMPLANT EA;
SD800.558 PSI SD800.558 PEEK IMPLANT EA;
SD800.557 PSI SD800.557 PEEK IMPLANT EA;
SD800.556 PSI SD800.556 PEEK IMPLANT EA;
SD800.555 PSI SD800.555 PEEK IMPLANT EA;
SD800.554 PSI SD800.554 PEEK IMPLANT EA;
SD800.553 PSI SD800.553 PEEK IMPLANT EA;
SD800.552 PSI SD800.552 PEEK IMPLANT EA;
SD800.551 PSI SD800.551 PEEK IMPLANT EA;
SD800.550 PSI SD800.550 PEEK IMPLANT EA;
SD800.549 PSI SD800.549 PEEK IMPLANT EA;
SD800.548 PSI SD800.548 PEEK IMPLANT EA;
SD800.547 PSI SD800.547 PEEK IMPLANT EA;
SD800.546 PSI SD800.546 PEEK IMPLANT EA;
SD800.545 PSI SD800.545 PEEK IMPLANT EA;
SD800.544 PSI SD800.544 PEEK IMPLANT EA;
SD800.543 PSI SD800.543 PEEK IMPLANT EA;
SD800.542 PSI SD800.542 PEEK IMPLANT EA;
SD800.541 PSI SD800.541 PEEK IMPLANT EA;
SD800.540 PSI SD800.540 PEEK IMPLANT EA;
SD800.539 PSI SD800.539 PEEK IMPLANT EA;
SD800.538 PSI SD800.538 PEEK IMPLANT EA;
SD800.537 PSI SD800.537 PEEK IMPLANT EA;
SD800.536 PSI SD800.536 PEEK IMPLANT EA;
SD800.535 PSI SD800.535 PEEK IMPLANT EA;
SD800.534 PSI SD800.534 PEEK IMPLANT EA;
SD800.533 PSI SD800.533 PEEK IMPLANT EA;
SD800.532 PSI SD800.532 PEEK IMPLANT EA;
SD800.531 PSI SD800.531 PEEK IMPLANT EA;
SD800.530 PSI SD800.530 PEEK IMPLANT EA;
SD800.529 PSI SD800.529 PEEK IMPLANT EA;
SD800.528 PSI SD800.528 PEEK IMPLANT EA;
SD800.527 PSI SD800.527 PEEK IMPLANT EA;
SD800.526 PSI SD800.526 PEEK IMPLANT EA;
SD800.525 PSI SD800.525 PEEK IMPLANT EA;
SD800.524 PSI SD800.524 PEEK IMPLANT EA;
SD800.523 PSI SD800.523 PEEK IMPLANT EA;
SD800.522 PSI SD800.522 PEEK IMPLANT EA;
SD800.521 PSI SD800.521 PEEK IMPLANT EA;
SD800.520 PSI SD800.520 PEEK IMPLANT EA;
SD800.519 PSI SD800.519 PEEK IMPLANT EA;
SD800.518 PSI SD800.518 PEEK IMPLANT EA;
SD800.517 PSI SD800.517 PEEK IMPLANT EA;
SD800.516 PSI SD800.516 PEEK IMPLANT EA;
SD800.515 PSI SD800.515 PEEK IMPLANT EA;
SD800.514 PSI SD800.514 PEEK IMPLANT EA;
SD800.513 PSI SD800.513 PEEK IMPLANT EA;
SD800.512 PSI SD800.512 PEEK IMPLANT EA;
SD800.511 PSI SD800.511 PEEK IMPLANT EA;
SD800.510 PSI SD800.510 PEEK IMPLANT EA;
SD800.509 PSI SD800.509 PEEK IMPLANT EA;
SD800.508 PSI SD800.508 PEEK IMPLANT EA;
SD800.507 PSI SD800.507 PEEK IMPLANT EA;
SD800.506 PSI SD800.506 PEEK IMPLANT EA;
SD800.505 PSI SD800.505 PEEK IMPLANT EA;
SD800.504 PSI SD800.504 PEEK IMPLANT EA;
SD800.503 PSI SD800.503 PEEK IMPLANT EA;
SD800.502 PSI SD800.502 PEEK IMPLANT EA;
SD800.501 PSI SD800.501 PEEK IMPLANT EA;
SD800.470 PSI SD800.470 PEEK IMPLANT EA;
SD800.469 PSI SD800.469 PEEK IMPLANT EA;
SD800.468 PSI SD800.468 PEEK IMPLANT EA;
SD800.467 PSI SD800.467 PEEK IMPLANT EA;
SD800.466 PSI SD800.466 PEEK IMPLANT EA;
SD800.465 PSI SD800.465 PEEK IMPLANT EA;
SD800.464 PSI SD800.464 PEEK IMPLANT EA;
SD800.463 PSI SD800.463 PEEK IMPLANT EA;
SD800.462 PSI SD800.462 PEEK IMPLANT EA;
SD800.461 PSI SD800.461 PEEK IMPLANT EA;
SD800.460 PSI SD800.460 PEEK IMPLANT EA;
SD800.459 PSI SD800.459 PEEK IMPLANT EA;
SD800.458 PSI SD800.458 PEEK IMPLANT EA;
SD800.457 PSI SD800.457 PEEK IMPLANT EA;
SD800.456 PSI SD800.456 PEEK IMPLANT EA;
SD800.455 PSI SD800.455 PEEK IMPLANT EA;
SD800.454 PSI SD800.454 PEEK IMPLANT EA;
SD800.453 PSI SD800.453 PEEK IMPLANT EA;
SD800.452 PSI SD800.452 PEEK IMPLANT EA;
SD800.451 PSI SD800.451 PEEK IMPLANT EA;
SD800.450 PSI SD800.450 PEEK IMPLANT EA;
SD800.449 PSI SD800.449 PEEK IMPLANT EA;
SD800.448 PSI SD800.448 PEEK IMPLANT EA;
SD800.447 PSI SD800.447 PEEK IMPLANT EA;
SD800.446 PSI SD800.446 PEEK IMPLANT EA;
SD800.445 PSI SD800.445 PEEK IMPLANT EA;
SD800.444 PSI SD800.444 PEEK IMPLANT EA;
SD800.443 PSI SD800.443 PEEK IMPLANT EA;
SD800.442 PSI SD800.442 PEEK IMPLANT EA;
SD800.441 PSI SD800.441 PEEK IMPLANT EA;
SD800.440 PSI SD800.440 PEEK IMPLANT EA;
SD800.439 PSI SD800.439 PEEK IMPLANT EA;
SD800.438 PSI SD800.438 PEEK IMPLANT EA;
SD800.437 PSI SD800.437 PEEK IMPLANT EA;
SD800.436 PSI SD800.436 PEEK IMPLANT EA;
SD800.435 PSI SD800.435 PEEK IMPLANT EA;
SD800.434 PSI SD800.434 PEEK IMPLANT EA;
SD800.433 PSI SD800.433 PEEK IMPLANT EA;
SD800.432 PSI SD800.432 PEEK IMPLANT EA;
SD800.431 PSI SD800.431 PEEK IMPLANT EA;
SD800.430 PSI SD800.430 PEEK IMPLANT EA;
SD800.429 PSI SD800.429 PEEK IMPLANT EA;
SD800.428 PSI SD800.428 PEEK IMPLANT EA;
SD800.427 PSI SD800.427 PEEK IMPLANT EA;
SD800.426 PSI SD800.426 PEEK IMPLANT EA;
SD800.425 PSI SD800.425 PEEK IMPLANT EA;
SD800.424 PSI SD800.424 PEEK IMPLANT EA;
SD800.423 PSI SD800.423 PEEK IMPLANT EA;
SD800.422 PSI SD800.422 PEEK IMPLANT EA;
SD800.421 PSI SD800.421 PEEK IMPLANT EA;
SD800.420 PSI SD800.420 PEEK IMPLANT EA;
SD800.419 PSI SD800.419 PEEK IMPLANT EA;
SD800.418 PSI SD800.418 PEEK IMPLANT EA;
SD800.417 PSI SD800.417 PEEK IMPLANT EA;
SD800.416 PSI SD800.416 PEEK IMPLANT EA;
SD800.415 PSI SD800.415 PEEK IMPLANT EA;
SD800.414 PSI SD800.414 PEEK IMPLANT EA;
SD800.413 PSI SD800.413 PEEK IMPLANT EA;
SD800.412 PSI SD800.412 PEEK IMPLANT EA;
SD800.411 PSI SD800.411 PEEK IMPLANT EA;
SD800.410 PSI SD800.410 PEEK IMPLANT EA;
SD800.409 PSI SD800.409 PEEK IMPLANT EA;
SD800.408 PSI SD800.408 PEEK IMPLANT EA;
SD800.407 PSI SD800.407 PEEK IMPLANT EA;
SD800.406 PSI SD800.406 PEEK IMPLANT EA;
SD800.405 PSI SD800.405 PEEK IMPLANT EA;
SD800.404 PSI SD800.404 PEEK IMPLANT EA;
SD800.403 PSI SD800.403 PEEK IMPLANT EA;
SD800.402 PSI SD800.402 PEEK IMPLANT EA;
SD800.401 PSI SD800.401 PEEK IMPLANT EA;
SD480.112 TI PS PL MANDBL/ O ANG/2.0 THK EA;
SD480.111 TI PS PL MANDBL/DBL-ANG/2.0 THK EA;
SD480.110 TI PS PL MANDBL/ANG/2.0 THICK EA;
SD480.102 TI PS PL MANDBL/ O ANG/2.5 THK EA;
SD480.101 TI PS PL MANDBL/DBL-ANG/2.5 THK EA;
SD480.100 TI PS PL MANDBL/ANG/2.5 THICK EA;
SD449.518B TI PSPC MTRXMND 7X23H ANG RECN PL/R/2.8 EA;
SD449.518A PSPC MTRXMND 7X23 ANG RECN PL R 2.8 MXL EA;
SD449.518 PSPC MATRXMAND 7X23H ANG RECN PL/R/2.8 EA;
SD449.517B TI PSPC MTRXMND 7X23H ANG RECN PL/L/2.8 EA;
SD449.517A PSPC MTRXMND 7X23 ANG RECN PL L 2.8 MXL EA;
SD449.517 PSPC MATRXMAND 7X23 H ANG RECN PL/L/2.8 EA;
SD449.516B TI PSPC MATRIXMAND 20 H RECON PL 2.8 EA;
SD449.516 PSPC MATRIXMANDIBLE 20 H RECON PL 2.8 EA;
SD449.514B TI PSPC MATRXMAND DBLE RECON PL LRG/2.5 EA;
SD449.514A PSPC MATRXMND DBL ANG RECN/PL/LG 2.5 MXL EA;
SD449.514 PSPC MATRXMAND DBL ANG RECON PL LRG/2.5 EA;
SD449.513B TI PSPC MATRXMND DBL ANG RECN PL/MD/2.5 EA;
SD449.513A PSPC MATRXMND DBL ANG RECN PL MD 2.5 MXL EA;
SD449.513 PSPC MATRXMAND DBL ANG RECON PL MD/2.5 EA;
SD449.512B TI PSPC MATRXMND DBL ANG RECN PL/SM/2.5 EA;
</t>
  </si>
  <si>
    <t>001030242~00084684.088</t>
  </si>
  <si>
    <t xml:space="preserve">00005715
00007121
00006856
</t>
  </si>
  <si>
    <t xml:space="preserve">PA SK V1 26June2025 </t>
  </si>
  <si>
    <t>00005715 RONALD REAGAN UCLA MEDICAL CENTER;
00007121 WEST HILLS HOSPITAL AND MEDICAL CENTER;
00006856 SANTA MONICA UCLA MEDICAL;</t>
  </si>
  <si>
    <t xml:space="preserve">201.506 2.4MM CORTEX SCREW SELFTAPPING 6MM EA;
201.508 2.4MM CORTEX SCREW SELFTAPPING 8MM EA;
201.512 2.4MM CORTEX SCREW SELFTAPPING 12MM EA;
201.514 2.4MM CORTEX SCREW SELFTAPPING 14MM EA;
201.928 2.0MM IMF SCREW SELFDRILLING 8MM PK;
201.932 2.0MM IMF SCREW SELFDRILLING 12MM PK;
288.025 MAXILLARY DISTRACTOR BODY 10MM EA;
288.026 MAXILLARY DISTRACTOR BODY 15MM EA;
288.027 MAXILLARY DISTRACTOR BODY 20MM EA;
288.028 MAXILLARY DISTRACTOR BODY 25MM EA;
288.038 ANTERIOR FOOT F/MAXILLARY DSTR MAXILLA RIGHT/SPLINT LEFT/6MM EA;
288.039 ANTERIOR FOOT F/MAXILLARY DSTR MAXILLA RIGHT/SPLINT LEFT/10MM EA;
288.040 ANTERIOR FOOT F/MAXILLARY DSTR MAXILLA RIGHT/SPLINT LEFT/14MM EA;
288.042 ANTERIOR FOOT F/MAXILLARY DSTR MAXILLA LEFT/SPLINT RIGHT 6MM EA;
288.043 ANTERIOR FOOT F/MAXILLARY DSTR MAXILLA LEFT/SPLINT RIGHT/10MM EA;
288.044 ANTERIOR FOOT F/MAXILLARY DSTR MAXILLA LEFT/SPLINT RIGHT/14MM EA;
288.052 POSTERIOR FOOT-SHORT 7MM OFFSET F/MAXILLARY DSTR EA;
288.053 POSTERIOR FOOT-SHORT 12MM OFFSET F/MAXILLARY DSTR EA;
288.055 POSTERIOR FOOT-MEDIUM 7MM OFFSET F/MAXILLARY DSTR EA;
288.056 POSTERIOR FOOT-MEDIUM 12MM OFFSET F/MAXILLARY DSTR EA;
288.058 POSTERIOR FOOT-TALL 7MM OFFSET F/MAXILLARY DSTR EA;
288.059 POSTERIOR FOOT-TALL 12MM OFFSET F/MAXILLARY DSTR EA;
</t>
  </si>
  <si>
    <t xml:space="preserve">Subject to the terms and conditions of this agreement, as of the Effective Date, 
the Company shall offer the Products to the Participants at the prices stated in Tier 1 of Schedule A. For 
each Year following the first Year, the Company shall offer the Products to the Participants at the 
Participants’ eligible Tier of Schedule A based upon NCP for the prior Year. To the extent a change in 
pricing is required, it will become effective on a prospective basis within 30 days following the end of the 
prior Year. The component pricing is firm for the term of this agreement. </t>
  </si>
  <si>
    <t>001030242~00084684.089</t>
  </si>
  <si>
    <t xml:space="preserve">01305718
00005715
00006856
01030611
00058200
00010004
00005737
01384357
01018666
00003871
00013930
01329321
00019161
00005751
00003893
00003872
00006910
01553974
00007121
00065653
01567061
01540758
</t>
  </si>
  <si>
    <t xml:space="preserve">PA Amend SK V4 9July2025 </t>
  </si>
  <si>
    <t>01305718 UCLA Healthcare;
00005715 RONALD REAGAN UCLA MEDICAL CENTER;
00006856 SANTA MONICA UCLA MEDICAL;
01030611 University of San Diego Medical Center;
00058200 THE REGENTS OF THE UNIVERSITY OF CALIFORNIA;
00010004 UNIVERSTY OF CALIFORNIA SAN DIEGO;
00005737 UCSD MEDICAL CENTER;
01384357 UNIVERSITY OF CALIFORNIA SAN DIEGO MEDICAL CENTER;
01018666 UCSF Medical Center;
00003871 MOUNT ZION HOSPITAL &amp; MEDICAL CENTER;
00013930 UCSF MEDICAL CENTER;
01329321 UCSF MISSION BAY;
00019161 UNIVERSITY OF CALIFORNIA DAVIS;
00005751 UCI MEDICAL CENTER;
00003893 CHILDRENS HOSPITAL AND RESEARCH CENTER;
00003872 UCSF HEALTH SAINT MARY’S MEDICAL CENTER;
00006910 UCSF HEALTH SAINT FRANCIS HOSPITAL;
01553974 UCSF HEALTH BAYFRONT MEDICAL BUILDING;
00007121 UCLA WEST VALLEY MEDICAL CENTER (F/K/A WEST HILLS HOSPITAL AND MEDICAL CENTER);
00065653 WEST HILLS SURGICAL CENTER;
01567061 UC San Diego Health;
01540758 UC Davis Health;</t>
  </si>
  <si>
    <t>Tier 1 NCP $0 - $1,999,999
Tier 2 90% Tri Vendor NCP $2,000,000 - $3,249,999 
Tier 3 90% Tri Vendor NCP $3,250,000+
Tier 4 90% Dual Vendor NCP $5,000,000+</t>
  </si>
  <si>
    <t xml:space="preserve">HIPS - PRIMARY 60% 65% 70% 70% 70% 70%;
HIPS - REVISION 25% 55% 60% 65% 60% 60%;
KNEES - PRIMARY 60% 65% 70% 70% 70% 70%;
KNEES - REVISION 25% 55% 60% 65% 60% 60%;
SHOULDERS - PRIMARY 50% 55% 60% 60% 60% 60%;
SHOULDERS - REVISION 25% 45% 50% 55% 50% 50%;
</t>
  </si>
  <si>
    <t>001030242~00084684.090</t>
  </si>
  <si>
    <t>PA Amend v2 kag 07.15.25</t>
  </si>
  <si>
    <t xml:space="preserve">05.003.500S Oscillating Saw Blade, 60 X 13 X 0.89mm, for Stryker 1 EA;
05.003.503S Oscillating Saw Blade, 90 X 25 X 0.89mm, for Stryker 1 EA;
05.003.521S Oscillating Saw Blade, 90 X 13 X 1.19mm, for Stryker 1 EA;
05.003.523S Oscillating Saw Blade, 90 X 25 X 1.19mm, for Stryker 1 EA;
05.003.524S Oscillating Saw Blade, 90 X 13-8 X 1.19mm, for Stryker 1 EA;
05.003.525S Oscillating Saw Blade, 90 X 21-13 X 1.19mm, for Stryker 1 EA;
05.003.527S Oscillating Saw Blade, 100 X 13 X 1.19mm, for Stryker 1 EA;
05.003.528S Oscillating Saw Blade, 100 X 19 X 1.19mm, for Stryker 1 EA;
05.003.529S Oscillating Saw Blade, 100 X 25 X 1.19mm, for Stryker 1 EA;
05.003.531S Oscillating Saw Blade, 90 X 13 X 1.27mm, for Stryker 1 EA;
05.003.532S Oscillating Saw Blade, 90 X 19 X 1.27mm, for Stryker 1 EA;
05.003.533S Oscillating Saw Blade, 90 X 25 X 1.27mm, for Stryker 1 EA;
05.003.534S Oscillating Saw Blade, 70 X 13-8 X 1.27mm, for Stryker 1 EA;
05.003.535S Oscillating Saw Blade, 90 X 21-13 X 1.27mm, for Stryker 1 EA;
05.003.536S Oscillating Saw Blade, 90 X 13-8 X 1.27mm, for Stryker 1 EA;
05.003.537S Oscillating Saw Blade, 100 X 13 X 1.27mm, for Stryker 1 EA;
05.003.538S Oscillating Saw Blade, 100 X 19 X 1.27mm, for Stryker 1 EA;
05.003.539S Oscillating Saw Blade, 100 X 25 X 1.27mm, for Stryker 1 EA;
05.003.553S Oscillating Saw Blade, 90 X 25 X 1.47mm, for Stryker 1 EA;
05.003.554S Oscillating Saw Blade, 70 X 13-8 X 1.47mm, for Stryker 1 EA;
05.003.556S Oscillating Saw Blade, 90 X 13-8 X 1.47mm, for Stryker ;;
</t>
  </si>
  <si>
    <t>001030242~00084684.094</t>
  </si>
  <si>
    <t xml:space="preserve">00003871
00003893
00013930
01119725
01329321
</t>
  </si>
  <si>
    <t>PA Amend SK V3 05Aug2025</t>
  </si>
  <si>
    <t xml:space="preserve">281142 INTERMED TUBESET SCHKVLVE 24PK 24 PK;
284508 INFLOW TUBING FMS VUE 24PK 24 PK;
284610 DISP PATIENT SET FMS 24PK 24 PK;
SMALL JOINT IMPLANTS - MICRO 212865 MICRO QA+ #3/0 ETH V-4;
SMALL JOINT IMPLANTS - MICRO 212866 MICRO QA+ #4/0 ETH C-1; 
SMALL JOINT IMPLANTS - MICRO 212867 MICRO QA+ #4/0 ETH P-3;
SMALL JOINT IMPLANTS - MICROFIX 212855 MICROFIX QA+ #3/O ETH V4;
SMALL JOINT IMPLANTS - MICROFIX 212857 MICROFIX QA+ #4/0 ETH P3;
BICEPS IMPLANTS - SUPER QUICK 212032 SUPER QA+ #2 ETH CP-2 *EA;
LIGAMENT IMPLANTS - INTRAFIX 254601 INTRAFIX TIBIALSHEATH 30MM *EA; 
LIGAMENT IMPLANTS - INTRAFIX 254652 INTRAFIX PEEK TPR SCR, 6-8MMX30MM;
LIGAMENT IMPLANTS - INTRAFIX 254653 INTRAFIX PEEK TPR SCR, 7-9MMX30MM;
INSTABILITY DISPOSABLES - LATARJET 285180 LATARJET DISPOSABLE KIT;
</t>
  </si>
  <si>
    <t>On a retrospective basis, as of August 09, 2023, the Products and pricing listed below are added to Schedule A of the PA.</t>
  </si>
  <si>
    <t>001030242~00084684.095</t>
  </si>
  <si>
    <t xml:space="preserve">00005715
00006856
00007121
00050112
00065653
00207036
00208047
00246546
0323790
01080539
01084579
01088720
01100505
01100506
01100507
01104482
01110047
01116197
01123600
01126796
01147061
01157778
01158210
01158347
01158379
01158589
01162127
01175737
01206242
01222777
01227476
01268163
01282586
01318676
01344912
01345205
01346335
01349555
01354980
01360363
01371025
01390631
01493055
</t>
  </si>
  <si>
    <t>IDN PA JD v2 20250908.docx</t>
  </si>
  <si>
    <t>00005715 RONALD REAGAN UCLA MEDICAL CENTER;
00006856 SANTA MONICA UCLA MEDICAL;
00007121 WEST HILLS HOSPITAL AND MEDICAL CENTER;
00050112 UCLA WEST MEDICAL BLDG;
00065653 WEST HILLS SURGERY;
00207036 LOS ANGELES COUNTY;
00208047 UCLA OBGYN CLINIC;
00246546 UCLA STUDENT HEALTH CENTER;
0323790 UCLA HEAD &amp; NECK SURGERY;
01080539 SMBP-PLAYA MARINA URGENT CARE;
01084579 UCLA HOSPITAL &amp; CLINIC;
01088720 UCLA SANTA MONICA RHEUMATOLOGY;
01100505 MCGRATH, EILEEN M MD;
01100506 VASQUEZ, NORA MD;
01100507 CUTLER, DAVID M MD;
01104482 UCLA MEDICAL CENTER;
01110047 UCLA HEALTH SYSTEM BRENTWOOD PCN CLINIC;
01116197 UCLA HEMATOLOGY ONCOLOGY;
01123600 UCLA WOMENS IMAGING CENTER;
01126796 UNIVERSITY OF CALIFORNIA LOS ANGELES HEMATOLOGY AND ONCOLOGY;
01147061 UCLA HEALTH SYSTEMS PEDS PCN CLINIC; 
01157778 UCLA SANTA CLARITA CANCER CENTER;
01158210 UCLA PASADENA HEMATOLOGY ONCOLOGY;
01158347 UCLA MEDICAL SPECIALTY SUITES;
01158379 UCLA HEALTH SYSTEM RADIOLOGY;
01158589 UCLA HEMATOLOGY ONCOLOGY SIMI VALLEY;
01162127 UCLA SM20 DERMATOLOGY;
01175737 UCLA MEDICAL GROUP MANHATTAN BEACH;
01206242 WILSON JENNINGS BLOOMFIELD UCLA VENICE DENTAL CENTER;
01222777 UCLA-SANTA MONICA DERMPATH;
01227476 UCLA DERMATOLOGY;
01268163 UCLA HEMATOLOGY ONCOLOGY;
01282586 UCLA SCHOOL OF DENTISTRY; 
01318676 UCLA MEDICAL PLAZA;
01344912 UCLA HEALTH BURBANK BREAST CAR;
01345205 JULES STEIN EYE INSTITUTE;
01346335 BEACH CITIES ENT SURGEONS;
01349555 REDONDO BEACH PRIMARY AND SPECIALTY CARE;
01354980 UNIVERSITY OF CALIFORNIA LOS ANGELES HEMATOLGY ONCOLOGY LAGUNA HILLS;
01360363 UCLA HEALTH WESTLAKE VILLAGE PRIMARY &amp; SPECIALTY CARE;
01371025 UCLA HEALTH NORTHRIDGE 
OBGYN;
01390631 RONALD REAGAN UCLA MEDICAL CENTER;
01493055 UNIVERSITY OF CALIFORNIA LOS ANGELES HEALTH VAN NUYS WAREHOUSE;</t>
  </si>
  <si>
    <t xml:space="preserve">Biceps Implants - TIGHT-N 208882 TIGHT-N TENDON ANCHOR, 7.0MM 1 EA;
Biceps Implants - TIGHT-N 208881 TIGHT-N TENDON ANCHOR, 5.5MM 1 EA;
Biceps Implants - TIGHT-N 208883 TIGHT-N TENDON ANCHOR, 8.5MM 1 EA;
INSTABILITY IMPLANTS - DYNACORD 210121 GRYPHON P BR ANC-DYNA STR/BL 1 EA;
INSTABILITY IMPLANTS - DYNACORD 210120 GRYPHON P BR ANC-DYNACORD BL 1 EA;
INSTABILITY IMPLANTS - DYNACORD 210122 GRYPHON P PK ANC-DYNACORD BL 1 EA;
INSTABILITY IMPLANTS - DYNACORD 210123 GRYPHON P PK ANC-DYNA STR/BL 1 EA;
INSTABILITY IMPLANTS - ORTHOCORD 210812 GRYPHON T BR ANCHOR W/OC 1 EA;
INSTABILITY IMPLANTS - ORTHOCORD 210030 GRYPHON PEEK DS ANCHOR W/OC 1 EA;
Instability Implants - ORTHOCORD 210031 GRYPHON PEEK ANCHOR W/OC 1 EA;
INSTABILITY IMPLANTS - ORTHOCORD 210814 GRYPHON P BR ANCHOR W/OC 1 EA;
INSTABILITY IMPLANTS - ORTHOCORD 210813 GRYPHON P BR DS ANCHOR W/OC 1 EA;
INSTABILITY IMPLANTS - ORTHOCORD 210811 GRYPHON T BR DS ANCH W/OC 1 EA;
INSTABILITY IMPLANTS - PERMACORD 223148 GRYPHON P PEEK W PERMACORD 1 EA;
INSTABILITY IMPLANTS - PERMACORD 223149 GRYPHON P PEEK DSW PERMACORD 1 EA;
INSTABILITY IMPLANTS - PERMACORD 223147 GRYPHON P BR DSW PERMACORD 1 EA;
INSTABILITY IMPLANTS - PERMACORD 223146 GRYPHON P BR W PERMACORD 1 EA;
INSTABILITY IMPLANTS - PROKNOT 210821 GRYPHON PEEK W/PROKNOT 1 EA;
INSTABILITY IMPLANTS - PROKNOT 210820 GRYPHON BR W/ PROKNOT 1 EA;
INSTABILITY IMPLANTS - VERSALOOP 210167 VERSALOOP 1.8MM DL SUTURE 1 EA;
INSTABILITY IMPLANTS - VERSALOOP 210166 VERSALOOP 1.5MM SL TAPE 1 EA;
INSTABILITY IMPLANTS - VERSALOOP 210165 VERSALOOP 1.5MM SL SUTURE 1 EA;
INSTABILITY IMPLANTS - VERSALOOP 210168 VERSALOOP 1.8MM DL TAPE 1 EA;
LIGAMENT DISPOSABLES - GUIDE PINS 219321 ACL DRILLPN W/EYE .094X14" *EA 1 EA;
LIGAMENT DISPOSABLES - GUIDE PINS 219328 ACL BAYPN W/EYE .094X18" *EA 1 EA;
LIGAMENT DISPOSABLES - GUIDE PINS 254729 LINXHT CALIBPASSPINDRILL 2.4MM *EA 1 EA;
LIGAMENT DISPOSABLES - GUIDE PINS 211311 ACL ACC TROCAR PT 15" *EA 1 EA;
LIGAMENT DISPOSABLES - GUIDE PINS 211313 ACL ACC GDEPIN DRILL PT 11" 1 EA;
LIGAMENT DISPOSABLES - GUIDE PINS 211315 ACL ACC GDOIN TROCAR PT 11" 1 EA;
LIGAMENT DISPOSABLES - GUIDE PINS 211331 ADV/PR/BADV SSTRCTP.094X14 5PK 5 PK;
Ligament Disposables - Guide Pins 232025 RIGIDLOOP PASSING PIN 2.4MM 1 EA;
LIGAMENT DISPOSABLES - GUIDE PINS 254728 LINXHT CALIBPASSPINTROCTIP 2.4MM *EA 1 EA;
LIGAMENT DISPOSABLES - GUIDE PINS 219224 ACL ACC BAYPN W/EYE .094X14" *EA 1 EA;
LIGAMENT DISPOSABLES - GUIDE PINS 219322 ACL BAYPN W/EYE .094X12" *EA 1 EA;
LIGAMENT DISPOSABLES - GUIDEWIRES 211322 ADV/PR/PHST FLCONTP.062X16 5PK 5 PK;
LIGAMENT DISPOSABLES - GUIDEWIRES 211321 ADV/PR/PHST SSTRCTP.062X14 5PK 5 PK;
LIGAMENT DISPOSABLES - GUIDEWIRES 211320 ADV/PR/PHST SSRNDTP.062X14 5PK 5 PK;
LIGAMENT DISPOSABLES - GUIDEWIRES 254843 GUIDEWIRE 12 INCH STERILE 6PK 6 PK;
LIGAMENT DISPOSABLES - GUIDEWIRES 214152 1.6MM GUIDEWIRE 1 EA;
LIGAMENT DISPOSABLES - GUIDEWIRES 254844 GUIDEWIRE 12 INCH STERILE 1EA 1 EA;
LIGAMENT DISPOSABLES - GUIDEWIRES 211332 ADV/PR/BADV FLRNDTP.094X14 5PK 5 PK;
LIGAMENT DISPOSABLES - GUIDEWIRES 211340 PH/PHST SS RNDTIP .045X14" *EA 1 PK;
LIGAMENT DISPOSABLES - GUIDEWIRES 214015 1.1 MM TROCAR TIP GUIDEWIRE 1 EA;
LIGAMENT DISPOSABLES - GUIDEWIRES 254514 ABSOLUTE G-W NTNL 1.1MMX15 6PK 6 PK;
LIGAMENT DISPOSABLES - GUIDEWIRES 254417 ACL ACC G-W NTNL 9X.042" *PK/6 6 PK;
LIGAMENT DISPOSABLES - GUIDEWIRES 211330 ADV/PR/BADV SSRNDTP.094X14 5PK 5 PK;
LIGAMENT DISPOSABLES - KITS 232037 RIGIDLOOP DISPOSABLES SYSTM 1 EA;
LIGAMENT DISPOSABLES - KITS 218034 ADJ DISPOSABLE SYSTEM EA 1 EA;
LIGAMENT DISPOSABLES - KITS 232300 ACL ACC DISPOSABLES KIT *EA 1 EA;
LIGAMENT DISPOSABLES - KITS 232301 TWISTR ACL DISPOSABLES KIT 1 EA;
LIGAMENT DISPOSABLES - REAMERS 232414 FULLY FLUTED REAMER STER 6.5MM 1 EA;
LIGAMENT DISPOSABLES - REAMERS 232416 FULLY FLUTED REAMER STER 7.5MM 1 EA;
LIGAMENT DISPOSABLES - REAMERS 232417 FULLY FLUTED REAMER STER 8MM 1 EA;
LIGAMENT DISPOSABLES - REAMERS 232418 FULLY FLUTED REAMER STER 8.5MM 1 EA;
LIGAMENT DISPOSABLES - REAMERS 232419 FULLY FLUTED REAMEER STER 9MM 1 EA;
LIGAMENT DISPOSABLES - REAMERS 232420 FULLY FLUTED REAMER 9.5MM 1 EA;
LIGAMENT DISPOSABLES - REAMERS 232421 FULLY FLUTED REAMER 10MM 1 EA;
LIGAMENT DISPOSABLES - REAMERS 232422 FULLY FLUTED REAMER STER 10.5MM 1 EA;
LIGAMENT DISPOSABLES - REAMERS 232423 FULLY FLUTED REAMER STER 11MM 1 EA;
LIGAMENT DISPOSABLES - REAMERS 232424 FULLY FLUTED REAMER STER 11.5MM 1 EA;
LIGAMENT DISPOSABLES - REAMERS 232425 FULLY FLUTED REAMER STER 12MM 1 EA;
LIGAMENT DISPOSABLES - REAMERS 232406 ACORN REAMER STERILE 9MM *EA 1 EA;
LIGAMENT DISPOSABLES - REAMERS 232407 ACORN REAMER STERILE 9.5MM *EA 1 EA;
LIGAMENT DISPOSABLES - REAMERS 232408 ACORN REAMER STERILE 10MM *EA 1 EA;
LIGAMENT DISPOSABLES - REAMERS 232400 ACORN REAMER STERILE 6MM *EA 1 EA;
LIGAMENT DISPOSABLES - REAMERS 232401 ACORN REAMER STERILE 6.5MM *EA 1 EA;
LIGAMENT DISPOSABLES - REAMERS 232409 ACORN REAMER STERILE 10.5MM 1 EA;
LIGAMENT DISPOSABLES - REAMERS 232410 ACORN REAMER STERILE 11MM *EA 1 EA;
LIGAMENT DISPOSABLES - REAMERS 232402 ACORN REAMER STERILE 7MM *EA 1 EA;
LIGAMENT DISPOSABLES - REAMERS 232415 FULLY FLUTED REAMER STER 7MM 1 EA;
LIGAMENT DISPOSABLES - REAMERS 232403 ACORN REAMER STERILE 7.5MM *EA 1 EA;
LIGAMENT DISPOSABLES - REAMERS 232404 ACORN REAMER STERILE 8MM *EA 1 EA;
LIGAMENT DISPOSABLES - REAMERS 232405 ACORN REAMER STERILE 8.5MM *EA 1 EA;
LIGAMENT DISPOSABLES - REAMERS 232411 ACORN REAMER STERILE 11.5MM 1 EA;
LIGAMENT DISPOSABLES - REAMERS 232412 ACORN REAMER STERILE 12MM *EA 1 EA;
LIGAMENT DISPOSABLES - REAMERS 232413 FULLY FLUTED REAMER STER 6MM 1 EA;
LIGAMENT DISPOSABLES - RETRO-REAMER 232000 RETROREAMER (6-12MM) 1 EA;
LIGAMENT IMPLANTS - INTRAFIX ADV 254821 INTRAFIX ADV PEEK SCW 8X30MM 1 EA;
LIGAMENT IMPLANTS - INTRAFIX ADV 254827 INTRAFX ADV POLYPROSHTHXL 30MM 1 EA;
LIGAMENT IMPLANTS - INTRAFIX ADV 254826 INTRAFX ADV POLYPROSHTHLG 30MM 1 EA;
LIGAMENT IMPLANTS - INTRAFIX ADV 254825 INTRAFX ADV POLYPROSHTHSM 30MM 1 EA;
LIGAMENT IMPLANTS - INTRAFIX ADV 254824 INTRAFIX ADV PEEK SCW 11X30MM 1 EA;
LIGAMENT IMPLANTS - INTRAFIX ADV 254823 INTRAFIX ADV PEEK SCW 10X30MM 1 EA;
LIGAMENT IMPLANTS - INTRAFIX ADV 254822 INTRAFIX ADV PEEK SCW 9X30MM 1 EA;
LIGAMENT IMPLANTS - INTRAFIX ADV 254820 INTRAFIX ADVPEEK SCW 7X30MM 1 EA;
LIGAMENT IMPLANTS - INTRAFIX ADV 254819 INTRAFX ADV POLYPROSHTHLG 23MM 1 EA;
LIGAMENT IMPLANTS - INTRAFIX ADV 254818 INTRAFX ADV POLYPROSHTHSM 23MM 1 EA;
LIGAMENT IMPLANTS - INTRAFIX ADV 254817 INTRAFIX ADV PEEK SCW 10X23MM 1 EA;
LIGAMENT IMPLANTS - INTRAFIX ADV 254841 INTRAFIX ADV PEEK REV SCW12X30 1 EA;
LIGAMENT IMPLANTS - INTRAFIX ADV 254816 INTRAFIX ADV PEEK SCW 9X23MM 1 EA;
LIGAMENT IMPLANTS - INTRAFIX ADV 254815 INTRAFIX ADV PEEK SCW 8X23MM 1 EA;
LIGAMENT IMPLANTS - INTRAFIX ADV 254814 INTRAFIX ADV PEEK SCW 7X23MM 1 EA;
LIGAMENT IMPLANTS - INTRAFIX ADV BR 254800 INTRAFX ADVBR SCW7X23 W/SMSHTH 1 EA;
LIGAMENT IMPLANTS - INTRAFIX ADV BR 254809 INTRAFX ADVBR SCW10X30W/LGSHTH 1 EA;
LIGAMENT IMPLANTS - INTRAFIX ADV BR 254808 INTRAFX ADVBR SCW9X30 W/LGSHTH 1 EA;
LIGAMENT IMPLANTS - INTRAFIX ADV BR 254807 INTRAFX ADVBR SCW8X30 W/SMSHTH 1 EA;
LIGAMENT IMPLANTS - INTRAFIX ADV BR 254806 INTRAFX ADVBR SCW7X30W/SMSHTH 1 EA;
LIGAMENT IMPLANTS - INTRAFIX ADV BR 254803 INTRAFX ADVBR SCW10X23W/LGSHTH 1 EA;
LIGAMENT IMPLANTS - INTRAFIX ADV BR 254802 INTRAFX ADVBR SCW9X23 W/LGSHTH 1 EA;
LIGAMENT IMPLANTS - INTRAFIX ADV BR 254801 INTRAFX ADVBR SCW 8X23W/SMSHTH 1 EA;
LIGAMENT IMPLANTS - MILAGRO ADV 231856 MILAGRO ADV PEEK SCREW 7X23MM 1 EA;
LIGAMENT IMPLANTS - MILAGRO ADV 231871 MILAGRO ADV PEEK SCREW 12X30MM 1 EA;
LIGAMENT IMPLANTS - MILAGRO ADV 231870 MILAGRO ADV PEEK SCREW 11X30MM 1 EA;
LIGAMENT IMPLANTS - MILAGRO ADV 231869 MILAGRO ADV PEEK SCREW 10X30MM 1 EA;
LIGAMENT IMPLANTS - MILAGRO ADV 231868 MILAGRO ADV PEEK SCREW 9X30MM 1 EA;
LIGAMENT IMPLANTS - MILAGRO ADV 231867 MILAGRO ADV PEEK SCREW 8X30MM 1 EA;
LIGAMENT IMPLANTS - MILAGRO ADV 231866 MILAGRO ADV PEEK SCREW 7X30MM 1 EA;
LIGAMENT IMPLANTS - MILAGRO ADV 231859 MILAGRO ADV PEEK SCREW 10X23MM 1 EA;
LIGAMENT IMPLANTS - MILAGRO ADV 231858 MILAGRO ADV PEEK SCREW 9X23MM 1 EA;
LIGAMENT IMPLANTS - MILAGRO ADV 231857 MILAGRO ADV PEEK SCREW 8X23MM 1 EA;
LIGAMENT IMPLANTS - MILAGRO ADV BR 231828 MILAGRO ADVANCE SCREW 11X35MM 1 EA;
LIGAMENT IMPLANTS - MILAGRO ADV BR 231829 MILAGRO ADVANCE SCREW 12X35MM 1 EA;
LIGAMENT IMPLANTS - MILAGRO ADV BR 231826 MILAGRO ADVANCE SCREW 9X35MM 1 EA;
LIGAMENT IMPLANTS - MILAGRO ADV BR 231831 MILAGRO ADVANCE SCREW 7X30MM 1 EA;
LIGAMENT IMPLANTS - MILAGRO ADV BR 231832 MILAGRO ADVANCE SCREW 12X30MM 1 EA;
LIGAMENT IMPLANTS - MILAGRO ADV BR 231827 MILAGRO ADVANCE SCREW 10X35MM 1 EA;
LIGAMENT IMPLANTS - MILAGRO ADV BR 231816 MILAGRO ADVANCE SCREW 7X23MM 1 EA;
LIGAMENT IMPLANTS - MILAGRO ADV BR 231817 MILAGRO ADVANCE SCREW 8X23MM 1 EA;
LIGAMENT IMPLANTS - MILAGRO ADV BR 231818 MILAGRO ADVANCE SCREW 9X23MM 1 EA;
LIGAMENT IMPLANTS - MILAGRO ADV BR 231819 MILAGRO ADVANCE SCREW 10X23MM 1 EA;
LIGAMENT IMPLANTS - MILAGRO ADV BR 231821 MILAGRO ADVANCE SCREW 8X30MM 1 EA;
LIGAMENT IMPLANTS - MILAGRO ADV BR 231822 MILAGRO ADVANCE SCREW 9X30MM 1 EA;
LIGAMENT IMPLANTS - MILAGRO ADV BR 231823 MILAGRO ADVANCE SCREW 10X30MM 1 EA;
LIGAMENT IMPLANTS - MILAGRO ADV BR 231824 MILAGRO ADVANCE SCREW 11X30MM 1 EA;
LIGAMENT IMPLANTS - PROFILE 230525 PROFILE INTSCR 9X25MM *EA 1 EA;
LIGAMENT IMPLANTS - PROFILE 230320 PROFILE INTSCR 7X20MM *EA 1 EA;
LIGAMENT IMPLANTS - PROFILE 230325 PROFILE INTSCR 7X25MM *EA 1 EA;
LIGAMENT IMPLANTS - PROFILE 230330 PROFILE INTSCR 7X30MM *EA 1 EA;
LIGAMENT IMPLANTS - PROFILE 230420 PROFILE INTSCR 8X20MM *EA 1 EA;
LIGAMENT IMPLANTS - PROFILE 230425 PROFILE INTSCR 8X25MM *EA 1 EA;
LIGAMENT IMPLANTS - PROFILE 230430 PROFILE INTSCR 8X30MM *EA 1 EA;
LIGAMENT IMPLANTS - PROFILE 230520 PROFILE INTSCR 9X20MM *EA 1 EA;
LIGAMENT IMPLANTS - PROFILE 230530 PROFILE INTSCR 9X30MM *EA 1 EA;
LIGAMENT IMPLANTS - RIGIDLOOP 232014 CORTICAL FXATION FXD LOOP 25MM 1 EA;
LIGAMENT IMPLANTS - RIGIDLOOP 232008 RGIDLOOP TITANIUM FREE BUTTON 1 EA;
LIGAMENT IMPLANTS - RIGIDLOOP 232011 CORTICAL FXATION FXD LOOP 20MM 1 EA;
LIGAMENT IMPLANTS - RIGIDLOOP 232009 CORTICAL FXATION FXD LOOP 15MM 1 EA;
Ligament Implants - RIGIDLOOP 232034 RIGIDLOOP XL IMPLANT 1 EA;
LIGAMENT IMPLANTS - RIGIDLOOP 232023 CORTICAL FXATION FXD LOOP 60MM 1 EA;
LIGAMENT IMPLANTS - RIGIDLOOP 232022 CORTICAL FXATION FXD LOOP 55MM 1 EA;
LIGAMENT IMPLANTS - RIGIDLOOP 232021 CORTICAL FXATION FXD LOOP 50MM 1 EA;
LIGAMENT IMPLANTS - RIGIDLOOP 232019 CORTICAL FXATION FXD LOOP 45MM 1 EA;
LIGAMENT IMPLANTS - RIGIDLOOP 232018 CORTICAL FXATION FXD LOOP 40MM 1 EA;
LIGAMENT IMPLANTS - RIGIDLOOP 232017 CORTICAL FXATION FXD LOOP35MM 1 EA;
LIGAMENT IMPLANTS - RIGIDLOOP 232016 CORTICAL FXATION FXD LOOP 30MM 1 EA;
LIGAMENT IMPLANTS - RIGIDLOOP ADJ 232448 RGDLOOP ADJUSTABLE LONG 1 EA;
LIGAMENT IMPLANTS - RIGIDLOOP ADJ 232449 RGDLOOP ADJUSTABLE XLARG 1 EA;
LIGAMENT IMPLANTS - RIGIDLOOP ADJ 232447 RGDLOOP ADJUSTABLE STND 1 EA;
LIGAMENT IMPLANTS - RIGIDLOOP CLIP 232482 RGDLOOP CLIP CORTICAL BUTTON 1 EA;
LIGAMENT IMPLANTS - RIGIDLOOP CLIP 232483 RGDLOOP CLIP XL BUTTON 1 EA;
LIGAMENT IMPLANTS - RIGIDLOOP SUT 232484 RGDLOOP SUTURE LOOP 1 EA;
LIGAMENT IMPLANTS - RIGIDLOOP T ADJ 232481 RGDLOOP T ADJ CORT SYS XL 1 EA;
LIGAMENT IMPLANTS - RIGIDLOOP T ADJ 232480 RGDLOOP T ADJ CORT SYS STD 1 EA;
LIGAMENT IMPLANTS - RIGIDLOOPBTBADJ 232486 RGDLOOP BTB XL ADJ BUTTON 1 EA;
LIGAMENT IMPLANTS - RIGIDLOOPBTBADJ 232485 RGDLOOP BTB ADJ BUTTON 1 EA;
MENISCUS IMPLANTS - ORTHOCORD 228144 2-0 OC MENISCL RPR DB NDL 10PK 10 PK;
MENISCUS IMPLANTS - ORTHOCORD 228145 NIT MENSCL SUT NDL W2-0 OC 5PK 5 PK;
MENISCUS IMPLANTS - TRUESPAN 228151 TRUESPAN 12 DEGREE PEEK 1 EA;
MENISCUS IMPLANTS - TRUESPAN 228152 TRUESPAN 24 DEGREE PEEK 1 EA;
MENISCUS IMPLANTS - TRUESPAN 228150 TRUESPAN 0 DEGREE PEEK 1 EA;
MENISCUS IMPLANTS - TRUESPAN PLGA 228160 TRUESPAN 0 DEGREE PLGA 1 EA;
MENISCUS IMPLANTS - TRUESPAN PLGA 228161 TRUESPAN 12 DEGREE PLGA 1 EA;
MENISCUS IMPLANTS - TRUESPAN PLGA 228162 TRUESPAN 24 DEGREE PLGA 1 EA;
RC DISPOSABLES - EXPRESSEW 288234 EXPRSEW III AC+ RTN PLATE 5PK 5 PK;
RC Disposables - EXPRESSEW 214141 EXPRESSEW III NEEDLE PK5 5 PK;
RC IMPLANTS - HEALIX ADV DYNACORD 222037 6.5HLX ADV PK ANC-DYNA 3-SUT 1 EA;
RC IMPLANTS - HEALIX ADV DYNACORD 222000 4.5HLX ADV BR ANC-DYNA W/ NDL 1 EA;
RC IMPLANTS - HEALIX ADV DYNACORD 222001 4.5HLX ADV BR ANC-DYNA STR/BL 1 EA;
RC IMPLANTS - HEALIX ADV DYNACORD 222002 4.5HLX ADV BR ANC-DYNA 3-SUT 1 EA;
RC IMPLANTS - HEALIX ADV DYNACORD 222004 5.5HLX ADV BR ANC-DYNA STR/BL 1 EA;
RC IMPLANTS - HEALIX ADV DYNACORD 222005 5.5HLX ADV BR ANC-DYNA 3-SUT 1 EA;
RC IMPLANTS - HEALIX ADV DYNACORD 222006 5.5HLX ADV BR ANC-DYNA W/ NDL 1 EA;
RC IMPLANTS - HEALIX ADV DYNACORD 222011 6.5HLX ADV BR ANC-DYNA STR/BL 1 EA;
RC IMPLANTS - HEALIX ADV DYNACORD 222013 6.5HLX ADV BR ANC-DYNA 3-SUT 1 EA;
RC IMPLANTS - HEALIX ADV DYNACORD 222015 6.5HLX ADV BR ANC-DYNA W/ NDL 1 EA;
RC IMPLANTS - HEALIX ADV DYNACORD 222027 4.5HLX ADV PK ANC-DYNA W/ NDL 1 EA;
RC IMPLANTS - HEALIX ADV DYNACORD 222028 4.5HLX ADV PK ANC-DYNA STR/BL 1 EA;
RC IMPLANTS - HEALIX ADV DYNACORD 222029 4.5HLX ADV PK ANC-DYNA 3-SUT 1 EA;
RC IMPLANTS - HEALIX ADV DYNACORD 222032 5.5HLX ADV PK ANC-DYNA STR/BL 1 EA;
RC IMPLANTS - HEALIX ADV DYNACORD 222033 5.5HLX ADV PK ANC-DYNA 3-SUT 1 EA;
RC IMPLANTS - HEALIX ADV DYNACORD 222034 5.5HLX ADV PK ANC-DYNA W/ NDL 1 EA;
RC IMPLANTS - HEALIX ADV DYNACORD 222036 6.5HLX ADV PK ANC-DYNA STR/BL 1 EA;
RC IMPLANTS - HEALIX ADV DYNACORD 222038 6.5HLX ADV PK ANC-DYNA W/ NDL 1 EA;
RC IMPLANTS - HEALIX ADV DYNATAPE 280737 6.5 HLX ADV BR 2.5 DYNAT BLK 1 EA;
RC IMPLANTS - HEALIX ADV DYNATAPE 280717 4.5 HLX ADV PK 2.5 DYNAT WHT 1 EA;
RC IMPLANTS - HEALIX ADV DYNATAPE 280718 5.5 HLX ADV PK 2.5 DYNAT WHT 1 EA;
RC IMPLANTS - HEALIX ADV DYNATAPE 280719 6.5 HLX ADV PK 2.5 DYNAT WHT 1 EA;
RC IMPLANTS - HEALIX ADV DYNATAPE 280723 4.5 HLX ADV BR 2.5 DYNAT WHT 1 EA;
RC IMPLANTS - HEALIX ADV DYNATAPE 280724 5.5 HLX ADV BR 2.5 DYNAT WHT 1 EA;
RC IMPLANTS - HEALIX ADV DYNATAPE 280725 6.5 HLX ADV BR 2.5 DYNAT WHT 1 EA;
RC IMPLANTS - HEALIX ADV DYNATAPE 280729 4.5 HLX ADV PK 2.5 DYNAT BLK 1 EA;
RC IMPLANTS - HEALIX ADV DYNATAPE 280730 5.5 HLX ADV PK 2.5 DYNAT BLK 1 EA;
RC IMPLANTS - HEALIX ADV DYNATAPE 280731 6.5 HLX ADV PK 2.5 DYNAT BLK 1 EA;
RC IMPLANTS - HEALIX ADV DYNATAPE 280735 4.5 HLX ADV BR 2.5 DYNAT BLK 1 EA;
RC IMPLANTS - HEALIX ADV DYNATAPE 280736 5.5 HLX ADV BR 2.5 DYNAT BLK 1 EA;
RC IMPLANTS - HEALIX ADV KNOTLESS 222427 6.5MM HEALX ADV SP PEEK ANCHOR 1 EA;
RC IMPLANTS - HEALIX ADV KNOTLESS 222586 6.5 HEALIX ADVANCE KNTLS PEEK 1 EA;
RC IMPLANTS - HEALIX ADV KNOTLESS 222585 5.5 HEALIX ADVANCE KNTLS PEEK 1 EA;
RC IMPLANTS - HEALIX ADV KNOTLESS 222584 4.75 HEALIX ADVANCE KNTLS PEEK 1 EA;
RC IMPLANTS - HEALIX ADV KNOTLESS 222583 6.5 HEALIX ADVANCE KNTLS BR 1 EA;
RC IMPLANTS - HEALIX ADV KNOTLESS 222582 5.5 HEALIX ADVANCE KNTLS BR 1 EA;
RC IMPLANTS - HEALIX ADV KNOTLESS 222581 4.75 HEALIX ADVANCE KNTLS BR 1 EA;
RC IMPLANTS - HEALIX ADV KNOTLESS 222426 6.5MM HEALX ADV SP BIOC ANCHOR 1 EA;
RC IMPLANTS - HEALIX ADV KNOTLESS 222425 5.5MM HEALX ADV SP PEEK ANCHOR 1 EA;
RC IMPLANTS - HEALIX ADV KNOTLESS 222424 5.5MM HEALX ADV SP BIOC ANCHOR 1 EA;
RC IMPLANTS - HEALIX ADV KNOTLESS 222423 4.9MM HEALX ADV SP PEEK ANCHOR 1 EA;
RC IMPLANTS - HEALIX ADV KNOTLESS 222422 4.9MM HEALX ADV SP BIOC ANCHOR 1 EA;
RC IMPLANTS - HEALIX ADV ORTHOCORD 222319 4. 5HEALIXADV BR 5PK-2SUTURE 5 PK;
RC IMPLANTS - HEALIX ADV ORTHOCORD 222324 5.5 HEALIXADV BR 5PK-3SUTURE 5 PK;
RC IMPLANTS - HEALIX ADV ORTHOCORD 222323 5.5 HEALIXADV BR 5PK-2SUTURE 5 PK;
RC IMPLANTS - HEALIX ADV ORTHOCORD 222322 4.5 HEALIXADV PEEK 5PK-3SUTURE 5 PK;
RC IMPLANTS - HEALIX ADV ORTHOCORD 222321 4.5 HEALIXADV PEEK 5PK 2SUTURE 5 PK;
RC IMPLANTS - HEALIX ADV ORTHOCORD 222320 4.5 HEALIXADV BR 5PK-3SUTURE 5 PK;
RC IMPLANTS - HEALIX ADV ORTHOCORD 222300 6.5 HEALIX ADVANCE BR W/OCORD 1 EA;
RC IMPLANTS - HEALIX ADV ORTHOCORD 222301 6.5 HEALIX ADVANCE BR3SUT W/OC 1 EA;
RC IMPLANTS - HEALIX ADV ORTHOCORD 222302 6.5 HEALIX ADVANCE BR W/OC&amp;ND 1 EA;
RC IMPLANTS - HEALIX ADV ORTHOCORD 222303 4.5 HEALIX ADVANCE PEEK W/CORD 1 EA;
RC IMPLANTS - HEALIX ADV ORTHOCORD 222304 4.5 HEALIX ADVANCE PEEK 3SUT W/OC 1 EA;
RC IMPLANTS - HEALIX ADV ORTHOCORD 222305 5.5 HEALIX ADVANCE PEEK W/OC 1 EA;
RC IMPLANTS - HEALIX ADV ORTHOCORD 222307 5.5 HEALIX ADVANCE PEEK 3SUT W/OC 1 EA;
RC IMPLANTS - HEALIX ADV ORTHOCORD 222299 5.5 HEALIX ADVANCE BR W/OC&amp;ND 1 EA;
RC IMPLANTS - HEALIX ADV ORTHOCORD 222298 5.5 HEALIX ADVANCE BR3SUT W/OC 1 EA;
RC IMPLANTS - HEALIX ADV ORTHOCORD 222297 5.5 HEALIX ADVANCE BR W/OCORD 1 EA;
RC IMPLANTS - HEALIX ADV ORTHOCORD 222296 4.5 HEALIX ADVANCE BR3SUT W/OC 1 EA;
RC IMPLANTS - HEALIX ADV ORTHOCORD 222295 4.5 HEALIX ADVANCE BR W/OCORD 1 EA;
RC IMPLANTS - HEALIX ADV ORTHOCORD 222308 5.5 HEALIX ADVANCE PEEK W/OC&amp;ND 1 EA;
RC IMPLANTS - HEALIX ADV ORTHOCORD 222309 6.5 HEALIX ADVANCE PEEK W/OC 1 EA;
RC IMPLANTS - HEALIX ADV ORTHOCORD 222311 6.5 HEALIX ADVANCE PEEK 3SUT W/OC 1 EA;
RC IMPLANTS - HEALIX ADV ORTHOCORD 222313 6.5 HEALIX ADVANCE PEEK W/OC&amp;ND 1 EA;
RC IMPLANTS - HEALIX ADV ORTHOCORD 222318 5.5 HEALIXADV PEEK 5PK 3SUTURE 5 PK;
RC IMPLANTS - HEALIX ADV ORTHOCORD 222325 5.5 HEALIXADV PEEK 5PK-2SUTURE 5 PK;
RC IMPLANTS - HEALIX ADV PERMACORD 223134 4.5 HEALIXADV PEEK ANC PCORD 1 EA;
RC IMPLANTS - HEALIX ADV PERMACORD 223150 5.5 HEALIX TI WITH PERMACORD 1 EA;
RC IMPLANTS - HEALIX ADV PERMACORD 223145 6.5 HEALIX TI 3 SUT PERMACORD 1 EA;
RC IMPLANTS - HEALIX ADV PERMACORD 223144 6.5 HEALIX TI WITH PERMACORD 1 EA;
RC IMPLANTS - HEALIX ADV PERMACORD 223141 4.5 HEALIX TI 3 SUT PERMACORD 1 EA;
RC IMPLANTS - HEALIX ADV PERMACORD 223140 4.5 HEALIX TI WITH PERMACORD 1 EA;
RC IMPLANTS - HEALIX ADV PERMACORD 223139 6.5 HEALIXADVPEEK3SUTANC PCORD 1 EA;
RC IMPLANTS - HEALIX ADV PERMACORD 223138 6.5 HEALIXADV PEEK ANC PCORD 1 EA;
RC IMPLANTS - HEALIX ADV PERMACORD 223137 5.5 HEALIXADVPEEK3SUTANC PCORD 1 EA;
RC IMPLANTS - HEALIX ADV PERMACORD 223136 5.5 HEALIXADV PEEK ANC PCORD 1 EA;
RC IMPLANTS - HEALIX ADV PERMACORD 223135 4.5 HEALIXADVPEEK3SUTANC PCORD 1 EA;
RC IMPLANTS - HEALIX ADV PERMACORD 223151 5.5 HEALIX TI 3 SUT PERMACORD 1 EA;
RC IMPLANTS - HEALIX ADV PERMACORD 223133 6.5 HEALIXADV BR3SUTANC PCORD 1 EA;
RC IMPLANTS - HEALIX ADV PERMACORD 223132 6.5 HEALIXADV BR ANC PCORD 1 EA;
RC IMPLANTS - HEALIX ADV PERMACORD 223131 5.5 HEALIXADV BR3SUTANC PCORD 1 EA;
RC IMPLANTS - HEALIX ADV PERMACORD 223130 5.5 HEALIXADV BR ANC PCORD 1 EA;
RC IMPLANTS - HEALIX ADV PERMACORD 223129 4.5 HEALIXADV BR3SUTANC PCORD 1 EA;
RC IMPLANTS - HEALIX ADV PERMACORD 223128 4.5 HEALIXADV BR ANC PCORD 1 EA;
RC IMPLANTS - HEALIX ADV PERMATAPE 222360 HEALIX AV BR 4.5 TAPE WHT/BLUE 1 EA;
RC IMPLANTS - HEALIX ADV PERMATAPE 222361 HEALIX AV BR 5.5 TAPE BLUE 1 EA;
RC IMPLANTS - HEALIX ADV PERMATAPE 222362 HEALIX AV BR 5.5 TAPE WHT/BLUE 1 EA;
RC IMPLANTS - HEALIX ADV PERMATAPE 222363 HEALIX AV PK 4.5 TAPE BLUE 1 EA;
RC IMPLANTS - HEALIX ADV PERMATAPE 222364 HEALIX AV PK 4.5 TAPE WHT/BLUE 1 EA;
RC IMPLANTS - HEALIX ADV PERMATAPE 222365 HEALIX AV PK 5.5 TAPE BLUE 1 EA;
RC IMPLANTS - HEALIX ADV PERMATAPE 222366 HEALIX AV PK 5.5 TAPE WHT/BLUE 1 EA;
RC IMPLANTS - HEALIX ADV PERMATAPE 222376 HEALIX AV BR 6.5 TAPE BLUE 1 EA;
RC IMPLANTS - HEALIX ADV PERMATAPE 222377 HEALIX AV BR 6.5 TAPE WHT/BLUE 1 EA;
RC IMPLANTS - HEALIX ADV PERMATAPE 222378 HEALIX AV PK 6.5 TAPE BLUE 1 EA;
RC IMPLANTS - HEALIX ADV PERMATAPE 222379 HEALIX AV PK 6.5 TAPE WHT/BLUE 1 EA;
RC IMPLANTS - HEALIX ADV PERMATAPE 222359 HEALIX AV BR 4.5 TAPE BLUE 1 EA;
Shoulder Disposables - Cannulas 210253 MITEK FLEX 10X50MM CANNULA 5PK 5 PK;
Shoulder Disposables - Cannulas 210252 MITEK FLEX 8X50MM CANNULA 5PK 5 PK;
SHOULDER DISPOSABLES - CANNULAS 214122 CLEARCANNULA-THREADED 8.5MMX90MM 5PK -ST 5 PK;
Shoulder Disposables - Cannulas 210242 MITEK FLEX 10X30MM CANNULA 5PK 5 PK;
SHOULDER DISPOSABLES - CANNULAS 214120 CLEARCANNULA-THREADED 8.5MMX75MM 5PK -ST 5 PK;
SHOULDER DISPOSABLES - CANNULAS 214118 CLEARCANNULA-THREADED 8.5MMX55MM 5PK -ST 5 PK;
SHOULDER DISPOSABLES - CANNULAS 214116 CLEARCANNULA-THREADED 7.0MMX75MM 5PK -ST 5 PK;
SHOULDER DISPOSABLES - CANNULAS 214115 CLRCANNULASMOOTH/DISTALRIB7X75MM5/PK -ST ;;
Shoulder Disposables - Cannulas 214114 CLEARCANNULA-SMOOTH 7.0MMX75MM 5PK -ST ;;
SHOULDER DISPOSABLES - CANNULAS 214110 CLEARCANNULA-THREADED 5.5MMX90MM 5PK -ST;;
SHOULDER DISPOSABLES - CANNULAS 214108 CLEARCANNULA-THREADED 5.5MMX75MM 5PK -ST;;
SHOULDER DISPOSABLES - CANNULAS 214107 CLRCANNULA-SMTHDISTALRIB5.5MMX75MM5PK-ST ;;
Shoulder Disposables - Cannulas 214106 CLEARCANNULA SMOOTH 5.5MMX75MM 5/PK -ST ;;
SHOULDER DISPOSABLES - CANNULAS 214104 CLEARCANNULA-THREADED 5.5MMX55MM 5/PK-ST;;
Shoulder Disposables - Cannulas 210254 MITEK FLEX 12X50MM CANNULA 5PK;;
</t>
  </si>
  <si>
    <t>001030242~00084684.096</t>
  </si>
  <si>
    <t>Amendment To Product Agreement Depuy Synthes Joint Reconstruction – H/K/S/Or Med</t>
  </si>
  <si>
    <t xml:space="preserve">01305718
00005715
00006856
01030611
00058200
00010004
00005737
01384357
01018666
00003871
00013930
01329321
00019161
00005751
00003893
00003872
00006910
01553974
00007121
00065653
01567061
01540758
01549671
00005751
</t>
  </si>
  <si>
    <t>PA Amend SK V2 15Sep2025</t>
  </si>
  <si>
    <t>01305718 UCLA Healthcare;
00005715 RONALD REAGAN UCLA MEDICAL CENTER;
00006856 SANTA MONICA UCLA MEDICAL;
01030611 University of San Diego Medical Center;
00058200 THE REGENTS OF THE UNIVERSITY OF CALIFORNIA;
00010004 UNIVERSTY OF CALIFORNIA SAN DIEGO;
00005737 UCSD MEDICAL CENTER;
01384357 UNIVERSITY OF CALIFORNIA SAN DIEGO MEDICAL CENTER;
01018666 UCSF Medical Center;
00003871 MOUNT ZION HOSPITAL &amp; MEDICAL CENTER;
00013930 UCSF MEDICAL CENTER;
01329321 UCSF MISSION BAY;
00019161 UNIVERSITY OF CALIFORNIA DAVIS;
00005751 UCI MEDICAL CENTER;
00003893 CHILDRENS HOSPITAL AND RESEARCH CENTER;
00003872 UCSF HEALTH SAINT MARY’S MEDICAL CENTER;
00006910 UCSF HEALTH SAINT FRANCIS HOSPITAL;
01553974 UCSF HEALTH BAYFRONT MEDICAL BUILDING;
00007121 UCLA WEST VALLEY MEDICAL CENTER (F/K/A WEST HILLS HOSPITAL AND MEDICAL CENTER);
00065653 WEST HILLS SURGICAL CENTER;
01567061 UC San Diego Health;
01540758 UC Davis Health;
01549671 UCI Health Irvine; 
00005751 UCI Medical Center;</t>
  </si>
  <si>
    <t>SHOULDERS - PRIMARY 60%;
SHOULDERS - DISPOSABLES 55%;
SHOULDERS - REVISION 50%;
SHOULDERS - INSTRUMENTS 55%;
SHOULDERS - PRIMARY 60%;
SHOULDERS - REVISION 50%;</t>
  </si>
  <si>
    <t>On a prospective basis only, the following UC Irvine facilities and PL below are ended from Tier 6 Shoulders Products and pricing only. Hips, Knees, and OR Med Products and pricing will remain as stated in the PA. Please reference Exhibit 1 attached hereto</t>
  </si>
  <si>
    <t>001030242~00084684.097</t>
  </si>
  <si>
    <t>SK V1 08Oct2025</t>
  </si>
  <si>
    <t>On a prospective basis only, the Products and pricing listed on Exhibit 1 attached hereto are added to Schedule A of the PA.</t>
  </si>
  <si>
    <t>001030242~00088319.001</t>
  </si>
  <si>
    <t>PCL be V1 20230213</t>
  </si>
  <si>
    <t>01496137  UCLA Orthopedics;
00006856  SANTA MONICA UCLA MEDICAL;
01493444  UCLA HEALTH WESTLAKE VILLAGE PRIMARY CAR;
01435136  UCLA HEALTH IM MPCCC;
01245955  UCLA CAMPUS FACILITY;
01384329  UCLA TORRANCE SPECIALTIES;
01360363  UCLA WESTLAKE EAST/WEST CLINIC;
00005715  RONALD REAGAN UCLA MEDICAL CENTER;
01435584  UNIVERSITY OF CALIFORNIA LOS ANGELES HEALTH;</t>
  </si>
  <si>
    <t>Discounted pricing</t>
  </si>
  <si>
    <t>277500 Orthovisc (NDC 59676036001) 18% $123.00
277515 Monovisc (NDC 59676082001) 15% $687.65</t>
  </si>
  <si>
    <t>To receive the Discount available under this PLA, Product must be purchased directly from Company by calling Customer Service at 800–382–4682 or indirectly through the distributor indicated in Schedule C of this agreement.
“Quarterly Access Price” means the price of the Product as published by Company as in effect at the time of sale of the Product. The Quarterly Access Price for the Product is subject to change without notice.</t>
  </si>
  <si>
    <t>001030242~00088319.002</t>
  </si>
  <si>
    <t>Notice To Update Pricing Performance Letter</t>
  </si>
  <si>
    <t>Notice of Participant Addition to your Pricing Letter Agreement</t>
  </si>
  <si>
    <t>PPL notice to add participants v1 ls 20230824</t>
  </si>
  <si>
    <t>01496137  UCLA Orthopedics;
00006856  SANTA MONICA UCLA MEDICAL;
01493444  UCLA HEALTH WESTLAKE VILLAGE PRIMARY CAR;
01435136  UCLA HEALTH IM MPCCC;
01245955  UCLA CAMPUS FACILITY;
01384329  UCLA TORRANCE SPECIALTIES;
01360363  UCLA WESTLAKE EAST/WEST CLINIC;
00005715  RONALD REAGAN UCLA MEDICAL CENTER;
01435584  UNIVERSITY OF CALIFORNIA LOS ANGELES HEALTH;
1158379   UCLA Health System Radiology;
1537147   UCLA Beach Imaging &amp; Interventional Center;</t>
  </si>
  <si>
    <t>001030242~00088319.003</t>
  </si>
  <si>
    <t>Notice To Update Pricing Notification Letter</t>
  </si>
  <si>
    <t>Notice of Extension to your Pricing Letter Agreement</t>
  </si>
  <si>
    <t>PCL Notice be 20240122</t>
  </si>
  <si>
    <t>001030242~00088319.004</t>
  </si>
  <si>
    <t>PCL notice to add participants v1 be 20240508</t>
  </si>
  <si>
    <t>01496137  UCLA Orthopedics;
00006856  SANTA MONICA UCLA MEDICAL;
01493444  UCLA HEALTH WESTLAKE VILLAGE PRIMARY CAR;
01435136  UCLA HEALTH IM MPCCC;
01245955  UCLA CAMPUS FACILITY;
01384329  UCLA TORRANCE SPECIALTIES;
01360363  UCLA WESTLAKE EAST/WEST CLINIC;
00005715  RONALD REAGAN UCLA MEDICAL CENTER;
01435584  UNIVERSITY OF CALIFORNIA LOS ANGELES HEALTH;
1158379   UCLA Health System Radiology;
1537147   UCLA Beach Imaging &amp; Interventional Center;
01088720  UCLA Santa Monica Rheumatology;</t>
  </si>
  <si>
    <t>001030242~00088319.005</t>
  </si>
  <si>
    <t>PLA Notice participant add v1 ls 20240523</t>
  </si>
  <si>
    <t>01496137  UCLA Orthopedics;
00006856  SANTA MONICA UCLA MEDICAL;
01493444  UCLA HEALTH WESTLAKE VILLAGE PRIMARY CAR;
01435136  UCLA HEALTH IM MPCCC;
01245955  UCLA CAMPUS FACILITY;
01384329  UCLA TORRANCE SPECIALTIES;
01360363  UCLA WESTLAKE EAST/WEST CLINIC;
00005715  RONALD REAGAN UCLA MEDICAL CENTER;
01435584  UNIVERSITY OF CALIFORNIA LOS ANGELES HEALTH;
1158379   UCLA Health System Radiology;
1537147   UCLA Beach Imaging &amp; Interventional Center;
01088720  UCLA Santa Monica Rheumatology;
01435042  UCLA Porter Ranch Subspecialties/Primary;
01435759  UCLA Health Palos Verde;</t>
  </si>
  <si>
    <t>001030242~00088319.006</t>
  </si>
  <si>
    <t>PPL Notice participant add v1 ls 20240529</t>
  </si>
  <si>
    <t>01496137  UCLA Orthopedics;
00006856  SANTA MONICA UCLA MEDICAL;
01493444  UCLA HEALTH WESTLAKE VILLAGE PRIMARY CAR;
01435136  UCLA HEALTH IM MPCCC;
01245955  UCLA CAMPUS FACILITY;
01384329  UCLA TORRANCE SPECIALTIES;
01360363  UCLA WESTLAKE EAST/WEST CLINIC;
00005715  RONALD REAGAN UCLA MEDICAL CENTER;
01435584  UNIVERSITY OF CALIFORNIA LOS ANGELES HEALTH;
1158379   UCLA Health System Radiology;
1537147   UCLA Beach Imaging &amp; Interventional Center;
01088720  UCLA Santa Monica Rheumatology;
01435042  UCLA Porter Ranch Subspecialties/Primary;
01435759  UCLA Health Palos Verde;
01158855  UCLA SM MPCCC AND E&amp;TC;
01268163  UCLA Santa Monica Rheumatology;</t>
  </si>
  <si>
    <t>001030242~00088319.007</t>
  </si>
  <si>
    <t>PPL Notice add participants v1 ls 20241004</t>
  </si>
  <si>
    <t>01496137  UCLA Orthopedics;
00006856  SANTA MONICA UCLA MEDICAL;
01493444  UCLA HEALTH WESTLAKE VILLAGE PRIMARY CAR;
01435136  UCLA HEALTH IM MPCCC;
01245955  UCLA CAMPUS FACILITY;
01384329  UCLA TORRANCE SPECIALTIES;
01360363  UCLA WESTLAKE EAST/WEST CLINIC;
00005715  RONALD REAGAN UCLA MEDICAL CENTER;
01435584  UNIVERSITY OF CALIFORNIA LOS ANGELES HEALTH;
1158379   UCLA Health System Radiology;
1537147   UCLA Beach Imaging &amp; Interventional Center;
01088720  UCLA Santa Monica Rheumatology;
01435042  UCLA Porter Ranch Subspecialties/Primary;
01435759  UCLA Health Palos Verde;
01158855  UCLA SM MPCCC AND E&amp;TC;
01268163  UCLA Santa Monica Rheumatology;
01382416  UCLA Internal Medicine Consultants;</t>
  </si>
  <si>
    <t>001030242~00088319.008</t>
  </si>
  <si>
    <t>PCL Notice be 20250206</t>
  </si>
  <si>
    <t>001030242~00098911.001</t>
  </si>
  <si>
    <t>MS1328</t>
  </si>
  <si>
    <t>Letter Of Participation – Local Market (Lop-Lm)</t>
  </si>
  <si>
    <t>Letter of Participation</t>
  </si>
  <si>
    <t>LOP-LM sl v2 11-07-2024</t>
  </si>
  <si>
    <t>00003893 Children’s Hospital and Research Center
UCSF Medical Center (01018666) 
00003871 Mount Zion Hospital &amp; Medical Center
00013930 UCSF Medical Center
01329321 UCSF Mission Bay
UCLA Healthcare (01305718) 
00005715 Ronald Reagan UCLA Medical Center
00006856 Santa Monica UCLA Medical
00019161 University Of California Davis Medical Center
University of San Diego Medical Center (01030611) 
00005737 UCSD Medical Center
00058200 The Regents Of The University Of California
01541233 UC San Diego East</t>
  </si>
  <si>
    <t xml:space="preserve">02.001.300 4.5 LCP CRVD COND PL 10 HOLES/242-LFT EA $1,877.30 $1,602.70 $1,541.04 $1,534.18 $1,432.65 ;
02.001.300S 4.5 LCP CURVED COND PL 10H/242/LFT-S EA $2,065.19 $1,652.30 $1,588.03 $1,580.48 $1,472.94 ;
02.001.302 4.5 LCP CRVD COND PL 12 HOLES/278-LFT EA $1,918.02 $1,636.80 $1,573.82 $1,566.92 $1,463.13 ;
02.001.302S 4.5 LCP CURVED COND PL 12H/278/LFT-S EA $2,109.14 $1,686.40 $1,620.80 $1,612.72 $1,503.25 ;
02.001.304 4.5 LCP CRVD COND PL 14 HOLES/314-LFT EA $1,957.13 $1,670.90 $1,606.61 $1,596.05 $1,493.62 ;
02.001.304S 4.5 LCP CURVED COND PL 14H/314/LFT-S EA $2,153.09 $1,720.50 $1,653.57 $1,641.95 $1,533.58 ;
02.001.306 4.5 LCP CRVD COND PL 16 HOLES/350-LFT EA $1,994.63 $1,702.52 $1,637.01 $1,626.44 $1,521.88 ;
02.001.306S 4.5 LCP CURVED COND PL 16H/350/LFT-S EA $2,193.81 $1,752.12 $1,683.96 $1,672.33 $1,561.69 ;
02.001.308 4.5 LCP CRVD COND PL 18 HOLES/386-LFT EA $2,105.91 $1,797.38 $1,728.22 $1,716.96 $1,606.67 ;
02.001.308S 4.5 LCP CURVED COND PL 18H/386/LFT-S EA $2,315.58 $1,846.98 $1,775.11 $1,762.73 $1,646.04 ;
02.001.310S 4.5 LCP CURVED COND PL 20H/422/LFT-S EA $2,193.00 $1,871.78 $1,799.76 $1,787.84 $1,673.18 ;
02.001.312S 4.5 LCP CURVED COND PL 22H/458/LFT-S EA $2,227.68 $1,901.54 $1,828.38 $1,816.50 $1,699.78 ;
02.001.320 4.5 LCP CURVED COND PL 10 HOLES/242-RT EA $1,877.30 $1,602.70 $1,541.04 $1,531.22 $1,432.65 ;
02.001.320S 4.5 LCP CURVED COND PL 10H/242/RT-S EA $2,065.19 $1,652.30 $1,588.03 $1,577.23 $1,472.94 ;
02.001.322 4.5 LCP CURVED COND PL 12 HOLES/278-RT EA $1,918.02 $1,636.80 $1,573.82 $1,563.70 $1,463.13 ;
02.001.322S 4.5 LCP CURVED COND PL 12H/278/RT-S EA $2,109.14 $1,686.40 $1,620.80 $1,609.67 $1,503.25 ;
02.001.324 4.5 LCP CURVED COND PL 14 HOLES/314-RT EA $1,957.13 $1,670.90 $1,606.61 $1,597.82 $1,493.62 ;
02.001.324S 4.5 LCP CURVED COND PL 14H/314/RT-S EA $2,153.09 $1,720.50 $1,653.57 $1,643.59 $1,533.58 ;
02.001.326 4.5 LCP CURVED COND PL 16 HOLES/350-RT EA $1,994.63 $1,702.52 $1,637.01 $1,625.66 $1,521.88 ;
02.001.326S 4.5 LCP CURVED COND PL 16H/350/RT-S EA $2,193.81 $1,752.12 $1,683.96 $1,671.39 $1,561.69 ;
02.001.328 4.5 LCP CURVED COND PL 18 HOLES/386-RT EA $2,105.91 $1,797.38 $1,728.22 $1,716.32 $1,606.67 ;
02.001.328S 4.5 LCP CURVED COND PL 18H/386/RT-S EA $2,315.58 $1,846.98 $1,775.11 $1,761.90 $1,646.04 ;
02.001.330S 4.5 LCP CURVED COND PL 20H/422/RT-S EA $2,193.00 $1,871.78 $1,799.76 $1,787.45 $1,673.18 ;
02.001.332S 4.5 LCP CURVED COND PL 22H/458/RT-S EA $2,227.68 $1,901.54 $1,828.38 $1,815.92 $1,699.78 ;
02.100.004 3.5MM PUBIC SYMPHYSIS PLATE 4 HOLES EA $912.44 $770.04 $740.36 $736.72 $688.25 ;
02.100.006 3.5MM PUBIC SYMPHYSIS PLATE 6 HOLES EA $1,001.15 $844.44 $811.88 $807.73 $754.75 ;
02.100.014 3.5 PUBIC SYMPH PL 4 H INCL 2 DCP H EA $1,002.36 $845.68 $813.07 $809.00 $755.86 ;
02.100.016 3.5 PUBIC SYMPH PL 6 H INCL 2 DCP H EA $1,098.32 $927.52 $891.77 $887.16 $829.01 ;
02.100.020 2.4MM/2.7MM LOCKING NAVICULAR PLATE EA $1,019.69 $784.30 $753.58 $749.58 $696.74 ;
02.100.020S 2.4/2.7 LOCKING NAVICULAR PLATE-STERILE EA $1,120.90 $833.90 $801.05 $796.46 $738.57 ;
02.100.021 2.4MM/2.7MM LOCKING CUBOID PLATE-LEFT EA $992.28 $763.22 $733.33 $729.68 $678.02 ;
02.100.021S 2.4/2.7 LOCKING CUBOID PL LEFT-STERILE EA $1,090.66 $812.82 $780.81 $776.60 $720.01 ;
02.100.022 2.4MM/2.7MM LOCKING CUBOID PLATE-RIGHT EA $992.28 $763.22 $733.33 $729.86 $678.02 ;
02.100.022S 2.4/2.7 LOCKING CUBOID PL RIGHT-STERILE EA $1,090.66 $812.82 $780.81 $776.77 $720.01 ;
02.100.023 2.4MM/2.7MM LOCKING TALUS PLATE EA $980.18 $754.54 $725.00 $719.67 $670.35 ;
02.100.023S 2.4/2.7MM LOCKING TALUS PLATE STERILE EA $1,078.16 $804.14 $772.48 $766.55 $712.37 ;
02.100.032S LCP ANTERIOR ANKLE ARTHRO PL 6 H/100-S EA $1,840.68 $1,011.22 $970.22 $961.03 $882.30 ;
02.100.033S LCP ANTERIOR ANKLE ARTHRO PL 7 H/116-S EA $1,890.54 $1,038.50 $996.39 $986.97 $906.08 ;
02.100.103 3.5 LOCKING LOW PROFILE RECON PL 3 HOLES EA $709.63 $512.74 $492.43 $489.10 $452.87 ;
02.100.104 3.5 LOCKING LOW PROFILE RECON PL 4 HOLES EA $745.92 $538.78 $517.44 $513.92 $475.86 ;
02.100.105 3.5 LOCKING LOW PROFILE RECON PL 5 HOLES EA $778.98 $562.96 $540.66 $536.98 $497.24 ;
02.100.106 3.5 LOCKING LOW PROFILE RECON PL 6 HOLES EA $810.84 $585.28 $562.10 $558.27 $516.90 ;
02.100.107 3.5 LOCKING LOW PROFILE RECON PL 7 HOLES EA $841.88 $608.22 $584.13 $580.18 $537.19 ;
02.100.108 3.5 LOCKING LOW PROFILE RECON PL 8 HOLES EA $874.94 $631.78 $606.76 $602.68 $557.99 ;
02.100.109 3.5 LOCKING LOW PROFILE RECON PL 9 HOLES EA $907.60 $655.34 $629.38 $625.17 $578.79 ;
02.100.110 3.5 LCKNG LOW PROFILE RECON PL 10 HOLES EA $939.46 $678.90 $652.01 $647.67 $599.64 ;
02.100.111 3.5 LCKNG LOW PROFILE RECON PL 11 HOLES EA $972.92 $703.08 $675.24 $670.77 $621.01 ;
02.100.112 3.5 LCKNG LOW PROFILE RECON PL 12 HOLES EA $1,004.77 $725.40 $696.66 $692.07 $640.66 ;
02.100.113 3.5 LCKNG LOW PROFILE RECON PL 13 HOLES EA $1,037.84 $749.58 $719.89 $715.17 $662.03 ;
02.100.114 3.5 LCKNG LOW PROFILE RECON PL 14 HOLES EA $1,071.30 $774.38 $743.71 $738.85 $684.01 ;
02.100.115 3.5 LCKNG LOW PROFILE RECON PL 15 HOLES EA $1,104.36 $797.94 $766.33 $760.05 $704.79 ;
02.100.116 3.5 LCKNG LOW PROFILE RECON PL 16 HOLES EA $1,136.62 $820.88 $788.36 $782.07 $725.01 ;
02.100.118 3.5 LCKNG LOW PROFILE RECON PL 18 HOLES EA $1,170.09 $845.06 $811.59 $804.95 $746.36 ;
02.100.120 3.5 LCKNG LOW PROFILE RECON PL 20 HOLES EA $1,203.55 $869.24 $834.81 $828.17 $767.74 ;
02.100.203 3.5 WIDE ANG LOW PRO RECON PL 3 HOLES EA $438.68 $316.82 $304.27 $302.59 $279.80 ;
02.100.204 3.5 WIDE ANG LOW PRO RECON PL 4 HOLES EA $458.84 $331.08 $317.96 $316.37 $292.39 ;
02.100.205 3.5 WIDE ANG LOW PRO RECON PL 5 HOLES EA $479.81 $345.96 $332.25 $330.77 $305.50 ;
02.100.206 3.5 WIDE ANG LOW PRO RECON PL 6 HOLES EA $500.77 $361.46 $347.14 $345.69 $319.23 ;
02.100.207 3.5 WIDE ANG LOW PRO RECON PL 7 HOLES EA $521.34 $376.34 $361.43 $359.51 $332.37 ;
02.100.208 3.5 WIDE ANG LOW PRO RECON PL 8 HOLES EA $539.88 $389.98 $374.53 $373.69 $344.44 ;
02.100.209 3.5 WIDE ANG LOW PRO RECON PL 9 HOLES EA $561.66 $405.48 $389.41 $388.43 $358.11 ;
02.100.210 3.5 WIDE ANG LOW PRO RECON PL 10 HOLES EA $584.24 $421.60 $404.89 $403.92 $372.33 ;
02.100.211 3.5 WIDE ANG LOW PRO RECON PL 11 HOLES EA $614.07 $443.30 $425.74 $424.57 $391.51 ;
02.100.212 3.5 WIDE ANG LOW PRO RECON PL 12 HOLES EA $648.75 $468.72 $450.16 $448.91 $413.99 ;
02.100.213 3.5 WIDE ANG LOW PRO RECON PL 13 HOLES EA $681.41 $492.28 $472.78 $471.31 $434.79 ;
02.100.214 3.5 WIDE ANG LOW PRO RECON PL 14 HOLES EA $711.24 $513.98 $493.62 $492.13 $453.98 ;
02.100.215 3.5 WIDE ANG LOW PRO RECON PL 15 HOLES EA $746.73 $539.40 $518.04 $516.32 $476.41 ;
02.100.216 3.5 WIDE ANG LOW PRO RECON PL 16 HOLES EA $779.79 $563.58 $541.26 $538.73 $497.79 ;
02.100.218 3.5 WIDE ANG LOW PRO RECON PL 18 HOLES EA $812.45 $587.14 $563.88 $561.79 $518.59 ;
02.100.220 3.5 WIDE ANG LOW PRO RECON PL 20 HOLES EA $842.69 $608.84 $584.72 $582.76 $537.75 ;
02.100.301 3.5MM SPRING PLATE/1 HOLE EA $391.91 $221.96 $212.71 $213.89 $190.86 ;
02.100.301S 3.5MM SPRING PLATE 1 HOLE-STERILE EA $471.74 $271.56 $260.30 $261.33 $234.00 ;
02.100.302 3.5MM SPRING PLATE/2 HOLES EA $422.96 $240.56 $230.55 $231.76 $206.97 ;
02.100.302S 3.5MM SPRING PLATE 2 HOLES-STERILE EA $504.40 $290.16 $278.12 $279.19 $250.00 ;
02.100.303 3.5MM SPRING PLATE/3 HOLES EA $464.49 $263.50 $252.53 $253.70 $226.64 ;
02.100.303S 3.5MM SPRING PLATE 3 HOLES-STERILE EA $544.72 $313.10 $300.11 $301.17 $269.74 ;
02.100.325S 3.5 QUADRILATERAL SURFACE PL/STD-SILE EA $639.07 $384.40 $368.61 $369.22 $332.99 ;
02.100.326S 3.5 QUADRILATERAL SURFACE PL/LONG-SILE EA $703.58 $423.46 $406.06 $406.73 $366.84 ;
02.100.327S 3.5 QUADRILATERAL SURFACE PL/SHORT-SILE EA $581.41 $349.68 $335.31 $336.80 $302.91 ;
02.100.360 3.5 LCKNG LOW PRO RECON J-PL 10 HOLES RT EA $1,033.00 $706.18 $677.92 $676.95 $620.33 ;
02.100.361 3.5 LCKNG LOW PRO RECON J-PL 10 H LFT EA $1,033.00 $706.18 $677.92 $674.37 $620.33 ;
02.100.362 3.5 LCKNG LOW PRO RECON J-PL 12 HOLES RT EA $1,090.66 $745.86 $716.01 $712.41 $655.21 ;
02.100.363 3.5 LCKNG LOW PRO RECON J-PL 12 H LFT EA $1,090.66 $745.86 $716.01 $712.56 $655.21 ;
02.100.364 3.5 LCKNG LOW PRO RECON J-PL 14 HOLES RT EA $1,149.52 $786.16 $754.69 $751.23 $690.63 ;
02.100.365 3.5 LCKNG LOW PRO RECON J-PL 14 H LFT EA $1,149.52 $786.16 $754.69 $751.08 $690.63 ;
02.100.366 3.5 LCKNG LOW PRO RECON J-PL 16 HOLES RT EA $1,216.05 $831.42 $798.14 $794.48 $730.36 ;
02.100.367 3.5 LCKNG LOW PRO RECON J-PL 16 H LFT EA $1,216.05 $831.42 $798.14 $794.32 $730.36 ;
02.102.001 UNIV LCKNG TROCH STABILIZATION PL 131 EA $994.69 $642.94 $616.92 $614.99 $561.48 ;
02.104.004 3.5 LCP X-ARTC DSTL HUM PL 4H/RT 122 LG EA $1,452.12 $1,192.88 $1,127.97 $1,111.45 $1,067.53 ;
02.104.004S 3.5 LCP XTR-ARTC DSTL HUM PL 4H/RT 122-S EA $1,597.48 $1,242.48 $1,173.33 $1,155.16 $1,111.34 ;
02.104.006 3.5 LCP X-ARTC DSTL HUM PL 6H/RT 158 LG EA $1,660.98 $1,364.62 $1,290.37 $1,271.47 $1,221.22 ;
02.104.006S 3.5 LCP XTR-ARTC DSTL HUM PL 6H/RT 158-S EA $1,827.50 $1,414.22 $1,335.34 $1,314.55 $1,264.89 ;
02.104.008 3.5 LCP X-ARTC DSTL HUM PL 8H/RT 194 LG EA $1,763.53 $1,448.32 $1,369.50 $1,349.44 $1,296.12 ;
02.104.008S 3.5 LCP XTR-ARTC DSTL HUM PL 8H/RT 194-S EA $1,939.46 $1,497.92 $1,414.30 $1,392.24 $1,339.72 ;
02.104.010 3.5 LCP X-ARTC DSTL HUM PL 10H/RT 230 LG EA $1,866.08 $1,533.26 $1,449.84 $1,428.61 $1,372.14 ;
02.104.010S 3.5 LCP X-ARTC DSTL HUM PL 10H/RT 230-S EA $2,053.30 $1,582.86 $1,494.43 $1,471.07 $1,415.67 ;
02.104.012 3.5 LCP X-ARTC DSTL HUM PL 12H/RT 266 LG EA $2,131.85 $1,751.50 $1,656.20 $1,631.95 $1,567.45 ;
02.104.012S 3.5 LCP X-ARTC DSTL HUM PL 12H/RT 266-S EA $2,345.41 $1,801.10 $1,700.31 $1,673.63 $1,610.79 ;
02.104.014 3.5 LCP X-ARTC DSTL HUM PL 14H/RT 302 LG EA $2,347.77 $1,928.82 $1,823.87 $1,797.16 $1,726.14 ;
02.104.014S 3.5 LCP X-ARTC DSTL HUM PL 14H/RT 302-S EA $2,582.50 $1,978.42 $1,867.60 $1,838.22 $1,769.33 ;
02.104.024 3.5 LCP X-ARTC DSTL HUM PL 4H/LT 122 LG EA $1,452.12 $1,192.88 $1,127.97 $1,111.45 $1,067.53 ;
02.104.024S 3.5 LCP XTR-ARTC DSTL HUM PL 4H/LT 122-S EA $1,597.48 $1,242.48 $1,173.33 $1,155.16 $1,111.34 ;
02.104.026 3.5 LCP X-ARTC DSTL HUM PL 6H/LT 158 LG EA $1,660.98 $1,364.62 $1,290.37 $1,271.47 $1,221.22 ;
02.104.026S 3.5 LCP XTR-ARTC DSTL HUM PL 6H/LT 158-S EA $1,827.50 $1,414.22 $1,335.34 $1,314.55 $1,264.89 ;
02.104.028 3.5 LCP X-ARTC DSTL HUM PL 8H/LT 194 LG EA $1,763.53 $1,448.32 $1,369.50 $1,349.44 $1,296.12 ;
02.104.028S 3.5 LCP XTR-ARTC DSTL HUM PL 8H/LT 194-S EA $1,939.46 $1,497.92 $1,414.30 $1,392.24 $1,339.72 ;
02.104.030 3.5 LCP X-ARTC DSTL HUM PL 10H/LT 230 LG EA $1,866.08 $1,533.26 $1,449.84 $1,428.61 $1,372.14 ;
02.104.030S 3.5 LCP X-ARTC DSTL HUM PL 10H/LT 230-S EA $2,053.30 $1,582.86 $1,494.43 $1,471.07 $1,415.67 ;
02.104.032 3.5 LCP X-ARTC DSTL HUM PL 12H/LT 266 LG EA $2,131.85 $1,751.50 $1,656.20 $1,631.95 $1,567.45 ;
02.104.032S 3.5 LCP X-ARTC DSTL HUM PL 12H/LT 266-S EA $2,345.41 $1,801.10 $1,700.31 $1,673.63 $1,610.79 ;
02.104.034 3.5 LCP X-ARTC DSTL HUM PL 14H/LT 302 LG EA $2,347.77 $1,928.82 $1,823.87 $1,797.16 $1,726.14 ;
02.104.034S 3.5 LCP X-ARTC DSTL HUM PL 14H/LT 302-S EA $2,582.50 $1,978.42 $1,867.60 $1,838.22 $1,769.33 ;
02.107.002 2.7/3.5 VA-LCP PROXIMAL OLEC PL 2H/RT/73 EA $1,018.48 $900.24 $865.79 $862.52 $805.01 ;
02.107.002S 2.7/3.5 VA-LCP PROX OLEC PL 2H/RT/73-S EA $1,120.09 $949.84 $913.25 $909.65 $849.00 ;
02.107.102 2.7/3.5 VA-LCP PROXIMAL OLEC PL 2H/LT/73 EA $1,018.48 $900.24 $865.79 $862.52 $805.01 ;
02.107.102S 2.7/3.5 VA-LCP PROX OLEC PL 2H/LT/73-S EA $1,120.09 $949.84 $913.25 $909.65 $849.00 ;
02.107.202 2.7/3.5 VA-LCP OLECRANON PL 2H/RT/90 EA $1,139.04 $1,012.46 $973.75 $969.68 $905.41 ;
02.107.202S 2.7/3.5 VA-LCP OLECRANON PL 2H/RT/90-S EA $1,252.74 $1,062.06 $1,021.15 $1,016.67 $949.30 ;
02.107.204 2.7/3.5 VA-LCP OLECRANON PL 4H/RT/116 EA $1,169.28 $1,012.46 $973.59 $969.32 $905.17 ;
02.107.204S 2.7/3.5 VA-LCP OLECRANON PL 4H/RT/116-S EA $1,286.21 $1,062.06 $1,020.97 $1,016.27 $949.04 ;
02.107.206 2.7/3.5 VA-LCP OLECRANON PL 6H/RT/142 EA $1,185.41 $1,012.46 $973.51 $969.13 $905.04 ;
02.107.206S 2.7/3.5 VA-LCP OLECRANON PL 6H/RT/142-S EA $1,304.76 $1,062.06 $1,020.87 $1,016.05 $948.15 ;
02.107.208S 2.7/3.5 VA-LCP OLECRANON PL 8H/RT/169-S EA $1,244.28 $1,062.06 $1,021.19 $1,016.42 $949.37 ;
02.107.302 2.7/3.5 VA-LCP OLECRANON PL 2H/LT/90 EA $1,139.04 $1,012.46 $973.75 $970.03 $905.41 ;
02.107.302S 2.7/3.5 VA-LCP OLECRANON PL 2H/LT/90-S EA $1,252.74 $1,062.06 $1,021.15 $1,016.32 $949.30 ;
02.107.304 2.7/3.5 VA-LCP OLECRANON PL 4H/LT/116 EA $1,169.28 $1,012.46 $973.59 $969.67 $905.17 ;
02.107.304S 2.7/3.5 VA-LCP OLECRANON PL 4H/LT/116-S EA $1,286.21 $1,062.06 $1,020.97 $1,012.96 $949.04 ;
02.107.306 2.7/3.5 VA-LCP OLECRANON PL 6H/LT/142 EA $1,185.41 $1,012.46 $973.51 $967.96 $905.04 ;
02.107.306S 2.7/3.5 VA-LCP OLECRANON PL 6H/LT/142-S EA $1,304.76 $1,062.06 $1,020.87 $1,014.76 $948.15 ;
02.107.308S 2.7/3.5 VA-LCP OLECRANON PL 8H/LT/169-S EA $1,244.28 $1,062.06 $1,021.19 $1,015.25 $949.37 ;
02.107.406 2.7/3.5 VA X-ARTC PROX ULNA PL 6H/RT/131 EA $1,310.00 $1,164.36 $1,119.84 $1,113.69 $1,041.25 ;
02.107.406S 2.7/3.5 VA X-ART PRX ULNA PL 6H/RT/131-S EA $1,441.04 $1,213.96 $1,167.15 $1,159.90 $1,085.00 ;
02.107.408 2.7/3.5 VA X-ARTC PROX ULNA PL 8H/RT/157 EA $1,310.00 $1,164.36 $1,119.84 $1,113.69 $1,041.25 ;
02.107.408S 2.7/3.5 VA X-ART PRX ULNA PL 8H/RT/157-S EA $1,441.04 $1,213.96 $1,167.15 $1,159.99 $1,085.00 ;
02.107.410 2.7/3.5 VA X-ARTC PRX ULNA PL 10H/RT/184 EA $1,310.00 $1,164.36 $1,119.84 $1,113.79 $1,041.25 ;
02.107.410S 2.7/3.5 VA X-ART PRX ULNA PL 10H/R/184-S EA $1,441.04 $1,213.96 $1,167.15 $1,159.99 $1,085.00 ;
02.107.412 2.7/3.5 VA X-ARTC PRX ULNA PL 12H/RT/211 EA $1,310.00 $1,164.36 $1,119.84 $1,113.79 $1,041.25 ;
02.107.412S 2.7/3.5 VA X-ART PRX ULNA PL 12H/R/211-S EA $1,441.04 $1,213.96 $1,167.15 $1,159.99 $1,085.00 ;
02.107.506 2.7/3.5 VA X-ARTC PROX ULNA PL 6H/LT/131 EA $1,310.00 $1,164.36 $1,119.84 $1,113.79 $1,041.25 ;
02.107.506S 2.7/3.5 VA X-ART PRX ULNA PL 6H/LT/131-S EA $1,441.04 $1,213.96 $1,167.15 $1,159.99 $1,085.00 ;
02.107.508 2.7/3.5 VA X-ARTC PROX ULNA PL 8H/LT/157 EA $1,310.00 $1,164.36 $1,119.84 $1,113.79 $1,041.25 ;
02.107.508S 2.7/3.5 VA X-ART PRX ULNA PL 8H/LT/157-S EA $1,441.04 $1,213.96 $1,167.15 $1,159.99 $1,085.00 ;
02.107.510 2.7/3.5 VA X-ARTC PRX ULNA PL 10H/LT/184 EA $1,310.00 $1,164.36 $1,119.84 $1,113.79 $1,041.25 ;
02.107.510S 2.7/3.5 VA X-ART PRX ULNA PL 10H/L/184-S EA $1,441.04 $1,213.96 $1,167.15 $1,160.09 $1,085.00 ;
02.107.512 2.7/3.5 VA X-ARTC PRX ULNA PL 12H/LT/211 EA $1,310.00 $1,164.36 $1,119.84 $1,113.90 $1,041.25 ;
02.107.512S 2.7/3.5 VA X-ART PRX ULNA PL 12H/L/211-S EA $1,441.04 $1,213.96 $1,167.15 $1,160.09 $1,085.00 ;
02.108.200 3.0DRILL TIP GUIDE WIRE THREADS 230-10PK PK $196.36 $188.48 $181.36 $182.81 $168.67 ;
02.108.300 PEDIATRIC LCP HIP PL 2.7/100/2 HOLES EA $868.90 $517.08 $495.79 $492.53 $447.36 ;
02.108.300S PEDIATRIC LCP HIP PL 2.7/100/2 HOLES-S EA $955.99 $566.68 $543.32 $539.73 $490.05 ;
02.108.301 PEDIATRIC LCP HIP PL 2.7/110/2 HOLES EA $868.90 $517.08 $495.79 $492.53 $447.36 ;
02.108.301S PEDIATRIC LCP HIP PL 2.7/110/2 HOLES-S EA $955.99 $566.68 $543.32 $539.73 $490.05 ;
02.108.303 PEDIATRIC LCP HIP PL 2.7/130/2 HOLES EA $868.90 $517.08 $495.79 $492.53 $447.36 ;
02.108.303S PEDIATRIC LCP HIP PL 2.7/130/2 HOLES-S EA $955.99 $566.68 $543.32 $539.73 $490.05 ;
02.108.310 PEDIATRIC LCP(TM) HIP PLATE 3.5MM 100 EA $904.38 $538.16 $515.99 $512.39 $465.58 ;
02.108.310S PEDIATRIC LCP(TM) HIP PL 3.5 100-SILE EA $994.69 $587.76 $563.52 $559.56 $508.08 ;
02.108.311 PEDIATRIC LCP(TM) HIP PLATE 3.5MM 110 EA $904.38 $538.16 $515.99 $512.52 $465.58 ;
02.108.311S PEDIATRIC LCP(TM) HIP PL 3.5 110-SILE EA $994.69 $587.76 $563.52 $559.70 $508.08 ;
02.108.313 PEDIATRIC LCP(TM) HIP PLATE 3.5MM 120 EA $904.38 $538.16 $515.99 $512.65 $465.58 ;
02.108.313S PEDIATRIC LCP(TM) HIP PL 3.5 120-SILE EA $994.69 $587.76 $563.52 $559.85 $508.08 ;
02.108.315 PEDIATRIC LCP(TM) HIP PLATE 3.5MM 150 EA $904.38 $538.16 $515.99 $512.79 $465.58 ;
02.108.315S PEDIATRIC LCP(TM) HIP PL 3.5 150-SILE EA $994.69 $587.76 $563.52 $559.99 $508.08 ;
02.108.316 PEDIATRIC LCP HIP PL 3.5/140/3 HOLES EA $904.38 $538.16 $515.99 $512.49 $465.58 ;
02.108.316S PEDIATRIC LCP HIP PL 3.5/140/3 HOLES-S EA $994.69 $587.76 $563.52 $559.67 $508.08 ;
02.108.320 PEDIATRIC LCP(TM) HIP PLATE 5.0MM 100 EA $940.67 $559.86 $536.80 $533.23 $484.37 ;
02.108.320S PEDIATRIC LCP(TM) HIP PL 5.0 100-SILE EA $1,035.42 $609.46 $584.30 $580.36 $526.60 ;
02.108.321 PEDIATRIC LCP(TM) HIP PLATE 5.0MM 110 EA $940.67 $559.86 $536.80 $533.41 $484.37 ;
02.108.321S PEDIATRIC LCP(TM) HIP PL 5.0 110-SILE EA $1,035.42 $609.46 $584.30 $580.56 $526.60 ;
02.108.323 PEDIATRIC LCP(TM) HIP PLATE 5.0MM 120 EA $940.67 $559.86 $536.80 $533.57 $484.37 ;
02.108.323S PEDIATRIC LCP(TM) HIP PL 5.0 120-SILE EA $1,035.42 $609.46 $584.30 $580.75 $526.60 ;
02.108.325 PEDIATRIC LCP(TM) HIP PLATE 5.0MM 150 EA $940.67 $559.86 $536.80 $532.96 $484.37 ;
02.108.325S PEDIATRIC LCP(TM) HIP PL 5.0 150-SILE EA $1,035.42 $609.46 $584.30 $580.07 $526.60 ;
02.108.326 PEDIATRIC LCP HIP PL 5.0/140/3 HOLES EA $940.67 $559.86 $536.80 $533.09 $484.37 ;
02.108.326S PEDIATRIC LCP HIP PL 5.0/140/3 HOLES-S EA $1,035.42 $609.46 $584.30 $580.21 $526.60 ;
02.108.330 PEDIATRIC LCP HIP PL 3.5/130/3 HOLES EA $904.38 $538.16 $515.99 $512.65 $465.58 ;
02.108.330S PEDIATRIC LCP HIP PL 3.5/130/3 HOLES-S EA $994.69 $587.76 $563.52 $559.85 $508.08 ;
02.108.331 PEDIATRIC LCP HIP PL 3.5/130/5 HOLES EA $953.16 $567.30 $543.94 $540.12 $490.81 ;
02.108.331S PEDIATRIC LCP HIP PL 3.5/130/5 HOLES-S EA $1,048.72 $616.90 $591.43 $587.22 $532.97 ;
02.108.332 PEDIATRIC LCP HIP PL 3.5/130/7 HOLES EA $1,001.55 $595.82 $571.28 $567.31 $515.47 ;
02.108.332S PEDIATRIC LCP HIP PL 3.5/130/7 HOLES-S EA $1,101.95 $645.42 $618.75 $614.37 $557.32 ;
02.108.333 PEDIATRIC LCP HIP PL 3.5/130/9 HOLES EA $1,053.16 $626.20 $600.41 $596.28 $541.71 ;
02.108.333S PEDIATRIC LCP HIP PL 3.5/130/9 HOLES-S EA $1,157.99 $675.80 $647.85 $643.30 $583.30 ;
02.108.340 PEDIATRIC LCP HIP PL 5.0/130/3 HOLES EA $940.67 $559.86 $536.80 $534.32 $484.37 ;
02.108.340S PEDIATRIC LCP HIP PL 5.0/130/3 HOLES-S EA $1,035.42 $609.46 $584.30 $581.56 $526.60 ;
02.108.341 PEDIATRIC LCP HIP PL 5.0/130/5 HOLES EA $1,003.97 $597.06 $572.47 $569.69 $516.50 ;
02.108.341S PEDIATRIC LCP HIP PL 5.0/130/5 HOLES-S EA $1,104.36 $646.66 $619.93 $616.88 $558.39 ;
02.108.342 PEDIATRIC LCP HIP PL 5.0/130/7 HOLES EA $1,071.71 $637.36 $611.11 $607.94 $551.36 ;
02.108.342S PEDIATRIC LCP HIP PL 5.0/130/7 HOLES-S EA $1,179.36 $686.96 $658.54 $655.05 $592.81 ;
02.108.343 PEDIATRIC LCP HIP PL 5.0/130/9 HOLES EA $1,134.60 $675.18 $647.37 $644.03 $584.15 ;
02.108.343S PEDIATRIC LCP HIP PL 5.0/130/9 HOLES-S EA $1,249.11 $724.78 $694.77 $691.09 $625.15 ;
02.108.410 PEDIATRIC LCP COND PL 3.5/90/3 HOLES EA $904.38 $538.16 $515.99 $514.41 $465.58 ;
02.108.410S PEDIATRIC LCP COND PL 3.5/90/3 HOLES-S EA $994.69 $587.76 $563.52 $561.24 $508.08 ;
02.108.411 PEDIATRIC LCP COND PL 3.5/90/5 HOLES EA $953.16 $567.30 $543.94 $541.38 $490.81 ;
02.108.411S PEDIATRIC LCP COND PL 3.5/90/5 HOLES-S EA $1,048.72 $616.90 $591.43 $588.60 $532.97 ;
02.108.412 PEDIATRIC LCP COND PL 3.5/90/7 HOLES EA $1,001.55 $595.82 $571.28 $568.49 $515.47 ;
02.108.412S PEDIATRIC LCP COND PL 3.5/90/7 HOLES-S EA $1,101.95 $645.42 $618.75 $615.67 $557.32 ;
02.108.420 PEDIATRIC LCP COND PL 5.0/90/3 HOLES EA $940.67 $559.86 $536.80 $534.50 $484.37 ;
02.108.420S PEDIATRIC LCP COND PL 5.0/90/3 HOLES-S EA $1,035.42 $609.46 $584.30 $581.76 $526.60 ;
02.108.421 PEDIATRIC LCP COND PL 5.0/90/5 HOLES EA $1,003.97 $597.06 $572.47 $569.99 $516.50 ;
02.108.421S PEDIATRIC LCP COND PL 5.0/90/5 HOLES-S EA $1,104.36 $646.66 $619.93 $617.21 $558.39 ;
02.108.422 PEDIATRIC LCP COND PL 5.0/90/7 HOLES EA $1,071.71 $637.36 $611.11 $608.42 $551.36 ;
02.108.422S PEDIATRIC LCP COND PL 5.0/90/7 HOLES-S EA $1,179.36 $686.96 $658.54 $655.04 $592.81 ;
02.110.005 LCP DIA-META VOLAR DSTL RAD PL 5H SFT/RT EA $1,650.63 $1,520.24 $1,441.16 $1,422.38 $1,361.85 ;
02.110.005S LCP DIA-META VOL DSTL RAD PL 5H SFT/RT-S EA $1,814.80 $1,569.84 $1,486.17 $1,465.52 $1,405.53 ;
02.110.007 LCP DIA-META VOLAR DSTL RAD PL 7H SFT/RT EA $1,705.67 $1,571.70 $1,489.96 $1,470.56 $1,407.96 ;
02.110.007S LCP DIA-META VOL DSTL RAD PL 7H SFT/RT-S EA $1,876.90 $1,621.30 $1,534.84 $1,513.49 $1,451.59 ;
02.110.009 LCP DIA-META VOLAR DSTL RAD PL 9H SFT/RT EA $1,731.07 $1,594.64 $1,511.70 $1,492.01 $1,428.51 ;
02.110.009S LCP DIA-META VOL DSTL RAD PL 9H SFT/RT-S EA $1,903.24 $1,644.24 $1,556.56 $1,534.91 $1,472.13 ;
02.110.011 LCP DIA-META VOL DSTL RAD PL 11H SFT/RT EA $1,835.50 $1,691.98 $1,603.99 $1,583.11 $1,515.71 ;
02.110.011S LCP DIA-META VOLAR DRP 11H SFT/RT-S EA $2,019.90 $1,741.58 $1,648.64 $1,625.66 $1,559.25 ;
02.110.013S LCP DIA-META VOLAR DRP 13H SFT/RT-S EA $1,943.22 $1,791.18 $1,698.03 $1,675.92 $1,604.58 ;
02.110.015S LCP DIA-META VOLAR DRP 15H SFT/RT-S EA $1,899.00 $1,749.64 $1,658.64 $1,637.04 $1,567.36 ;
02.110.105 LCP DIA-META VOLAR DSTL RAD PL 5H SFT/LT EA $1,650.63 $1,520.24 $1,441.16 $1,422.38 $1,361.85 ;
02.110.105S LCP DIA-META VOL DSTL RAD PL 5H SFT/LT-S EA $1,814.80 $1,569.84 $1,486.17 $1,465.52 $1,405.53 ;
02.110.107 LCP DIA-META VOLAR DSTL RAD PL 7H SFT/LT EA $1,690.62 $1,557.44 $1,476.43 $1,457.20 $1,395.18 ;
02.110.107S LCP DIA-META VOL DSTL RAD PL 7H SFT/LT-S EA $1,859.96 $1,607.04 $1,521.35 $1,500.19 $1,438.83 ;
02.110.109 LCP DIA-META VOLAR DSTL RAD PL 9H SFT/LT EA $1,731.07 $1,594.64 $1,511.70 $1,492.01 $1,428.51 ;
02.110.109S LCP DIA-META VOL DSTL RAD PL 9H SFT/LT-S EA $1,903.24 $1,644.24 $1,556.56 $1,534.91 $1,472.13 ;
02.110.111 LCP DIA-META VOL DSTL RAD PL 11H SFT/LT EA $1,835.50 $1,691.98 $1,603.99 $1,583.11 $1,515.71 ;
02.110.111S LCP DIA-META VOLAR DRP 11H SFT/LT-S EA $2,019.90 $1,741.58 $1,648.64 $1,625.66 $1,559.25 ;
02.110.113S LCP DIA-META VOLAR DRP 13H SFT/LT-S EA $1,943.22 $1,791.18 $1,698.03 $1,675.92 $1,604.58 ;
02.110.115S LCP DIA-META VOLAR DRP 15H SFT/LT-S EA $1,899.00 $1,749.64 $1,658.64 $1,637.04 $1,567.36 ;
02.110.150 LCP WRIST FUSION STANDARD BEND PLATE EA $1,805.93 $1,637.42 $1,575.01 $1,565.38 $1,464.58 ;
02.110.150S LCP WRIST FUSION STANDARD BEND PL-SILE EA $1,985.76 $1,687.02 $1,622.06 $1,611.10 $1,507.95 ;
02.110.151 LCP WRIST FUSION SHORT BEND PLATE EA $1,805.93 $1,637.42 $1,575.01 $1,565.24 $1,464.58 ;
02.110.151S LCP WRIST FUSION SHORT BEND PL-STERILE EA $1,985.76 $1,687.02 $1,622.06 $1,611.17 $1,507.95 ;
02.110.152 LCP WRIST FUSION STRAIGHT PLATE EA $1,805.93 $1,637.42 $1,575.01 $1,565.31 $1,464.58 ;
02.110.152S LCP WRIST FUSION STRAIGHT PLATE-STERILE EA $1,985.76 $1,687.02 $1,622.06 $1,611.24 $1,507.95 ;
02.110.201 VA-LCP VOLAR DSTL RAD PL 5H HD/3H SFT/RT EA $816.06 $730.36 $682.48 $658.54 $634.60 ;
02.110.202 VA-LCP VOLAR DSTL RAD PL 5H HD/5H SFT/RT EA $816.06 $730.36 $682.48 $658.54 $634.60 ;
02.110.203 VA-LCP VOLAR DSTL RAD PL 5H HD/3H SFT/LT EA $816.06 $730.36 $682.48 $658.54 $634.60 ;
02.110.204 VA-LCP VOLAR DSTL RAD PL 5H HD/5H SFT/LT EA $816.06 $730.36 $682.48 $658.54 $634.60 ;
02.110.205 VA-LCP VOLAR DSTL RAD PL 4H HD/3H SFT/RT EA $816.06 $730.36 $682.48 $658.54 $634.60 ;
02.110.206 VA-LCP VOLAR DSTL RAD PL 4H HD/5H SFT/RT EA $816.06 $730.36 $682.48 $658.54 $634.60 ;
02.110.207 VA-LCP VOLAR DSTL RAD PL 4H HD/3H SFT/LT EA $816.06 $730.36 $682.48 $658.54 $634.60 ;
02.110.208 VA-LCP VOLAR DSTL RAD PL 4H HD/5H SFT/LT EA $816.06 $730.36 $682.48 $658.54 $634.60 ;
02.110.300 1.8 KIRSH WIRE WITH TRCAR POINT 150-10PK PK $83.46 $79.98 $76.96 $78.92 $71.57 ;
02.110.330 LCP VOL COLM DSTL RAD PL 9H HD/3H SFT/RT EA $832.20 $817.78 $786.98 $783.81 $732.01 ;
02.110.331 LCP VOL COLM DSTL RAD PL 9H HD/3H SFT/LT EA $832.20 $817.78 $786.98 $784.04 $732.01 ;
02.110.340 LCP VOL COLM DSTL RAD PL 9H HD/4H SFT/RT EA $858.01 $843.20 $811.44 $808.10 $754.77 ;
02.110.341 LCP VOL COLM DSTL RAD PL 9H HD/4H SFT/LT EA $858.01 $843.20 $811.44 $808.33 $754.77 ;
02.110.350 LCP VOL COLM DSTL RAD PL 9H HD/5H SFT/RT EA $883.41 $868.00 $835.31 $831.66 $776.96 ;
02.110.351 LCP VOL COLM DSTL RAD PL 9H HD/5H SFT/LT EA $883.41 $868.00 $835.31 $831.88 $776.96 ;
02.110.430 LCP VOL COLM DSTL RAD PL 8H HD/3H SFT/RT EA $832.20 $817.78 $786.98 $783.67 $732.01 ;
02.110.431 LCP VOL COLM DSTL RAD PL 8H HD/3H SFT/LT EA $832.20 $817.78 $786.98 $783.89 $732.01 ;
02.110.440 LCP VOL COLM DSTL RAD PL 8H HD/4H SFT/RT EA $858.01 $843.20 $811.44 $808.03 $754.77 ;
02.110.441 LCP VOL COLM DSTL RAD PL 8H HD/4H SFT/LT EA $858.01 $843.20 $811.44 $808.26 $754.77 ;
02.110.450 LCP VOL COLM DSTL RAD PL 8H HD/5H SFT/RT EA $883.41 $868.00 $835.31 $831.73 $776.96 ;
02.110.451 LCP VOL COLM DSTL RAD PL 8H HD/5H SFT/LT EA $883.41 $868.00 $835.31 $831.96 $776.96 ;
02.110.730 LCP VOL COLM DSTL RAD PL 6H HD/3H SFT/RT EA $832.20 $817.78 $786.98 $783.81 $732.01 ;
02.110.730S LCP VOLAR COLM DRP 6H HD/3H SFT/RT-S EA $915.26 $867.38 $834.54 $831.05 $776.15 ;
02.110.731 LCP VOL COLM DSTL RAD PL 6H HD/3H SFT/LT EA $832.20 $817.78 $786.98 $783.81 $732.01 ;
02.110.731S LCP VOLAR COLM DRP 6H HD/3H SFT/LT-S EA $915.26 $867.38 $834.54 $831.05 $776.15 ;
02.110.740 LCP VOL COLM DSTL RAD PL 6H HD/4H SFT/RT EA $858.01 $843.20 $811.44 $806.06 $754.77 ;
02.110.740S LCP VOLAR COLM DRP 6H HD/4H SFT/RT-S EA $943.89 $892.80 $858.99 $854.22 $798.88 ;
02.110.741 LCP VOL COLM DSTL RAD PL 6H HD/4H SFT/LT EA $858.01 $843.20 $811.44 $807.40 $754.77 ;
02.110.741S LCP VOLAR COLM DRP 6H HD/4H SFT/LT-S EA $943.89 $892.80 $858.99 $854.22 $798.88 ;
02.110.750 LCP VOL COLM DSTL RAD PL 6H HD/5H SFT/RT EA $883.41 $868.00 $835.31 $831.10 $776.96 ;
02.110.750S LCP VOLAR COLM DRP 6H HD/5H SFT/RT-S EA $972.12 $917.60 $882.84 $877.88 $821.06 ;
02.110.751 LCP VOL COLM DSTL RAD PL 6H HD/5H SFT/LT EA $883.41 $868.00 $835.31 $831.10 $776.96 ;
02.110.751S LCP VOLAR COLM DRP 6H HD/5H SFT/LT-S EA $972.12 $917.60 $882.84 $877.88 $821.06 ;
02.110.830 LCP VOL COLM DSTL RAD PL 7H HD/3H SFT/RT EA $832.20 $817.78 $786.98 $783.11 $732.01 ;
02.110.830S LCP VOLAR COLM DRP 7H HD/3H SFT/RT-S EA $915.26 $867.38 $834.54 $829.96 $776.15 ;
02.110.831 LCP VOL COLM DSTL RAD PL 7H HD/3H SFT/LT EA $832.20 $817.78 $786.98 $783.11 $732.01 ;
02.110.831S LCP VOLAR COLM DRP 7H HD/3H SFT/LT-S EA $915.26 $867.38 $834.54 $829.96 $776.15 ;
02.110.840 LCP VOL COLM DSTL RAD PL 7H HD/4H SFT/RT EA $858.01 $843.20 $811.44 $807.40 $754.77 ;
02.110.840S LCP VOLAR COLM DRP 7H HD/4H SFT/RT-S EA $943.89 $892.80 $858.99 $854.22 $798.88 ;
02.110.841 LCP VOL COLM DSTL RAD PL 7H HD/4H SFT/LT EA $858.01 $843.20 $811.44 $807.40 $754.77 ;
02.110.841S LCP VOLAR COLM DRP 7H HD/4H SFT/LT-S EA $943.89 $892.80 $858.99 $854.22 $798.88 ;
02.110.850 LCP VOL COLM DSTL RAD PL 7H HD/5H SFT/RT EA $883.41 $868.00 $835.31 $831.10 $776.96 ;
02.110.850S LCP VOLAR COLM DRP 7H HD/5H SFT/RT-S EA $972.12 $917.60 $882.84 $877.90 $821.06 ;
02.110.851 LCP VOL COLM DSTL RAD PL 7H HD/5H SFT/LT EA $883.41 $868.00 $835.31 $831.12 $776.96 ;
02.110.851S LCP VOLAR COLM DRP 7H HD/5H SFT/LT-S EA $972.12 $917.60 $882.84 $877.90 $821.06 ;
02.111.001 TREPHINE GUIDE WIRE STP 3.2 DIA/1.6 TIP EA $114.91 $63.24 $60.59 $61.50 $54.18 ;
02.111.150 6.5MM MIDFOOT FUSION BOLT 50MM EA $560.85 $536.92 $516.62 $514.41 $480.49 ;
02.111.150S 6.5MM MIDFOOT FUSION BOLT 50MM-STERILE EA $619.72 $586.52 $564.31 $561.87 $524.82 ;
02.111.155 6.5MM MIDFOOT FUSION BOLT 55MM EA $560.85 $536.92 $516.62 $514.41 $480.49 ;
02.111.155S 6.5MM MIDFOOT FUSION BOLT 55MM-STERILE EA $619.72 $586.52 $564.31 $561.87 $524.82 ;
02.111.160 6.5MM MIDFOOT FUSION BOLT 60MM EA $560.85 $536.92 $516.62 $514.41 $480.49 ;
02.111.160S 6.5MM MIDFOOT FUSION BOLT 60MM-STERILE EA $619.72 $586.52 $564.31 $561.87 $524.82 ;
02.111.165 6.5MM MIDFOOT FUSION BOLT 65MM EA $560.85 $536.92 $516.62 $514.41 $480.49 ;
02.111.165S 6.5MM MIDFOOT FUSION BOLT 65MM-STERILE EA $619.72 $586.52 $564.31 $561.87 $524.82 ;
02.111.170 6.5MM MIDFOOT FUSION BOLT 70MM EA $560.85 $536.92 $516.62 $514.41 $480.49 ;
02.111.170S 6.5MM MIDFOOT FUSION BOLT 70MM-STERILE EA $619.72 $586.52 $564.31 $561.87 $524.82 ;
02.111.175 6.5MM MIDFOOT FUSION BOLT 75MM EA $560.85 $536.92 $516.62 $514.44 $480.49 ;
02.111.175S 6.5MM MIDFOOT FUSION BOLT 75MM-STERILE EA $619.72 $586.52 $564.31 $561.91 $524.82 ;
02.111.180 6.5MM MIDFOOT FUSION BOLT 80MM EA $560.85 $536.92 $516.62 $514.44 $480.49 ;
02.111.180S 6.5MM MIDFOOT FUSION BOLT 80MM-STERILE EA $619.72 $586.52 $564.31 $561.91 $524.82 ;
02.111.185 6.5MM MIDFOOT FUSION BOLT 85MM EA $560.85 $536.92 $516.62 $514.44 $480.49 ;
02.111.185S 6.5MM MIDFOOT FUSION BOLT 85MM-STERILE EA $619.72 $586.52 $564.31 $561.91 $524.82 ;
02.111.190 6.5MM MIDFOOT FUSION BOLT 90MM EA $569.72 $545.60 $524.98 $522.74 $488.26 ;
02.111.190S 6.5MM MIDFOOT FUSION BOLT 90MM-STERILE EA $629.40 $595.20 $572.65 $570.19 $532.59 ;
02.111.195 6.5MM MIDFOOT FUSION BOLT 95MM EA $569.72 $545.60 $524.98 $522.74 $488.26 ;
02.111.195S 6.5MM MIDFOOT FUSION BOLT 95MM-STERILE EA $629.40 $595.20 $572.65 $570.19 $532.59 ;
02.111.200 6.5MM MIDFOOT FUSION BOLT 100MM EA $569.72 $545.60 $524.98 $522.74 $488.26 ;
02.111.200S 6.5MM MIDFOOT FUSION BOLT 100MM-STERILE EA $629.40 $595.20 $572.65 $570.19 $532.59 ;
02.111.205 6.5MM MIDFOOT FUSION BOLT 105MM EA $569.72 $545.60 $524.98 $522.74 $488.26 ;
02.111.205S 6.5MM MIDFOOT FUSION BOLT 105MM-STERILE EA $629.40 $595.20 $572.65 $570.19 $532.59 ;
02.111.210 6.5MM MIDFOOT FUSION BOLT 110MM EA $569.72 $545.60 $524.98 $522.74 $488.26 ;
02.111.210S 6.5MM MIDFOOT FUSION BOLT 110MM-STERILE EA $629.40 $595.20 $572.65 $570.19 $532.59 ;
02.111.215 6.5MM MIDFOOT FUSION BOLT 115MM EA $569.72 $545.60 $524.98 $524.07 $488.26 ;
02.111.215S 6.5MM MIDFOOT FUSION BOLT 115MM-STERILE EA $629.40 $595.20 $572.65 $571.63 $532.59 ;
02.111.220 6.5MM MIDFOOT FUSION BOLT 120MM EA $569.72 $545.60 $524.98 $524.07 $488.26 ;
02.111.220S 6.5MM MIDFOOT FUSION BOLT 120MM-STERILE EA $629.40 $595.20 $572.65 $571.63 $532.59 ;
02.111.225 6.5MM MIDFOOT FUSION BOLT 125MM EA $580.61 $556.76 $535.71 $531.91 $498.26 ;
02.111.225S 6.5MM MIDFOOT FUSION BOLT 125MM-STERILE EA $642.30 $606.36 $583.39 $579.38 $542.56 ;
02.111.230 6.5MM MIDFOOT FUSION BOLT 130MM EA $580.61 $556.76 $535.71 $532.04 $498.26 ;
02.111.230S 6.5MM MIDFOOT FUSION BOLT 130MM-STERILE EA $642.30 $606.36 $583.39 $579.80 $542.56 ;
02.111.235 6.5MM MIDFOOT FUSION BOLT 135MM EA $580.61 $556.76 $535.71 $531.95 $498.26 ;
02.111.235S 6.5MM MIDFOOT FUSION BOLT 135MM-STERILE EA $642.30 $606.36 $583.39 $579.56 $542.56 ;
02.111.240 6.5MM MIDFOOT FUSION BOLT 140MM EA $580.61 $556.76 $535.71 $534.02 $498.26 ;
02.111.240S 6.5MM MIDFOOT FUSION BOLT 140MM-STERILE EA $642.30 $606.36 $583.39 $581.51 $542.56 ;
02.111.245 6.5MM MIDFOOT FUSION BOLT 145MM EA $580.61 $556.76 $535.71 $534.02 $498.26 ;
02.111.245S 6.5MM MIDFOOT FUSION BOLT 145MM-STERILE EA $642.30 $606.36 $583.39 $581.51 $542.56 ;
02.111.250 6.5MM MIDFOOT FUSION BOLT 150MM EA $580.61 $556.76 $535.71 $534.08 $498.26 ;
02.111.250S 6.5MM MIDFOOT FUSION BOLT 150MM-STERILE EA $642.30 $606.36 $583.39 $583.75 $542.56 ;
02.111.255 6.5MM MIDFOOT FUSION BOLT 155MM EA $580.61 $556.76 $535.71 $534.31 $498.26 ;
02.111.255S 6.5MM MIDFOOT FUSION BOLT 155MM-STERILE EA $642.30 $606.36 $583.39 $581.35 $542.56 ;
02.111.260 6.5MM MIDFOOT FUSION BOLT 160MM EA $580.61 $556.76 $535.71 $536.48 $498.26 ;
02.111.260S 6.5MM MIDFOOT FUSION BOLT 160MM-STERILE EA $642.30 $606.36 $583.39 $581.58 $542.56 ;
02.111.300 2.4 VAL INTERCARPAL FUSION PL/6 HOLE/15 EA $1,079.37 $936.20 $900.27 $895.45 $837.00 ;
02.111.300S 2.4 VAL INTERCARPAL FUSN PL/6 HOLE/15-S EA $1,187.42 $985.80 $947.70 $942.40 $880.94 ;
02.111.301 2.4 VAL INTERCARPAL FUSION PL/7 HOLE/17 EA $1,079.37 $936.20 $900.27 $895.45 $837.00 ;
02.111.301S 2.4 VAL INTERCARPAL FUSN PL/7 HOLE/17 -S EA $1,187.42 $985.80 $947.70 $942.40 $880.94 ;
02.111.304.01 1.25 KIRSCHNER WIRE WITH TROCAR TIP/80 EA $18.95 $17.98 $17.29 $19.60 $16.09 ;
02.111.304.10 1.25 KIRSH WIRE WITH TROCAR TIP/80-10PK PK $95.16 $90.52 $87.09 $89.14 $81.00 ;
02.111.500.01S 1.25 PL RED WIRE THRDD TIP SM STOP/150-S EA $60.19 $34.41 $31.53 $27.99 $26.22 ;
02.111.500.10 1.25 PL RD WR THRDD TIP SM STP/150-10PK PK $227.27 $168.02 $155.93 $142.59 $135.92 ;
02.111.501.01S 1.25 PL RED WIRE/THRD TIP LRG STOP/150-S EA $29.55 $26.43 $24.69 $23.82 $22.95 ;
02.111.501.10 1.25 PL RD WR THRD TIP LRG STP/150-10PK PK $146.28 $130.88 $122.28 $117.98 $113.68 ;
02.111.520 2.4 VA 2-COL DRP NRW 6H HD/2H SFT/RT EA $736.90 $659.50 $616.26 $594.64 $573.02 ;
02.111.520S 2.4 VA 2-COL DRP NRW 6H HD/2H SFT/RT-S EA $810.59 $725.46 $677.90 $654.12 $630.34 ;
02.111.521 2.4 VA 2-COL DRP NRW 6H HD/2H SFT/LT EA $736.90 $659.50 $616.26 $594.64 $573.02 ;
02.111.521S 2.4 VA 2-COL DRP NRW 6H HD/2H SFT/LT-S EA $810.59 $725.46 $677.90 $654.12 $630.34 ;
02.111.530 2.4 VA 2-COL DRP NRW 6H HD/3H SFT/RT EA $757.69 $678.11 $633.65 $611.42 </t>
  </si>
  <si>
    <t>001030242~00098911.002</t>
  </si>
  <si>
    <t>Amendment To Letter Of Participation-Local Market</t>
  </si>
  <si>
    <t>Amendment to Letter of Participation</t>
  </si>
  <si>
    <t>LOP-LM Amend sl v1 01-29-2025</t>
  </si>
  <si>
    <t>001030242~00098911.003</t>
  </si>
  <si>
    <t>00003893 Children’s Hospital and Research Center
UCSF Medical Center (01018666) 
00003871 Mount Zion Hospital &amp; Medical Center
00013930 UCSF Medical Center
01329321 UCSF Mission Bay
00003872 UCSF Health Saint Mary’s Medical Center
00006910 UCSF Health Saint Francis Hospital
01553974 UCSF Health Bayfront Medical Building
UCLA Healthcare (01305718) 
00005715 Ronald Reagan UCLA Medical Center
00006856 Santa Monica UCLA Medical
00007121 UCLA West Valley Medical Center (f/k/a West Hills Hospital and Medical Center)
00065653 West Hills Surgical Center
00019161 University Of California Davis Medical Center
University of San Diego Medical Center (01030611) 
00005737 UCSD Medical Center
00058200 The Regents Of The University Of California
01541233 UC San Diego East</t>
  </si>
  <si>
    <t>001030242~00098911.004</t>
  </si>
  <si>
    <t xml:space="preserve">                           </t>
  </si>
  <si>
    <t>LOP LM Amend SK V1 27Mar2025</t>
  </si>
  <si>
    <t>001030242~00098911.005</t>
  </si>
  <si>
    <t>LOPLM Amend SK JD v4 20250718.docx</t>
  </si>
  <si>
    <t xml:space="preserve">00003893 Children’s Hospital and Research Center
UCSF Medical Center (01018666) 
00003871 Mount Zion Hospital &amp; Medical Center
00013930 UCSF Medical Center
01329321 UCSF Mission Bay
00003872 UCSF Health Saint Mary’s Medical Center
00006910 UCSF Health Saint Francis Hospital
01553974 UCSF Health Bayfront Medical Building
UCLA Healthcare (01305718) 
00005715 Ronald Reagan UCLA Medical Center
00006856 Santa Monica UCLA Medical
00007121 UCLA West Valley Medical Center (f/k/a West Hills Hospital and Medical Center)
00065653 West Hills Surgical Center
UC Davis Health System (00019161) 
00019161 University Of California Davis Medical Center
01540758 UC Davis Health
University of San Diego Medical Center (01030611) 
00005737 UCSD Medical Center
00058200 The Regents Of The University Of California
01541233 UC San Diego East
01567061 UC SAN DIEGO HEALTH </t>
  </si>
  <si>
    <t>000058200~00112138.001</t>
  </si>
  <si>
    <t>Varipulse™/Oce Rebate Program Agreement # 250876244 R1</t>
  </si>
  <si>
    <t>OCTARAY CATHETERS (I05);
OPTRELL CATHETERS (I05) ;
THERMOCOOL SMARTTOUCH SF CATHETERS (K24 OR K25);
QDOT MICRO CATHETERS (K26 OR K27);
VARIPULSE CATHETERS (K70);
CARTO VIZIGO SHEATHS (P15)</t>
  </si>
  <si>
    <t>Varipulse_OCE_Rebate_RG_20.AUG.2025 (002)</t>
  </si>
  <si>
    <t>58200 UC Health</t>
  </si>
  <si>
    <t>I05 Adv High-Density Dx Mapping Ca D142901 OPTRELL, 36 ELECTRODES, D-F;
I05 Adv High-Density Dx Mapping Ca D142902 OPTRELL, 36 ELECTRODES, F-J;
I05 Adv High-Density Dx Mapping Ca D160901 OCTA,STD,48P,2-2-2-2-2,DCURVE;
I05 Adv High-Density Dx Mapping Ca D160906 OCTA,LNG,48P,3-3-3-3-3,FCURVE;
I05 Adv High-Density Dx Mapping Ca D160903 OCTA,LNG,48P,3-3-3-3-3,DCURVE;
I05 Adv High-Density Dx Mapping Ca D160904 OCTA,STD,48P,2-2-2-2-2,FCURVE;
I05 Adv High-Density Dx Mapping Ca D140901 OPTRELL, 48 ELECTRODES, D-F;
I05 Adv High-Density Dx Mapping Ca D140902 OPTRELL, 48 ELECTRODES, F-J;
I05 Adv High-Density Dx Mapping Ca D160905 OCTA,LNG,48P,2-5-2-5-2,FCURVE;
I05 Adv High-Density Dx Mapping Ca D160902 OCTA,LNG,48P,2-5-2-5-2,DCURVE;
K24 NAV TCOOL SMRTTCH SF Uni-Dir D134701 ThmCl SmTch SF UniD, TC, D;
K24 NAV TCOOL SMRTTCH SF Uni-Dir D134702 ThmCl SmTch SF UniD, TC, F;
K24 NAV TCOOL SMRTTCH SF Uni-Dir D134703 ThmCl SmTch SF UniD, TC, J;
K25 NAV TCOOL SMRTTCH SF Bi-Dir D134804 ThmCl SmTch SF BiD, TC, F-J;
K25 NAV TCOOL SMRTTCH SF Bi-Dir D134802 ThmCl SmTch SF BiD, TC, F-F;
K25 NAV TCOOL SMRTTCH SF Bi-Dir D134803 ThmCl SmTch SF BiD, TC, J-J;
K25 NAV TCOOL SMRTTCH SF Bi-Dir D134801 ThmCl SmTch SF BiD, TC, D-D;
K25 NAV TCOOL SMRTTCH SF Bi-Dir D134805 ThmCl SmTch SF BiD, TC, D-F;
K26 QDOT NAV TCOOL SMRTTCH SF;
UniD139401 QDOT MICRO, UNI, TC , D;
K26 QDOT NAV TCOOL SMRTTCH SF;
UniD139403 QDOT MICRO, UNI, TC, J;
K26 QDOT NAV TCOOL SMRTTCH SF;
UniD139402 QDOT MICRO, UNI, TC, F;
K27 QDOT NAV TCOOL SMRTTCH SF BiD;
D139505 QDOT MICRO, BI, TC, D-F;
K27 QDOT NAV TCOOL SMRTTCH SF BiD;
D139504 QDOT MICRO, BI, TC, F-J;
P15 Vizigo Sheath D138503 8.5F Sheath with Curve Viz LgC;
P15 Vizigo Sheath D138502 8.5F Sheath with Curve Viz MdC;
P15 Vizigo Sheath D138501 8.5F Sheath with Curve Viz SmC;</t>
  </si>
  <si>
    <t>Net Purchases does not include sales of Rebate Products that are part of a bundled sale in which part of the purchase price of the Rebate Product is allocated toward the purchase or use of equipment or software</t>
  </si>
  <si>
    <t>Contract Type: Rebate Program Agreement</t>
  </si>
  <si>
    <t>001030242~00104855.001</t>
  </si>
  <si>
    <t>00661642</t>
  </si>
  <si>
    <t>IDN PCL WL 20250522</t>
  </si>
  <si>
    <t>00003871  Mount Zion Hospital &amp; Medical Center;
00013930  UCSF Medical Center;
01329321  UCSF Mission Bay;</t>
  </si>
  <si>
    <t xml:space="preserve">Probes LK15 NEUWAVE LK Probe, 15CM, 17GA $1,924.00;
Probes LK20 NEUWAVE LK Probe, 20CM, 17GA $1,924.00;
Probes LN15 NEUWAVE LN Probe, 15CM, 17GA $1,924.00;
Probes LN20 NEUWAVE LN Probe, 20CM, 17GA $1,924.00;
Probes PR15 NEUWAVE PR Probe, 15CM, 17GA $1,924.00;
Probes PR20 NEUWAVE PR Probe, 20CM, 17GA $1,924.00;
Probes NWSR25 NEUWAVE SR Probe, 25CM, 13GA $1,924.00;
Probes LK15XT NEUWAVE LK XT Probe, 15CM, 15GA TO 17GA, Tapered $1,924.00;
Probes LK20XT NEUWAVE LK XT Probe, 20CM. 15GA TO 17GA, Tapered $1,924.00;
Probes PR15XT NEUWAVE PR XT Probe, 15CM, 15GA TO 17GA, Tapered $1,924.00;
Probes PR20XT NEUWAVE PR XT Probe, 20CM, 15GA TO 17GA, Tapered $1,924.00;
Probes PRS15NEUWAVE Open Surgical PR Probe, 15CM, 15GA to 17GA, Tapered (2.9M Cable) $2,027.00;
Accessories RCPK NeuWave System PTC Clip, 5 pack $195.00;
</t>
  </si>
  <si>
    <t>Schedule A shows the pricing (including any discounts) available to the Customer and Participants for Johnson &amp; Johnson Health Care Systems Inc. (the “Company”) for the products listed on the schedule below (the “Products”). This pricing becomes effective as of May 23, 2025 (the “Effective Date. These are the only time of sale discounts available on the Products and they supersede all other time of sale discount arrangements. The Customer’s or a Participant’s submission of an order at the offered pricing constitutes acceptance of the terms of this agreement.</t>
  </si>
  <si>
    <t>001030242~00094318.001</t>
  </si>
  <si>
    <t>Participation Agreement</t>
  </si>
  <si>
    <t>Constitutional corporation in the State or Commonwealth of California</t>
  </si>
  <si>
    <t>IDN_EPTIP_BWI_22090824_9-15-2022</t>
  </si>
  <si>
    <t xml:space="preserve">13930 UCSF Medical Center;
1329321 UCSF Mission Bay;
5715 Ronald Reagan UCLA Medical Center;
5737 UCSD Medical Center;
5751 UCI Medical Center;
58200 The Regents of the University of CA;
5736 UCSD Medical Center;
</t>
  </si>
  <si>
    <t>Platinum Market Value</t>
  </si>
  <si>
    <t>Category I - Fixed Curve 0.0035 ozt .0035 x $1000 = $ 3.50;
Category II - Steerable 0.0045 ozt .0045 x $1000 = $ 4.50;
Category III - Ablation 0.0040 ozt .0040 x $1000 = $ 4.00;
Category IV - Specialty 0.0050 ozt .0050 x $1000 = $ 5.00;
Category V – N/A N/A N/A;
Category VI - Vizigo 0.0020 ozt .0020 x $1000 = $ 2.00;</t>
  </si>
  <si>
    <t xml:space="preserve">The information provided in the table above is an example only. Platinum payment may not represent actual platinum values at time
of processing. </t>
  </si>
  <si>
    <t>No Parent MSA, ContractID, and End Date is explicitly stated</t>
  </si>
  <si>
    <t>001030242~00094318.002</t>
  </si>
  <si>
    <t>Amendment #1 To Sterilmed Ep Platinum Tip Recycling Program Participation Agreement</t>
  </si>
  <si>
    <t>Amendment to Participation Agreement</t>
  </si>
  <si>
    <t>IDN_EPTIP_BWI_22090824-A01_1-22-2024</t>
  </si>
  <si>
    <t>The information provided in the table above is an example only. Platinum payment may not represent actual platinum values at time
of processing; Payments will be processed quarterly at the end of each calendar quarter and
paid to the Customer within ninety (90) days of the end of each calendar quarter.</t>
  </si>
  <si>
    <t>\GS Commercial Contracting\HPE\908137.PDF</t>
  </si>
  <si>
    <t>00058200;
00005715;
00005737;
00005751;
00006856;
00010004;
00019161;</t>
  </si>
  <si>
    <t>00058200; 
00005715; 
00005737; 
00005751; 
00006856; 
00010004; 
00019161;</t>
  </si>
  <si>
    <t>Fibergraft v3 JJS 20191220.docx</t>
  </si>
  <si>
    <t>00058200 THE REGENTS OF THE UNIVERSITY OF CALIFORNIA;
00005715 RONALD REAGAN UCLA MEDICAL CENTER;
00005737 UCSD MEDICAL CENTER;
00005751 UCI MEDICAL CENTER;
00006856 SANTA MONICA UCLA MEDICAL CENTER;
00010004 UNIVERSITY OF CALIFORNIA SAN DIEGO;
00019161 UNIVERSITY OF CALIFORNIA DAVIS MEDICAL CENTER;</t>
  </si>
  <si>
    <t xml:space="preserve">DEP Biologics Disposable 61000100 100mm Cannula EA $200.00 
DEP Biologics Disposable 61000200 200mm Cannula EA $200.00
DEP Biologics Disposable 62000200 GPS Pusher EA $250.00
DEP Fibergraft 46000020 2cc FIBERGRAFT Morsels EA $440.00
DEP Fibergraft 46000050 6cc FIBERGRAFT Morsels EA $1,225.00 
DEP Fibergraft 46000100 11cc FIBERGRAFT Morsels EA $2,075.00 
DEP Fibergraft 47000010 1cc FIBERGRAFT Putty EA $240.00 
DEP Fibergraft 47000020 2cc FIBERGRAFT Putty EA $480.00
DEP Fibergraft 47000040 4cc FIBERGRAFT Putty EA $960.00
DEP Fibergraft 47000060 6cc FIBERGRAFT Putty EA $1,440.00
DEP Fibergraft 47000110 11cc FIBERGRAFT Putty EA $2,400.00 
DEP Fibergraft 48000040 4cc FIBERGRAFT GPS Putty EA $1,040.00 
DEP Fibergraft 48000060 6cc FIBERGRAFT GPS Putty EA $1,560.00 
DEP Fibergraft 48000110 11cc FIBERGRAFT GPS Putty EA $2,500.00
DEP Fibergraft 55000030 3cc FIBERGRAFT BG Matrix EA $800.00
DEP Fibergraft 55000063 6.25cc FIBERGRAFT BG Matrix EA $1,650.00
DEP Fibergraft 55000125 12.5cc FIBERGRAFT BG Matrix EA $2,800.00 
DEP Fibergraft 55000200 20cc FIBERGRAFT BG Matrix EA $4,100.00 
</t>
  </si>
  <si>
    <t>The component pricing is firm for the term of this agreement.</t>
  </si>
  <si>
    <t>Duplicate fle from https://jnj.sharepoint.com/teams/ContractIQ/Shared Documents/General/2025/Contracts in Scope/THE_REGENTS_OF_THE_UNIVERSITY_OF_CALIFORNIA/</t>
  </si>
  <si>
    <t>Duplicate</t>
  </si>
  <si>
    <t>\GS Commercial Contracting\HPE\912925.PDF</t>
  </si>
  <si>
    <t>Fibergraft JJS v2 20200714.docx</t>
  </si>
  <si>
    <t xml:space="preserve">DEP Biologics Disposable 61000100 100mm Cannula EA $200.00 
DEP Biologics Disposable 61000200 200mm Cannula EA $200.00
DEP Biologics Disposable 62000200 GPS Pusher EA $250.00
DEP Fibergraft 46000020 2cc FIBERGRAFT Morsels EA $440.00
DEP Fibergraft 46000050 6cc FIBERGRAFT Morsels EA $1,225.00 
DEP Fibergraft 46000100 11cc FIBERGRAFT Morsels EA $2,075.00 
DEP Fibergraft 47000010 1cc FIBERGRAFT Putty EA $240.00 
DEP Fibergraft 47000020 2cc FIBERGRAFT Putty EA $480.00
DEP Fibergraft 47000040 4cc FIBERGRAFT Putty EA $960.00
DEP Fibergraft 47000060 6cc FIBERGRAFT Putty EA $1,440.00
DEP Fibergraft 47000110 11cc FIBERGRAFT Putty EA $2,400.00 
DEP Fibergraft 48000040 4cc FIBERGRAFT GPS Putty EA $1,040.00 
DEP Fibergraft 48000060 6cc FIBERGRAFT GPS Putty EA $1,560.00 
DEP Fibergraft 48000110 11cc FIBERGRAFT GPS Putty EA $2,500.00
DEP Fibergraft 55000030 3cc FIBERGRAFT BG Matrix EA $800.00
DEP Fibergraft 55000063 6.25cc FIBERGRAFT BG Matrix EA $1,650.00
DEP Fibergraft 55000125 12.5cc FIBERGRAFT BG Matrix EA $2,800.00 
DEP Fibergraft 55000200 20cc FIBERGRAFT BG Matrix EA $4,100.00 
(03) CHRONOS SPINE PREFORMS  710.038.99S  SYNTHETIC VERTEFILL(TM) CHRONOS(TM) 15MM DIA-STERILE  EA  $1,362.00 
(03) CHRONOS SPINE PREFORMS  710.039.99S  SYNTHETIC VERTEFILL(TM) CHRONOS(TM) 17MM DIA-STERILE  EA  $1,362.00 
(03) CHRONOS SPINE PREFORMS  710.937.99S  CHRONOS(TM) SMALL CYLINDER-CP SIZE 11-STERILE  EA  $349.00 
(03) CHRONOS SPINE PREFORMS  710.936.99S  CHRONOS(TM) SMALL CYLINDER-CP SIZE 10-STERILE  EA  $349.00 
(03) CHRONOS SPINE PREFORMS  710.935.99S  CHRONOS(TM) SMALL CYLINDER-CP SIZE 9-STERILE  EA  $349.00 
(03) CHRONOS SPINE PREFORMS  710.934.99S  CHRONOS(TM) SMALL CYLINDER-CP SIZE 8-STERILE  EA  $349.00 
(03) CHRONOS SPINE PREFORMS  710.933.99S  CHRONOS(TM) SMALL CYLINDER-CP SIZE 7-STERILE  EA  $349.00 
(03) CHRONOS SPINE PREFORMS  710.932.99S  CHRONOS(TM) SMALL CYLINDER-CP SIZE 6-STERILE  EA  $349.00 
(03) CHRONOS SPINE PREFORMS  710.931.99S  CHRONOS(TM) SMALL CYLINDER-CP SIZE 5-STERILE  EA  $349.00 
(03) CHRONOS SPINE PREFORMS  710.928.99S  CHRONOS(TM) SMALL CYLINDER-L SIZE 12-STERILE  EA  $349.00 
(03) CHRONOS SPINE PREFORMS  710.927.99S  CHRONOS(TM) SMALL CYLINDER-L SIZE 11-STERILE  EA  $349.00 
(03) CHRONOS SPINE PREFORMS  710.926.99S  CHRONOS(TM) SMALL CYLINDER-L SIZE 10-STERILE  EA  $349.00 
(03) CHRONOS SPINE PREFORMS  710.925.99S  CHRONOS(TM) SMALL CYLINDER-L SIZE 9-STERILE  EA  $349.00 
(03) CHRONOS SPINE PREFORMS  710.924.99S  CHRONOS(TM) SMALL CYLINDER-L SIZE 8-STERILE  EA  $349.00 
(03) CHRONOS SPINE PREFORMS  710.923.99S  CHRONOS(TM) SMALL CYLINDER-L SIZE 7-STERILE  EA  $349.00 
(03) CHRONOS SPINE PREFORMS  710.922.99S  CHRONOS(TM) SMALL CYLINDER-L SIZE 6-STERILE  EA  $349.00 
(03) CHRONOS SPINE PREFORMS  710.921.99S  CHRONOS(TM) SMALL CYLINDER-L SIZE 5-STERILE  EA  $349.00 
(03) CHRONOS SPINE PREFORMS  710.938.99S  CHRONOS(TM) SMALL CYLINDER-CP SIZE 12-STERILE  EA  $349.00 
(04) CHRONOS GRANULES  710.002.99S  CHRONOS(TM) GRANULES-SMALL 0.7-1.4MM/1CC-STERILE  EA  $105.00 
(04) CHRONOS GRANULES  710.027.99S  CHRONOS(TM) GRANULES-LARGE 2.8-5.6MM/20CC-STERILE  EA  $898.00 
(04) CHRONOS GRANULES  710.014.99S  CHRONOS(TM) GRANULES-MEDIUM 1.4-2.8MM/5CC-STERILE  EA  $326.00 
(04) CHRONOS GRANULES  710.019.99S  CHRONOS(TM) GRANULES-MEDIUM 1.4-2.8MM/10CC-STERILE  EA  $629.00 
(04) CHRONOS GRANULES  710.021.99S  CHRONOS(TM) GRANULES-MEDIUM 1.4-2.8MM/20CC-STERILE  EA  $898.00 
(04) CHRONOS GRANULES  710.025.99S  CHRONOS(TM) GRANULES-LARGE 2.8-5.6MM/5CC-STERILE  EA  $326.00 
(04) CHRONOS GRANULES  710.026.99S  CHRONOS(TM) GRANULES-LARGE 2.8-5.6MM/10CC-STERILE  EA  $629.00 
(06) BMA KIT  710.150.99S  BONE MARROW ASPIRATION 11GAUGE 15CM NEEDLE W/DISTAL HOLE-STER  EA  $98.00 
(06) BMA KIT  710.151.99S  BONE MARROW ASPIRATION 11GAUGE 15CM NEEDLE W/SIDE HOLES-STER  EA  $98.00 
(06) BMA KIT  710.111.99S  BONE MARROW ASPIRATION 11GAUGE 11CM NEEDLE W/SIDE HOLES-STER  EA  $98.00 
(08) CHRONOS STRIP  07.801.111.99S  CHRONOS(TM) BETA-TCP STRIP 100MM X 25MM X 6MM-STERILE  EA  $1,642.00 
(08) CHRONOS STRIP  07.801.200.99S  CHRONOS BETA-TCP STRIP MX TWO STRIPS 47MMX18MMX3MM-STER  EA  $714.00 
(08) CHRONOS STRIP  07.801.100.99S  CHRONOS(TM) BETA-TCP STRIP 50MM X 25MM X 3MM-STERILE  EA  $548.00 
(08) CHRONOS STRIP  07.801.110.99S  CHRONOS(TM) BETA-TCP STRIP 50MM X 25MM X 6MM-STERILE  EA  $962.00 
(08) CHRONOS STRIP  07.801.101.99S  CHRONOS(TM) BETA-TCP STRIP 100MM X 25MM X 3MM-STERILE  EA  $962.00 
ASPIRATOR NEEDLE  276124002  ASPIRATOR NEEDLE 3 HOLE 4 "  EA  $203.00 
ASPIRATOR NEEDLE  276124001  ASPIRATOR NEEDLE 1 HOLE 4 "  EA  $178.00 
ASPIRATOR NEEDLE  276123201  ASPIRATOR KIT 3-HOLE 6" NDLE  EA  $231.00 
ASPIRATOR NEEDLE  276123001  ASPIRATOR KIT 3-HOLE 4" NDLE  EA  $231.00 
ASPIRATOR NEEDLE  276121001  ASPIRATOR KIT 1-HOLE 4" NDLE  EA  $203.00 
ASPIRATOR NEEDLE  276124202  ASPIRATOR 3-HOLE 6" NDLE  EA  $203.00 
</t>
  </si>
  <si>
    <t xml:space="preserve"> Duplicate fle from https://jnj.sharepoint.com/teams/ContractIQ/Shared Documents/General/2025/Contracts in Scope/THE_REGENTS_OF_THE_UNIVERSITY_OF_CALIFORNIA/</t>
  </si>
  <si>
    <t>\GS Commercial Contracting\HPE\916323.PDF</t>
  </si>
  <si>
    <t>00003871;
00003893;
00013930;
01119725;
01329321;</t>
  </si>
  <si>
    <t xml:space="preserve"> 56048 v4 sb 20200629.docx</t>
  </si>
  <si>
    <t>00003871 MOUNT ZION HOSPITAL &amp; MEDICAL CENTER;
00003893 CHILDRENS HOSPITAL AND RESEARCH CENTER ;
00013930 UCSF MEDICAL CENTER ;
01119725 UCSF BENIOFF CHILDREN'S HOSPITAL; 
01329321 UCSF MISSION BAY;</t>
  </si>
  <si>
    <t xml:space="preserve">210024 PANALOK Anchor with #2 ORTHOCORD Suture 1 EA $479.00
210025 PANALOK Anchor with #2 ETHIBOND Suture Green (with CP-2 
needles) 1 EA $462.00
210026 PANALOK Anchor with #2 ETHIBOND Suture White (with CP-2 
needles) 1 EA $462.00
210030 GRYPHON-P PEEK Anchor with Dual Strand #2 ORTHOCORD 
Suture 1 EA $401.00
210031 GRYPHON-P PEEK Anchor with #2 ORTHOCORD Suture 1 EA $393.00
210309 Super Anchor with Threader Tab 5 PK $2,203.00
210310 Rotator Cuff Threader Tab 1 EA $467.00
210393 GII Anchor with ThreaderTab 5 PK $2,045.00
210409 Super Anchor with Threader Tab 1 EA $492.00
210493 GII Anchor with ThreaderTab 1 EA $433.00
210704 LUPINE PANALOK LOOP ARTH #2ETH 1 EA $405.00
210707 LUPINE Loop Plus Anchor with PANACRYL Suture 1 EA $409.00
210708 LUPINE Loop Plus Anchor with #2 ORTHOCORD Suture 1 EA $412.00
210709 LUPINE Loop Plus Anchor with Dual Strand #2 ORTHOCORD 
Suture 1 EA $426.00
210710 LUPINE Loop Plus Anchor with ETHIBOND Suture 1 EA $409.00
210711 LUPINE BR Anchor with #2 ORTHOCORD Suture 1 EA $412.00
210712 LUPINE BR Anchor with Dual Strand #2 ORTHOCORD Suture 1 EA $425.00
210725 PANALOK Anchor with #2 PANACRYL Suture (with CP-2 
needles) 1 EA $462.00
210800 VersaLok Threader Tab *EA 1 EA $440.00
210808 VERSALOK Titanium Anchor (PEEK Sleeve) with #2 
ORTHOCORD Suture 1 EA $474.00
210811 GRYPHON-T BR Anchor with Dual Strand #2 ORTHOCORD 
Suture 1 EA $449.00
210812 GRYPHON-T BR Anchor with #2 ORTHOCORD Suture 1 EA $437.00
210813 GRYPHON-P BR Anchor with Dual Strand #2 ORTHOCORD 
Suture 1 EA $421.00
210814 GRYPHON-P BR Anchor with #2 ORTHOCORD Suture 1 EA $408.00
210818 VERSALOK PEEK Anchor (PEEK Sleeve) with #2 ORTHOCORD 
Suture 1 EA $476.00
210820 GRYPHON PROKNOT BR Anchor 1 EA $491.00
210821 GRYPHON PROKNOT PEEK Anchor 1 EA $469.00
210824 GRYPHON PROKNOT Anchor Slotted Sawtooth Guide 1 EA $1,039.00
210826 GRYPHON PROKNOT Anchor Slotted Fishmouth Guide 1 EA $1,090.00
210835 Knot Manipulator 1 EA $591.00
211035 GRYPHON Anchor Tap 1 EA $1,002.00
211036 GRYPHON Anchor Drill Bit, 2.4mm 1 EA $201.00
211037 GRYPHON Anchor Fishmouth Guide 1 EA $1,057.00
211038 GRYPHON Anchor Obturator 1 EA $164.00
211039 GRYPHON Anchor Sawtooth Guide 1 EA $1,057.00
211041 GRYPHON Anchor Blunt Obturator 1 EA $156.00
211601 GRYPHON Anchor Hard Bone Drill Bit, 2.5mm 1 EA $230.00
212031 Rotator Cuff QUICKANCHOR Suture Anchor with #2 ETHIBOND 
Suture (with CP-2 needles) 1 EA $440.00
212032 Super QUICKANCHOR Suture Anchor with #2 ETHIBOND Suture 
(with CP-2 needles) 1 EA $363.00
212033 Mini QUICKANCHOR Suture Anchor with #2-0 ETHIBOND 
Suture (with V-5 needles) 1 EA $355.00
212034 GII QUICKANCHOR Suture Anchor with #2 ETHIBOND Suture 
(with CP-2 needles) 1 EA $358.00
212035 Mini QUICKANCHOR Suture Anchor with #2-0 ORTHOCORD 
Suture (with V-5 needles) with 2mm Drill Bit 1 EA $365.00
212038 Mini QUICKANCHOR Suture Anchor with #0 ORTHOCORD 
Suture (with OS-2 needles) with 2mm Drill Bit 1 EA $444.00
212041 Micro QUICKANCHOR Suture Anchor with #4-0 ORTHOCORD 
Suture (with C-1 needles) with 1.3mm Drill Bit 1 EA $424.00
212042 Micro QUICKANCHOR Suture Anchor with #4-0 ORTHOCORD 
Suture (with J-1 needles) with 1.3mm Drill Bit 1 EA $424.00
212044 MICROFIX Anchor with #4-0 ORTHOCORD Suture (with J-1 
needles) with Drill Bit 1 EA $455.00
212045 MICROFIX Anchor with #4-0 ORTHOCORD Suture (with C-1 
needles) with Drill Bit 1 EA $455.00
212123 Mini Syringe Inserter 1 EA $586.00
212130 PANALOK RC QUICKANCHOR Suture Anchor with #2 
ETHIBOND Suture Green (with CP-2 needles) 1 EA $477.00
212131 Rotator Cuff QUICKANCHOR Suture Anchor with #2 PANACRYL 
Suture (with CP-2 needles) 1 EA $466.00
212132
PANALOK RC QUICKANCHOR Suture Anchor with DS #2 
ETHIBOND Suture Green/White
(with MO-7 needles)
1 EA $477.00
212133 Mini QUICKANCHOR Suture Anchor with #0 ETHIBOND Suture 
(with OS-2 needles) 1 EA $427.00
212134 GII QUICKANCHOR Suture Anchor with #2 PANACRYL Suture 
(with CP-2 needles) 1 EA $434.00
212135 Super QUICKANCHOR Suture Anchor with #2 PANACRYL 
Suture (with CP-2 needles) 1 EA $450.00
212137 PANALOK RC QUICKANCHOR Suture Anchor with #2 
ORTHOCORD Suture (with CP-2 needles) 1 EA $477.00
212310 Rotator Cuff Easy Anchor with #2 ETHIBOND Suture 1 EA $453.00
212315 Rotator Cuff Easy Anchor with #2 ETHIBOND Suture 5 PK $2,125.00
212450 GII Easy Anchor with #2 ETHIBOND Suture (with CP-2 needles) 1 EA $429.00
212722 BIOKNOTLESS BR Anchor with #2 ORTHOCORD Suture 1 EA $476.00
212723 BIOKNOTLESS BR Anchor with #1 PANACRYL Suture 1 EA $464.00
212724 BIOKNOTLESS Plus Anchor with #1 ETHIBOND Suture 1 EA $462.00
212725 BIOKNOTLESS Plus Anchor with #1 PANACRYL Suture 1 EA $464.00
212726 BIOKNOTLESS Plus Anchor with #2 ORTHOCORD Suture 1 EA $466.00
212730 PANALOK RC QUICKANCHOR Suture Anchor with #2 
PANACRYL Suture (with CP-2 needles) 1 EA $477.00
212732 PANALOK RC QUICKANCHOR Suture Anchor with Dual Strand 
#2 PANACRYL Suture (with MO-7 needles) 1 EA $477.00
212733 PANALOK RC QUICKANCHOR Suture Anchor with Dual Strand 
#2 ORTHOCORD Suture 1 EA $477.00
212734 GII Easy Anchor Pack with #2 PANACRYL Suture (with CP-2 
needles) 5 PK $2,168.00
212738 BIOKNOTLESS RC Anchor with #1 ETHIBOND Suture 1 EA $481.00
212739 BIOKNOTLESS RC Anchor with #1 PANACRYL Suture 1 EA $481.00
212843 Micro QUICKANCHOR Suture Anchor with #3-0 ORTHOCORD 
Suture (with V-4 needles) with 1.3mm Drill Bit 1 EA $355.00
212849 MINILOK Anchor with #0 ORTHOCORD Suture (with OS-2 
needles) with Drill Bit 1 EA $455.00
212850 MINILOK Anchor with #0 ETHIBOND Suture (with OS-2 needles) 
with Drill Bit 1 EA $437.00
212851 MINILOK Anchor with #2-0 ETHIBOND Suture (with V-5 needles) 
with Drill Bit 1 EA $437.00
212852 MINILOK Anchor with #2-0 PANACRYL Suture (with RB-1 
needles) with Drill Bit 1 EA $437.00
212853 MINILOK Anchor with #2-0 ORTHOCORD Suture (with V-5 
needles) with Drill Bit 1 EA $364.00
212854 MINILOK Anchor with #2-0 ORTHOCORD Suture (with RB-1 
needles) with Drill Bit 1 EA $455.00
212855 MICROFIX Anchor with #3-0 ETHIBOND Suture (with V-4 
needles) with Drill Bit 1 EA $430.00
212856 MICROFIX Anchor with #4-0 ETHIBOND Suture (with C-1 
needles) with Drill Bit 1 EA $430.00
212857 MICROFIX Anchor with #4-0 ETHIBOND Suture (with P-3 
needles) with Drill Bit 1 EA $430.00
212859 MICROFIX Anchor with #3-0 ORTHOCORD Suture (with V-4 
needles) with Drill Bit 1 EA $455.00
212865 Micro QUICKANCHOR Suture Anchor with #3-0 ETHIBOND 
Suture (with V-4 needles) with 1.3mm Drill Bit 1 EA $341.00
212866 Micro QUICKANCHOR Suture Anchor with #4-0 ETHIBOND 
Suture (with C-1 needles) with 1.3mm Drill Bit 1 EA $341.00
212867 Micro QUICKANCHOR Suture Anchor with #4-0 ETHIBOND 
Suture (with P-3 needles) with 1.3mm Drill Bit 1 EA $406.00
214008 Atraumatic Soft Tissue Liberator 1 EA $2,380.00
214101 CHIA PERCPASSER® Suture Passer 5 PK $684.00
214103 5.5mm x 55mm Reusable Obturator 1 EA $770.00
214104 Clear Cannula, Threaded, 5.5mm x 55mm 5 PK $158.00
214105 5.5mm x 75mm Reusable Obturator 1 EA $770.00
214106 Clear Cannula, Smooth, 5.5mm x 75mm 5 PK $158.00
214107 Clear Cannula, Smooth, Distal Rib, 5.5mm x 75mm 5 PK $90.00
214108 Clear Cannula, Threaded, 5.5mm x 75mm 5 PK $90.00
214109 5.5mm x 90mm Reusable Obturator 1 EA $770.00
214110 Clear Cannula, Threaded, 5.5mm x 90mm 5 PK $158.00
214113 7mm x 75mm Reusable Obturator 1 EA $770.00
214114 Clear Cannula, Smooth, 7mm x 75mm 5 PK $158.00
214115 Clear Cannula, Smooth, Distal Rib, 7mm x 75mm 5 PK $158.00
214116 Clear Cannula, Threaded, 7mm x 75mm 5 PK $90.00
214117 8.5mm x 55mm Reusable Obturator 1 EA $770.00
214118 Clear Cannula, Threaded, 8.5mm x 55mm 5 PK $158.00
214119 8.5mm x 75mm Reusable Obturator 1 EA $770.00
214120 Clear Cannula, Threaded, 8.5mm x 75mm 5 PK $90.00
214121 8.5mm x 90mm Reusable Obturator 1 EA $770.00
214122 Clear Cannula, Threaded, 8.5mm x 90mm 5 PK $158.00
214123 4mm Switching Stick, Blunt/Sharp 1 EA $185.00
214141 EXPRESSEW III Suture Passer Needle 5 PK $750.00
</t>
  </si>
  <si>
    <t xml:space="preserve">The Products listed on Schedule A will have price protection through the 
term of this PA. The price noted for each Product listed below is the net invoice price for the item. </t>
  </si>
  <si>
    <t>\GS Commercial Contracting\HPE\925231.PDF</t>
  </si>
  <si>
    <t>Duplicate file from https://jnj.sharepoint.com/teams/ContractIQ/Shared Documents/General/2025/Contracts in Scope/THE_REGENTS_OF_THE_UNIVERSITY_OF_CALIFORNIA/</t>
  </si>
  <si>
    <t>\GS Commercial Contracting\HPE\927864.PDF</t>
  </si>
  <si>
    <t>\GS Commercial Contracting\HPE\930861.PDF</t>
  </si>
  <si>
    <t>\GS Commercial Contracting\HPE\932567.PDF</t>
  </si>
  <si>
    <t>\GS Commercial Contracting\HPE\942067.PDF</t>
  </si>
  <si>
    <t>\GS Commercial Contracting\HPE\953202.PDF</t>
  </si>
  <si>
    <t>\GS Commercial Contracting\HPE\955899.PDF</t>
  </si>
  <si>
    <t>\GS Commercial Contracting\HPE\958638.PDF</t>
  </si>
  <si>
    <t>\GS Commercial Contracting\HPE\960974.PDF</t>
  </si>
  <si>
    <t>\GS Commercial Contracting\HPE\962058.PDF</t>
  </si>
  <si>
    <t>\GS Commercial Contracting\HPE\967076.PDF</t>
  </si>
  <si>
    <t>\GS Commercial Contracting\HPE\970183.PDF</t>
  </si>
  <si>
    <t>\GS Commercial Contracting\HPE\975891.PDF</t>
  </si>
  <si>
    <t>\GS Commercial Contracting\HPE\831974.PDF</t>
  </si>
  <si>
    <t>001018471~00044938.069</t>
  </si>
  <si>
    <t>MR556</t>
  </si>
  <si>
    <t>Product Agreement (DePuy Synthes Spine)</t>
  </si>
  <si>
    <t>Please refer to Eligible Participants Sheet for the complete list of individual UCN and ship to UCN</t>
  </si>
  <si>
    <t xml:space="preserve">PA sg 11 19 18.docx </t>
  </si>
  <si>
    <t>Please refer to Eligible Participants Sheet for the complete list</t>
  </si>
  <si>
    <t>Please refer to Product Details Sheet for the complete list</t>
  </si>
  <si>
    <t>Subject to the terms and conditions of this PA, the Company shall offer the Products to the Participants at the prices stated on Schedule A.</t>
  </si>
  <si>
    <t>\GS Commercial Contracting\HPE\843928.PDF</t>
  </si>
  <si>
    <t>001018471~00044938.071</t>
  </si>
  <si>
    <t>Amendment To Product Agreement (DePuy Synthes Spine)</t>
  </si>
  <si>
    <t xml:space="preserve">PA Amendment sg 3 14 19.docx </t>
  </si>
  <si>
    <t>List Price, Individual Component Pricing</t>
  </si>
  <si>
    <t>\GS Commercial Contracting\HPE\868497.PDF</t>
  </si>
  <si>
    <t>001018471~00044938.078</t>
  </si>
  <si>
    <t xml:space="preserve">PA Amendment sg 7 23 19.docx </t>
  </si>
  <si>
    <t>\GS Commercial Contracting\HPE\878247.PDF</t>
  </si>
  <si>
    <t>001018471~00044938.080</t>
  </si>
  <si>
    <t xml:space="preserve">PA Amendment JJS v1 20190904.docx </t>
  </si>
  <si>
    <t>\GS Commercial Contracting\HPE\674695.PDF</t>
  </si>
  <si>
    <t>\GS Commercial Contracting\HPE\912031.PDF</t>
  </si>
  <si>
    <t>\GS Commercial Contracting\HPE\957219.PDF</t>
  </si>
  <si>
    <t>\GS Commercial Contracting\HPE\961148.PDF</t>
  </si>
  <si>
    <t>\GS Commercial Contracting\HPE\973890.PDF</t>
  </si>
  <si>
    <t>\GS Commercial Contracting\HPE\978252.PDF</t>
  </si>
  <si>
    <t>\GS Commercial Contracting\HPE\985318.PDF</t>
  </si>
  <si>
    <t>\GS Commercial Contracting\HPE\996987.PDF</t>
  </si>
  <si>
    <t>\GS Commercial Contracting\HPE\1012043.ZIP</t>
  </si>
  <si>
    <t>\GS Commercial Contracting\HPE\1015844.PDF</t>
  </si>
  <si>
    <t>\GS Commercial Contracting\HPE\1017655.PDF</t>
  </si>
  <si>
    <t>\GS Commercial Contracting\HPE\1032736.PDF</t>
  </si>
  <si>
    <t>\GS Commercial Contracting\HPE\1036818.PDF</t>
  </si>
  <si>
    <t>\GS Commercial Contracting\HPE\1046154.PDF</t>
  </si>
  <si>
    <t>\GS Commercial Contracting\HPE\1051024.ZIP</t>
  </si>
  <si>
    <t>\GS Commercial Contracting\HPE\1051434.ZIP</t>
  </si>
  <si>
    <t>\GS Commercial Contracting\HPE\1058557.PDF</t>
  </si>
  <si>
    <t>\GS Commercial Contracting\HPE\1072063.PDF</t>
  </si>
  <si>
    <t>\GS Commercial Contracting\HPE\1074542.PDF</t>
  </si>
  <si>
    <t>\GS Commercial Contracting\HPE\1074568.PDF</t>
  </si>
  <si>
    <t>\GS Commercial Contracting\HPE\1193830.PDF</t>
  </si>
  <si>
    <t>\GS Commercial Contracting\HPE\1193831.PDF</t>
  </si>
  <si>
    <t>\GS Commercial Contracting\HPE\1193832.ZIP</t>
  </si>
  <si>
    <t>\GS Commercial Contracting\HPE\1193833.PDF</t>
  </si>
  <si>
    <t>\GS Commercial Contracting\HPE\1193834.PDF</t>
  </si>
  <si>
    <t>\GS Commercial Contracting\HPE\1193835.PDF</t>
  </si>
  <si>
    <t>\GS Commercial Contracting\HPE\1193836.PDF</t>
  </si>
  <si>
    <t>\GS Commercial Contracting\HPE\1193837.PDF</t>
  </si>
  <si>
    <t>\GS Commercial Contracting\HPE\1193838.PDF</t>
  </si>
  <si>
    <t>\GS Commercial Contracting\HPE\1193839.PDF</t>
  </si>
  <si>
    <t>\GS Commercial Contracting\HPE\1193840.PDF</t>
  </si>
  <si>
    <t>\GS Commercial Contracting\HPE\1193920.PDF</t>
  </si>
  <si>
    <t>\GS Commercial Contracting\HPE\1193923.PDF</t>
  </si>
  <si>
    <t>\GS Commercial Contracting\HPE\832154.PDF</t>
  </si>
  <si>
    <t xml:space="preserve">Master Service Agreement (Equipment Service) </t>
  </si>
  <si>
    <t>\GS Commercial Contracting\HPE\955571.PDF</t>
  </si>
  <si>
    <t>$08efc9737a28$83230D1 C37 A24D2D900A585372A40200.docx _x000D_</t>
  </si>
  <si>
    <t>Per Agreement, Per System</t>
  </si>
  <si>
    <t>\GS Commercial Contracting\HPE\1017657.PDF</t>
  </si>
  <si>
    <t>\GS Commercial Contracting\HPE\1039736.PDF</t>
  </si>
  <si>
    <t>\GS Commercial Contracting\HPE\896307.PDF</t>
  </si>
  <si>
    <t>\GS Commercial Contracting\HPE\1017642.PDF</t>
  </si>
  <si>
    <t>\GS Commercial Contracting\HPE\1072382.PDF</t>
  </si>
  <si>
    <t>4/31/2030</t>
  </si>
  <si>
    <t>\GS Commercial Contracting\HPE\896313.PDF</t>
  </si>
  <si>
    <t>\GS Commercial Contracting\HPE\904243.PDF</t>
  </si>
  <si>
    <t>\GS Commercial Contracting\HPE\910617.PDF</t>
  </si>
  <si>
    <t>\GS Commercial Contracting\HPE\922189.PDF</t>
  </si>
  <si>
    <t>\GS Commercial Contracting\HPE\961848.PDF</t>
  </si>
  <si>
    <t>\GS Commercial Contracting\HPE\986729.PDF</t>
  </si>
  <si>
    <t>\GS Commercial Contracting\HPE\999662.PDF</t>
  </si>
  <si>
    <t>\GS Commercial Contracting\HPE\1013935.PDF</t>
  </si>
  <si>
    <t>\GS Commercial Contracting\HPE\1017316.PDF</t>
  </si>
  <si>
    <t>\GS Commercial Contracting\HPE\1017645.PDF</t>
  </si>
  <si>
    <t>\GS Commercial Contracting\HPE\1022219.PDF</t>
  </si>
  <si>
    <t>\GS Commercial Contracting\HPE\1033099.PDF</t>
  </si>
  <si>
    <t>\GS Commercial Contracting\HPE\1038151.PDF</t>
  </si>
  <si>
    <t>\GS Commercial Contracting\HPE\1039603.PDF</t>
  </si>
  <si>
    <t>\GS Commercial Contracting\HPE\1041935.PDF</t>
  </si>
  <si>
    <t>\GS Commercial Contracting\HPE\1051656.PDF</t>
  </si>
  <si>
    <t>\GS Commercial Contracting\HPE\1052830.PDF</t>
  </si>
  <si>
    <t>\GS Commercial Contracting\HPE\1060422.PDF</t>
  </si>
  <si>
    <t>\GS Commercial Contracting\HPE\1062128.PDF</t>
  </si>
  <si>
    <t>\GS Commercial Contracting\HPE\1065456.PDF</t>
  </si>
  <si>
    <t>\GS Commercial Contracting\HPE\1072296.PDF</t>
  </si>
  <si>
    <t>\GS Commercial Contracting\HPE\1073784.PDF</t>
  </si>
  <si>
    <t>\GS Commercial Contracting\HPE\1073829.PDF</t>
  </si>
  <si>
    <t>\GS Commercial Contracting\HPE\1073830.PDF</t>
  </si>
  <si>
    <t>\GS Commercial Contracting\HPE\1074347.PDF</t>
  </si>
  <si>
    <t>\GS Commercial Contracting\HPE\1075911.PDF</t>
  </si>
  <si>
    <t>\GS Commercial Contracting\HPE\1193860.PDF</t>
  </si>
  <si>
    <t>\GS Commercial Contracting\HPE\1193861.PDF</t>
  </si>
  <si>
    <t>\GS Commercial Contracting\HPE\1193862.PDF</t>
  </si>
  <si>
    <t>\GS Commercial Contracting\HPE\1193863.PDF</t>
  </si>
  <si>
    <t>\GS Commercial Contracting\HPE\1193864.PDF</t>
  </si>
  <si>
    <t>\GS Commercial Contracting\HPE\1193865.PDF</t>
  </si>
  <si>
    <t>\GS Commercial Contracting\HPE\1193866.PDF</t>
  </si>
  <si>
    <t>\GS Commercial Contracting\HPE\1193867.PDF</t>
  </si>
  <si>
    <t>\GS Commercial Contracting\HPE\1193868.PDF</t>
  </si>
  <si>
    <t>\GS Commercial Contracting\HPE\1193869.PDF</t>
  </si>
  <si>
    <t>\GS Commercial Contracting\HPE\1193910.PDF</t>
  </si>
  <si>
    <t>\GS Commercial Contracting\HPE\1193926.PDF</t>
  </si>
  <si>
    <t>\GS Commercial Contracting\HPE\911280.PDF</t>
  </si>
  <si>
    <t xml:space="preserve"> 00060854</t>
  </si>
  <si>
    <t>00601291</t>
  </si>
  <si>
    <t>Letter Of Participation -Local Market (Lop-Lm)</t>
  </si>
  <si>
    <t>Spine</t>
  </si>
  <si>
    <t xml:space="preserve">Vizient LOPLM VCF JJS v1 20200610.docx </t>
  </si>
  <si>
    <t>Component Pricing, Individual Component Pricing</t>
  </si>
  <si>
    <t>See Supporting Tables for Product Detail</t>
  </si>
  <si>
    <t>Subject to the terms and conditions of this LOP-LM, the Supplier shall offer the Products listed in Exhibit A-1 to the participants referenced in Table 1 atthe prices stated in Exhibit A-1. Products not listed on
Exhibit A-1 and participants not referenced in Table 1 are not eligible for price concessions under this LOP-LM. The component pricing is firm for the term of the LOP-LM.</t>
  </si>
  <si>
    <t>\GS Commercial Contracting\HPE\963256.PDF</t>
  </si>
  <si>
    <t>00111962</t>
  </si>
  <si>
    <t>Notice Of LOP-LM End Date Extension Under The Vizient Vertebral Compression Fracture Agreement Effective November 1, 2018 (MS6992)</t>
  </si>
  <si>
    <t>Notice to Letter of Participation</t>
  </si>
  <si>
    <t>\GS Commercial Contracting\HPE\1043109.PDF</t>
  </si>
  <si>
    <t xml:space="preserve">00174681 </t>
  </si>
  <si>
    <t xml:space="preserve">Amendment To Letter Of Participation-Local Market (DePuy Synthes Vertebral Compression Fracture) </t>
  </si>
  <si>
    <t xml:space="preserve">LOP-LM Amendment sg v1 11-7-23.docx </t>
  </si>
  <si>
    <t>\GS Commercial Contracting\HPE\1193916.PDF</t>
  </si>
  <si>
    <t xml:space="preserve"> 206272</t>
  </si>
  <si>
    <t>Amendment To Letter Of Participation-Local Market (DePuy Synthes Spine)</t>
  </si>
  <si>
    <t>4/31/2026</t>
  </si>
  <si>
    <t>\GS Commercial Contracting\HPE\977120.PDF</t>
  </si>
  <si>
    <t>\GS Commercial Contracting\HPE\984878.PDF</t>
  </si>
  <si>
    <t>\GS Commercial Contracting\HPE\996565.PDF</t>
  </si>
  <si>
    <t>\GS Commercial Contracting\HPE\997912.ZIP</t>
  </si>
  <si>
    <t>\GS Commercial Contracting\HPE\1038503.PDF</t>
  </si>
  <si>
    <t>\GS Commercial Contracting\HPE\1060171.PDF</t>
  </si>
  <si>
    <t>\GS Commercial Contracting\HPE\1193913.PDF</t>
  </si>
  <si>
    <t>Amendment #6 to Monarch Sales and Support Agreement</t>
  </si>
  <si>
    <t>Monarch Bronchoscopes</t>
  </si>
  <si>
    <t>Duplicate with "001018845~00083922.007"</t>
  </si>
  <si>
    <t>\GS Commercial Contracting\HPE\983265.PDF</t>
  </si>
  <si>
    <t>Duplicate file from https://jnj.sharepoint.com/teams/ContractIQ/Shared Documents/General/2025/Contracts in Scope/THE_REGENTS_OF_THE_UNIVERSITY_OF_CALIFORNIA//001030242~00084684.001.pdf</t>
  </si>
  <si>
    <t>\GS Commercial Contracting\HPE\994750.PDF</t>
  </si>
  <si>
    <t>Duplicate file from https://jnj.sharepoint.com/teams/ContractIQ/Shared Documents/General/2025/Contracts in Scope/THE_REGENTS_OF_THE_UNIVERSITY_OF_CALIFORNIA//001030242~00084684.006.pdf</t>
  </si>
  <si>
    <t>\GS Commercial Contracting\HPE\1003247.PDF</t>
  </si>
  <si>
    <t>138668</t>
  </si>
  <si>
    <t>Year 1 Pricing. 
Subject to the terms and conditions of this PA, as of the Effective Date and for the first Year, the Company shall offer the Products to the Participants of each Health Group at the discounts from List Price and prices stated in Schedule A for the Tier listed for each Health Group on Schedule B. Refer to the List Price definition in Section 7 below for any increases to List Price. The capitated construct prices and component pricing are firm for the term of this PA. 
    i. Upon completion of the First Six-Month Period, a Health Group accessing Tier 3 shall have the option to access Tier 4 pricing for the remainder of the first Year if the Health Groups NCP for the First Six-Month Period is greater than $2,750,000 and 
    ii. Dual-Vendor Performance Requirement. To be eligible for the pricing set forth for Tier 4 on Schedule A, the Health Group’s authorized representative must communicate in writing or through electronic communication a letter in the form of Exhibit 2. The communication must document that the Health Group committing to Tier 4 will not contract with more than two suppliers, including the Company, for items of substantially the same kind and function as the Products (as defined in this agreement) during the term of this agreement. In addition, the
letter must document that 90% of total hip and knee procedure volume (includes both primary and revision procedures) must be purchased from the two contracted suppliers including the Company. Communication must be made within 30 days after the First Six Month Period and must be sent to all Health Group supply chain directors, the Company’s Corporate Accounts Director
responsible for the Customer’s business with the Company and to the Manager, Contract Performance 700 Orthopaedic Drive, Warsaw, IN 46581 (the “Verification Recipient”). 
b. For each Year following the first Year,
    i. NCP Requirement. The Company shall offer the Products to each Health Group’s Participants at each Health Group’s eligible Tier of Schedule A based upon each Health Group’s NCP for the prior Year, and 
       1. Tri-Vendor Performance Requirement. To be eligible for the pricing set forth for Tier 2 and Tier 3 on Schedule A, the Health Group’s authorized representative must communicate in writing or through electronic communication a letter in the form of Exhibit 1. The communication must document that the Heath Group committing to Tier 2 or Tier 3 will not contract with more than three suppliers, including the Company, for items of substantially the same kind and function as the Products (as defined in this agreement) during the term of this agreement. In addition, the letter must document that 90% of total hip and knee procedure volume (includes both primary and revision procedures) must be purchased from the three contracted suppliers including the Company. Communication must be made within 30 days after the start of each Year and must be sent to all Health Group supply chain directors, the Company’s Corporate Accounts Director responsible for the Customer’s business with the Company and to the Manager, Contract Performance 700 Orthopaedic Drive, Warsaw, IN 46581 (the “Verification Recipient”), or 
       2. Dual-Vendor Performance Requirement. To be eligible for the pricing set forth for Tier 4 on Schedule A, the Health Group’s authorized representative must communicate in writing or through electronic communication a letter in the form of Exhibit 2. The communication must document that the Health Group committing to Tier 4 will not contract with more than two suppliers, including the Company, for items of substantially the same kind and function as the Products (as defined in this agreement) during the term of this agreement. In addition, the letter 
must document that 90% of total hip and knee procedure volume (includes both primary and revision procedures) must be purchased from the two contracted suppliers including the Company. Communication must be made within 30 days after the start of each Year and must be sent to all Health Group supply chain directors, the Company’s Corporate Accounts Director responsible for the Customer’s business with the Company and to the Manager, Contract Performance 700 Orthopaedic Drive, Warsaw, IN 46581 (the “Verification Recipient”).</t>
  </si>
  <si>
    <t>Duplicate file from https://jnj.sharepoint.com/teams/ContractIQ/Shared Documents/General/2025/Contracts in Scope/THE_REGENTS_OF_THE_UNIVERSITY_OF_CALIFORNIA/001030242~00084684.008.pdf</t>
  </si>
  <si>
    <t>\GS Commercial Contracting\HPE\1011179.PDF</t>
  </si>
  <si>
    <t>Tier 1 NCP $0 -$1,999,999
Tier 2 90% Tri Vendor NCP $2,000,000 -$3,249,999
Tier 3 90% Tri Vendor NCP $3,250,000+
Tier 4 90% Dual Vendor NCP $5,000,000+_x000D_</t>
  </si>
  <si>
    <t>Year 1 Pricing. 
Subject to the terms and conditions of this PA, as of the Effective Date and for the first Year, the Company shall offer the Products to the Participants of each Health Group at the discounts from List Price and prices stated in Schedule A for the Tier listed for each Health Group on Schedule B. Refer to the List Price definition in Section 7 below for any increases to List Price. The capitated construct prices and component pricing are firm for the term of this PA. 
    i. Upon completion of the First Six-Month Period, a Health Group accessing Tier 3 shall have the option to access Tier 4 pricing for the remainder of the first Year if the Health Groups NCP for the First Six-Month Period is greater than $2,750,000 and 
    ii. Dual-Vendor Performance Requirement. To be eligible for the pricing set forth for Tier 4 on Schedule A, the Health Group’s authorized representative must communicate in writing or through electronic communication a letter in the form of Exhibit 2. The communication must document that the Health Group committing to Tier 4 will not contract with more than two suppliers, including the Company, for items of substantially the same kind and function as the Products (as defined in this agreement) during the term of this agreement. In addition, the
letter must document that 90% of total hip and knee procedure volume (includes both primary and revision procedures) must be purchased from the two contracted suppliers including the Company. Communication must be made within 30 days after the First Six Month Period and must be sent to all Health Group supply chain directors, the Company’s Corporate Accounts Director
responsible for the Customer’s business with the Company and to the Manager, Contract Performance 700 Orthopaedic Drive, Warsaw, IN 46581 (the “Verification Recipient”). 
b. For each Year following the first Year,
    i. NCP Requirement. The Company shall offer the Products to each Health Group’s Participants at each Health Group’s eligible Tier of Schedule A based upon each Health Group’s NCP for the prior Year, and 
       1. Tri-Vendor Performance Requirement. To be eligible for the pricing set forth for Tier 2 and Tier 3 on Schedule A, the Health Group’s authorized representative must communicate in writing or through electronic communication a letter in the form of Exhibit 1. The communication must document that the Heath Group committing to Tier 2 or Tier 3 will not contract with more than three suppliers, including the Company, for items of substantially the same kind and function as the Products (as defined in this agreement) during the term of this agreement. In addition, the letter must document that 90% of total hip and knee procedure volume (includes both primary and revision procedures) must be purchased from the three contracted suppliers including the Company. Communication must be made within 30 days after the start of each Year and must be sent to all Health Group supply chain directors, the Company’s Corporate Accounts Director responsible for the Customer’s business with the Company and to the Manager, Contract Performance 700 Orthopaedic Drive, Warsaw, IN 46581 (the “Verification Recipient”), or 
       2. Dual-Vendor Performance Requirement. To be eligible for the pricing set forth for Tier 4 on Schedule A, the Health Group’s authorized representative must communicate in writing or through electronic communication a letter in the form of Exhibit 2. The communication must document that the Health Group committing to Tier 4 will not contract with more than two suppliers, including the Company, for items of substantially the same kind and function as the Products (as defined in this agreement) during the term of this agreement. In addition, the letter 
must document that 90% of total hip and knee procedure volume (includes both primary and revision procedures) must be purchased from the two contracted suppliers including the Company. Communication must be made within 30 days after the start of each Year and must be sent to all Health Group supply chain directors, the Company’s Corporate Accounts Director responsible for the Customer’s business with the Company and to the Manager, Contract Performance 700 Orthopaedic Drive, Warsaw, IN 46581 (the “Verification Recipient”)</t>
  </si>
  <si>
    <t>Duplicate file from https://jnj.sharepoint.com/teams/ContractIQ/Shared Documents/General/2025/Contracts in Scope/THE_REGENTS_OF_THE_UNIVERSITY_OF_CALIFORNIA/001030242~00084684.012.pdf</t>
  </si>
  <si>
    <t>\GS Commercial Contracting\HPE\1011820.PDF</t>
  </si>
  <si>
    <t>Duplicate file from https://jnj.sharepoint.com/teams/ContractIQ/Shared Documents/General/2025/Contracts in Scope/THE_REGENTS_OF_THE_UNIVERSITY_OF_CALIFORNIA/001030242~00084684.014.pdf</t>
  </si>
  <si>
    <t>\GS Commercial Contracting\HPE\1019439.PDF</t>
  </si>
  <si>
    <t>Duplicate file from https://jnj.sharepoint.com/teams/ContractIQ/Shared Documents/General/2025/Contracts in Scope/THE_REGENTS_OF_THE_UNIVERSITY_OF_CALIFORNIA/001030242~00084684.019.pdf</t>
  </si>
  <si>
    <t>\GS Commercial Contracting\HPE\1022531.PDF</t>
  </si>
  <si>
    <t>Duplicate file from https://jnj.sharepoint.com/teams/ContractIQ/Shared Documents/General/2025/Contracts in Scope/THE_REGENTS_OF_THE_UNIVERSITY_OF_CALIFORNIA/001030242~00084684.022.pdf</t>
  </si>
  <si>
    <t>\GS Commercial Contracting\HPE\1026295.PDF</t>
  </si>
  <si>
    <t>Duplicate file from https://jnj.sharepoint.com/teams/ContractIQ/Shared Documents/General/2025/Contracts in Scope/THE_REGENTS_OF_THE_UNIVERSITY_OF_CALIFORNIA/001030242~00084684.023.pdf</t>
  </si>
  <si>
    <t>\GS Commercial Contracting\HPE\1026302.PDF</t>
  </si>
  <si>
    <t>Duplicate file from https://jnj.sharepoint.com/teams/ContractIQ/Shared Documents/General/2025/Contracts in Scope/THE_REGENTS_OF_THE_UNIVERSITY_OF_CALIFORNIA/001030242~00084684.024.pdf</t>
  </si>
  <si>
    <t>\GS Commercial Contracting\HPE\1028414.PDF</t>
  </si>
  <si>
    <t>Duplicate file from https://jnj.sharepoint.com/teams/ContractIQ/Shared Documents/General/2025/Contracts in Scope/THE_REGENTS_OF_THE_UNIVERSITY_OF_CALIFORNIA/001030242~00084684.026</t>
  </si>
  <si>
    <t>\GS Commercial Contracting\HPE\1030295.PDF</t>
  </si>
  <si>
    <t>Duplicate file from https://jnj.sharepoint.com/teams/ContractIQ/Shared Documents/General/2025/Contracts in Scope/THE_REGENTS_OF_THE_UNIVERSITY_OF_CALIFORNIA/001030242~00084684.027</t>
  </si>
  <si>
    <t>\GS Commercial Contracting\HPE\1032329.PDF</t>
  </si>
  <si>
    <t>Duplicate file from https://jnj.sharepoint.com/teams/ContractIQ/Shared Documents/General/2025/Contracts in Scope/THE_REGENTS_OF_THE_UNIVERSITY_OF_CALIFORNIA/001030242~00084684.028</t>
  </si>
  <si>
    <t>\GS Commercial Contracting\HPE\1035483.PDF</t>
  </si>
  <si>
    <t>Duplicate file from https://jnj.sharepoint.com/teams/ContractIQ/Shared Documents/General/2025/Contracts in Scope/THE_REGENTS_OF_THE_UNIVERSITY_OF_CALIFORNIA/001030242~00084684.029</t>
  </si>
  <si>
    <t>\GS Commercial Contracting\HPE\1035740.PDF</t>
  </si>
  <si>
    <t>Duplicate file from https://jnj.sharepoint.com/teams/ContractIQ/Shared Documents/General/2025/Contracts in Scope/THE_REGENTS_OF_THE_UNIVERSITY_OF_CALIFORNIA/001030242~00084684.030</t>
  </si>
  <si>
    <t>\GS Commercial Contracting\HPE\1036005.PDF</t>
  </si>
  <si>
    <t>Duplicate file from https://jnj.sharepoint.com/teams/ContractIQ/Shared Documents/General/2025/Contracts in Scope/THE_REGENTS_OF_THE_UNIVERSITY_OF_CALIFORNIA/001030242~00084684.032</t>
  </si>
  <si>
    <t>\GS Commercial Contracting\HPE\1036414.PDF</t>
  </si>
  <si>
    <t>Duplicate file from https://jnj.sharepoint.com/teams/ContractIQ/Shared Documents/General/2025/Contracts in Scope/THE_REGENTS_OF_THE_UNIVERSITY_OF_CALIFORNIA/001030242~00084684.033</t>
  </si>
  <si>
    <t>\GS Commercial Contracting\HPE\1047770.PDF</t>
  </si>
  <si>
    <t>Duplicate file from https://jnj.sharepoint.com/teams/ContractIQ/Shared Documents/General/2025/Contracts in Scope/THE_REGENTS_OF_THE_UNIVERSITY_OF_CALIFORNIA/001030242~00084684.038</t>
  </si>
  <si>
    <t>\GS Commercial Contracting\HPE\1054906.PDF</t>
  </si>
  <si>
    <t>Duplicate file from https://jnj.sharepoint.com/teams/ContractIQ/Shared Documents/General/2025/Contracts in Scope/THE_REGENTS_OF_THE_UNIVERSITY_OF_CALIFORNIA/001030242~00084684.041</t>
  </si>
  <si>
    <t>\GS Commercial Contracting\HPE\1058807.PDF</t>
  </si>
  <si>
    <t>Duplicate file from https://jnj.sharepoint.com/teams/ContractIQ/Shared Documents/General/2025/Contracts in Scope/THE_REGENTS_OF_THE_UNIVERSITY_OF_CALIFORNIA/001030242~00084684.043</t>
  </si>
  <si>
    <t>\GS Commercial Contracting\HPE\1059460.PDF</t>
  </si>
  <si>
    <t>Duplicate file from https://jnj.sharepoint.com/teams/ContractIQ/Shared Documents/General/2025/Contracts in Scope/THE_REGENTS_OF_THE_UNIVERSITY_OF_CALIFORNIA/001030242~00084684.044</t>
  </si>
  <si>
    <t>\GS Commercial Contracting\HPE\1061089.PDF</t>
  </si>
  <si>
    <t>Duplicate file from https://jnj.sharepoint.com/teams/ContractIQ/Shared Documents/General/2025/Contracts in Scope/THE_REGENTS_OF_THE_UNIVERSITY_OF_CALIFORNIA/001030242~00084684.045</t>
  </si>
  <si>
    <t>\GS Commercial Contracting\HPE\1062045.ZIP</t>
  </si>
  <si>
    <t>Duplicate file from https://jnj.sharepoint.com/teams/ContractIQ/Shared Documents/General/2025/Contracts in Scope/THE_REGENTS_OF_THE_UNIVERSITY_OF_CALIFORNIA/001030242~00084684.046</t>
  </si>
  <si>
    <t>\GS Commercial Contracting\HPE\1063397.PDF</t>
  </si>
  <si>
    <t>Duplicate file from https://jnj.sharepoint.com/teams/ContractIQ/Shared Documents/General/2025/Contracts in Scope/THE_REGENTS_OF_THE_UNIVERSITY_OF_CALIFORNIA/001030242~00084684.047</t>
  </si>
  <si>
    <t>\GS Commercial Contracting\HPE\1063398.PDF</t>
  </si>
  <si>
    <t>Duplicate file from https://jnj.sharepoint.com/teams/ContractIQ/Shared Documents/General/2025/Contracts in Scope/THE_REGENTS_OF_THE_UNIVERSITY_OF_CALIFORNIA/001030242~00084684.048</t>
  </si>
  <si>
    <t>\GS Commercial Contracting\HPE\1064210.PDF</t>
  </si>
  <si>
    <t>Duplicate file from https://jnj.sharepoint.com/teams/ContractIQ/Shared Documents/General/2025/Contracts in Scope/THE_REGENTS_OF_THE_UNIVERSITY_OF_CALIFORNIA/001030242~00084684.050</t>
  </si>
  <si>
    <t>\GS Commercial Contracting\HPE\1066563.PDF</t>
  </si>
  <si>
    <t>Duplicate file from https://jnj.sharepoint.com/teams/ContractIQ/Shared Documents/General/2025/Contracts in Scope/THE_REGENTS_OF_THE_UNIVERSITY_OF_CALIFORNIA/001030242~00084684.052</t>
  </si>
  <si>
    <t>\GS Commercial Contracting\HPE\1066938.ZIP</t>
  </si>
  <si>
    <t>Duplicate file from https://jnj.sharepoint.com/teams/ContractIQ/Shared Documents/General/2025/Contracts in Scope/THE_REGENTS_OF_THE_UNIVERSITY_OF_CALIFORNIA/001030242~00084684.053</t>
  </si>
  <si>
    <t>\GS Commercial Contracting\HPE\1067525.PDF</t>
  </si>
  <si>
    <t>Duplicate file from https://jnj.sharepoint.com/teams/ContractIQ/Shared Documents/General/2025/Contracts in Scope/THE_REGENTS_OF_THE_UNIVERSITY_OF_CALIFORNIA/001030242~00084684.054</t>
  </si>
  <si>
    <t>\GS Commercial Contracting\HPE\1067731.PDF</t>
  </si>
  <si>
    <t>Duplicate file from https://jnj.sharepoint.com/teams/ContractIQ/Shared Documents/General/2025/Contracts in Scope/THE_REGENTS_OF_THE_UNIVERSITY_OF_CALIFORNIA/001030242~00084684.055</t>
  </si>
  <si>
    <t>\GS Commercial Contracting\HPE\1068640.PDF</t>
  </si>
  <si>
    <t>Duplicate file from https://jnj.sharepoint.com/teams/ContractIQ/Shared Documents/General/2025/Contracts in Scope/THE_REGENTS_OF_THE_UNIVERSITY_OF_CALIFORNIA/001030242~00084684.056</t>
  </si>
  <si>
    <t>\GS Commercial Contracting\HPE\1072694.PDF</t>
  </si>
  <si>
    <t>Duplicate file from https://jnj.sharepoint.com/teams/ContractIQ/Shared Documents/General/2025/Contracts in Scope/THE_REGENTS_OF_THE_UNIVERSITY_OF_CALIFORNIA/001030242~00084684.057</t>
  </si>
  <si>
    <t>\GS Commercial Contracting\HPE\1072837.PDF</t>
  </si>
  <si>
    <t>Duplicate file from https://jnj.sharepoint.com/teams/ContractIQ/Shared Documents/General/2025/Contracts in Scope/THE_REGENTS_OF_THE_UNIVERSITY_OF_CALIFORNIA/001030242~00084684.058</t>
  </si>
  <si>
    <t>\GS Commercial Contracting\HPE\1075975.PDF</t>
  </si>
  <si>
    <t>Duplicate file from https://jnj.sharepoint.com/teams/ContractIQ/Shared Documents/General/2025/Contracts in Scope/THE_REGENTS_OF_THE_UNIVERSITY_OF_CALIFORNIA/001030242~00084684.060</t>
  </si>
  <si>
    <t>\GS Commercial Contracting\HPE\1193880.PDF</t>
  </si>
  <si>
    <t>Duplicate file from https://jnj.sharepoint.com/teams/ContractIQ/Shared Documents/General/2025/Contracts in Scope/THE_REGENTS_OF_THE_UNIVERSITY_OF_CALIFORNIA/001030242~00084684.061</t>
  </si>
  <si>
    <t>\GS Commercial Contracting\HPE\1193881.PDF</t>
  </si>
  <si>
    <t>Duplicate file from https://jnj.sharepoint.com/teams/ContractIQ/Shared Documents/General/2025/Contracts in Scope/THE_REGENTS_OF_THE_UNIVERSITY_OF_CALIFORNIA/001030242~00084684.065</t>
  </si>
  <si>
    <t>\GS Commercial Contracting\HPE\1193882.PDF</t>
  </si>
  <si>
    <t>Duplicate file from https://jnj.sharepoint.com/teams/ContractIQ/Shared Documents/General/2025/Contracts in Scope/THE_REGENTS_OF_THE_UNIVERSITY_OF_CALIFORNIA/001030242~00084684.066</t>
  </si>
  <si>
    <t>\GS Commercial Contracting\HPE\1193883.PDF</t>
  </si>
  <si>
    <t>Duplicate file from https://jnj.sharepoint.com/teams/ContractIQ/Shared Documents/General/2025/Contracts in Scope/THE_REGENTS_OF_THE_UNIVERSITY_OF_CALIFORNIA/001030242~00084684.070</t>
  </si>
  <si>
    <t>\GS Commercial Contracting\HPE\1193884.PDF</t>
  </si>
  <si>
    <t>Duplicate file from https://jnj.sharepoint.com/teams/ContractIQ/Shared Documents/General/2025/Contracts in Scope/THE_REGENTS_OF_THE_UNIVERSITY_OF_CALIFORNIA/001030242~00084684.071</t>
  </si>
  <si>
    <t>\GS Commercial Contracting\HPE\1193885.PDF</t>
  </si>
  <si>
    <t>Duplicate file from https://jnj.sharepoint.com/teams/ContractIQ/Shared Documents/General/2025/Contracts in Scope/THE_REGENTS_OF_THE_UNIVERSITY_OF_CALIFORNIA/001030242~00084684.077</t>
  </si>
  <si>
    <t>\GS Commercial Contracting\HPE\1193886.PDF</t>
  </si>
  <si>
    <t>Duplicate file from https://jnj.sharepoint.com/teams/ContractIQ/Shared Documents/General/2025/Contracts in Scope/THE_REGENTS_OF_THE_UNIVERSITY_OF_CALIFORNIA/001030242~00084684.080</t>
  </si>
  <si>
    <t>\GS Commercial Contracting\HPE\1193887.PDF</t>
  </si>
  <si>
    <t>Duplicate file from https://jnj.sharepoint.com/teams/ContractIQ/Shared Documents/General/2025/Contracts in Scope/THE_REGENTS_OF_THE_UNIVERSITY_OF_CALIFORNIA/001030242~00084684.081</t>
  </si>
  <si>
    <t>\GS Commercial Contracting\HPE\1193888.PDF</t>
  </si>
  <si>
    <t>Duplicate file from https://jnj.sharepoint.com/teams/ContractIQ/Shared Documents/General/2025/Contracts in Scope/THE_REGENTS_OF_THE_UNIVERSITY_OF_CALIFORNIA/001030242~00084684.083</t>
  </si>
  <si>
    <t>\GS Commercial Contracting\HPE\1193889.PDF</t>
  </si>
  <si>
    <t>Duplicate file from https://jnj.sharepoint.com/teams/ContractIQ/Shared Documents/General/2025/Contracts in Scope/THE_REGENTS_OF_THE_UNIVERSITY_OF_CALIFORNIA/001030242~00084684.084</t>
  </si>
  <si>
    <t>\GS Commercial Contracting\HPE\1193890.PDF</t>
  </si>
  <si>
    <t>Duplicate file from https://jnj.sharepoint.com/teams/ContractIQ/Shared Documents/General/2025/Contracts in Scope/THE_REGENTS_OF_THE_UNIVERSITY_OF_CALIFORNIA/001030242~00084684.085</t>
  </si>
  <si>
    <t>\GS Commercial Contracting\HPE\1193891.PDF</t>
  </si>
  <si>
    <t>Duplicate file from https://jnj.sharepoint.com/teams/ContractIQ/Shared Documents/General/2025/Contracts in Scope/THE_REGENTS_OF_THE_UNIVERSITY_OF_CALIFORNIA/001030242~00084684.086</t>
  </si>
  <si>
    <t>\GS Commercial Contracting\HPE\1193892.PDF</t>
  </si>
  <si>
    <t>Duplicate file from https://jnj.sharepoint.com/teams/ContractIQ/Shared Documents/General/2025/Contracts in Scope/THE_REGENTS_OF_THE_UNIVERSITY_OF_CALIFORNIA/001030242~00084684.087</t>
  </si>
  <si>
    <t>\GS Commercial Contracting\HPE\1193893.PDF</t>
  </si>
  <si>
    <t>Duplicate file from https://jnj.sharepoint.com/teams/ContractIQ/Shared Documents/General/2025/Contracts in Scope/THE_REGENTS_OF_THE_UNIVERSITY_OF_CALIFORNIA/001030242~00084684.088</t>
  </si>
  <si>
    <t>\GS Commercial Contracting\HPE\1193894.PDF</t>
  </si>
  <si>
    <t>Duplicate file from https://jnj.sharepoint.com/teams/ContractIQ/Shared Documents/General/2025/Contracts in Scope/THE_REGENTS_OF_THE_UNIVERSITY_OF_CALIFORNIA/001030242~00084684.090</t>
  </si>
  <si>
    <t>\GS Commercial Contracting\HPE\1193895.PDF</t>
  </si>
  <si>
    <t>Duplicate file from https://jnj.sharepoint.com/teams/ContractIQ/Shared Documents/General/2025/Contracts in Scope/THE_REGENTS_OF_THE_UNIVERSITY_OF_CALIFORNIA/001030242~00084684.095</t>
  </si>
  <si>
    <t>\GS Commercial Contracting\HPE\1193896.PDF</t>
  </si>
  <si>
    <t>Duplicate file from https://jnj.sharepoint.com/teams/ContractIQ/Shared Documents/General/2025/Contracts in Scope/THE_REGENTS_OF_THE_UNIVERSITY_OF_CALIFORNIA/001030242~00084684.096</t>
  </si>
  <si>
    <t>\GS Commercial Contracting\HPE\1193897.PDF</t>
  </si>
  <si>
    <t>Duplicate file from https://jnj.sharepoint.com/teams/ContractIQ/Shared Documents/General/2025/Contracts in Scope/THE_REGENTS_OF_THE_UNIVERSITY_OF_CALIFORNIA/001030242~00084684.097</t>
  </si>
  <si>
    <t>\GS Commercial Contracting\HPE\1193898.PDF</t>
  </si>
  <si>
    <t>Duplicate file from https://jnj.sharepoint.com/teams/ContractIQ/Shared Documents/General/2025/Contracts in Scope/THE_REGENTS_OF_THE_UNIVERSITY_OF_CALIFORNIA/001030242~00084684.067</t>
  </si>
  <si>
    <t>\GS Commercial Contracting\HPE\1193909.PDF</t>
  </si>
  <si>
    <t>Duplicate file from https://jnj.sharepoint.com/teams/ContractIQ/Shared Documents/General/2025/Contracts in Scope/THE_REGENTS_OF_THE_UNIVERSITY_OF_CALIFORNIA/001030242~00084684.062</t>
  </si>
  <si>
    <t>\GS Commercial Contracting\HPE\1193911.PDF</t>
  </si>
  <si>
    <t>Duplicate file from https://jnj.sharepoint.com/teams/ContractIQ/Shared Documents/General/2025/Contracts in Scope/THE_REGENTS_OF_THE_UNIVERSITY_OF_CALIFORNIA/001030242~00084684.064</t>
  </si>
  <si>
    <t>\GS Commercial Contracting\HPE\1193912.PDF</t>
  </si>
  <si>
    <t>Duplicate file from https://jnj.sharepoint.com/teams/ContractIQ/Shared Documents/General/2025/Contracts in Scope/THE_REGENTS_OF_THE_UNIVERSITY_OF_CALIFORNIA/001030242~00084684.069</t>
  </si>
  <si>
    <t>\GS Commercial Contracting\HPE\1193914.PDF</t>
  </si>
  <si>
    <t>Duplicate file from https://jnj.sharepoint.com/teams/ContractIQ/Shared Documents/General/2025/Contracts in Scope/THE_REGENTS_OF_THE_UNIVERSITY_OF_CALIFORNIA/001030242~00084684.075</t>
  </si>
  <si>
    <t>\GS Commercial Contracting\HPE\1193917.PDF</t>
  </si>
  <si>
    <t>Duplicate file from https://jnj.sharepoint.com/teams/ContractIQ/Shared Documents/General/2025/Contracts in Scope/THE_REGENTS_OF_THE_UNIVERSITY_OF_CALIFORNIA/001030242~00084684.082</t>
  </si>
  <si>
    <t>\GS Commercial Contracting\HPE\1193918.PDF</t>
  </si>
  <si>
    <t>Duplicate file from https://jnj.sharepoint.com/teams/ContractIQ/Shared Documents/General/2025/Contracts in Scope/THE_REGENTS_OF_THE_UNIVERSITY_OF_CALIFORNIA/001030242~00084684.089</t>
  </si>
  <si>
    <t>\GS Commercial Contracting\HPE\1193921.PDF</t>
  </si>
  <si>
    <t>Duplicate file from https://jnj.sharepoint.com/teams/ContractIQ/Shared Documents/General/2025/Contracts in Scope/THE_REGENTS_OF_THE_UNIVERSITY_OF_CALIFORNIA/001030242~00084684.072</t>
  </si>
  <si>
    <t>\GS Commercial Contracting\HPE\1193925.PDF</t>
  </si>
  <si>
    <t>Duplicate file from https://jnj.sharepoint.com/teams/ContractIQ/Shared Documents/General/2025/Contracts in Scope/THE_REGENTS_OF_THE_UNIVERSITY_OF_CALIFORNIA/001030242~00084684.094</t>
  </si>
  <si>
    <t>\GS Commercial Contracting\HPE\1193927.PDF</t>
  </si>
  <si>
    <t>Duplicate file from https://jnj.sharepoint.com/teams/ContractIQ/Shared Documents/General/2025/Contracts in Scope/THE_REGENTS_OF_THE_UNIVERSITY_OF_CALIFORNIA/001030242~00084684.078</t>
  </si>
  <si>
    <t>\GS Commercial Contracting\HPE\994243.PDF</t>
  </si>
  <si>
    <t>\GS Commercial Contracting\HPE\1017653.PDF</t>
  </si>
  <si>
    <t>\GS Commercial Contracting\HPE\1009368.PDF</t>
  </si>
  <si>
    <t>00129374_x000D_</t>
  </si>
  <si>
    <t xml:space="preserve">00633723 </t>
  </si>
  <si>
    <t>Subject to the terms and conditions of this LOP-LM, as of the Effective Date and for the first Six_x0002_Month Period, the Supplier shall offer the Products to the Facilities of each Health Group at the price stated in Exhibit A1 for the Tier listed for each Health Group on Table 1. The component pricing is firm for the term of the agreement.</t>
  </si>
  <si>
    <t>\GS Commercial Contracting\HPE\1038129.PDF</t>
  </si>
  <si>
    <t>160923 _x000D_</t>
  </si>
  <si>
    <t xml:space="preserve">Amendment To Letter Of Participation-Local Market (DePuy Synthes Spine) </t>
  </si>
  <si>
    <t>\GS Commercial Contracting\HPE\1049414.PDF</t>
  </si>
  <si>
    <t>00179035</t>
  </si>
  <si>
    <t>LOPLM Amend JD v1 20240108.docx</t>
  </si>
  <si>
    <t>\GS Commercial Contracting\HPE\1066188.PDF</t>
  </si>
  <si>
    <t>00185629</t>
  </si>
  <si>
    <t xml:space="preserve">LOPLM Amend sl v1 05-10-2024.docx </t>
  </si>
  <si>
    <t>\GS Commercial Contracting\HPE\1193899.PDF</t>
  </si>
  <si>
    <t>217877</t>
  </si>
  <si>
    <t>\GS Commercial Contracting\HPE\1012374.PDF</t>
  </si>
  <si>
    <t>\GS Commercial Contracting\HPE\1033934.PDF</t>
  </si>
  <si>
    <t>\GS Commercial Contracting\HPE\1049546.PDF</t>
  </si>
  <si>
    <t>\GS Commercial Contracting\HPE\1062519.PDF</t>
  </si>
  <si>
    <t>\GS Commercial Contracting\HPE\1063592.PDF</t>
  </si>
  <si>
    <t>\GS Commercial Contracting\HPE\1064080.PDF</t>
  </si>
  <si>
    <t>\GS Commercial Contracting\HPE\1076742.PDF</t>
  </si>
  <si>
    <t>\GS Commercial Contracting\HPE\1193900.PDF</t>
  </si>
  <si>
    <t>\GS Commercial Contracting\HPE\1016970.PDF</t>
  </si>
  <si>
    <t>Pricing Letter Agreement (IDN) (Ethicon LINX™)</t>
  </si>
  <si>
    <t>Duplicate with JDEJES55 "001018471~00088973.001"</t>
  </si>
  <si>
    <t>\GS Commercial Contracting\HPE\1052664.PDF</t>
  </si>
  <si>
    <t>Duplicate with trim number 001030242~00094318.001</t>
  </si>
  <si>
    <t>\GS Commercial Contracting\HPE\1052665.PDF</t>
  </si>
  <si>
    <t>Duplicate with trim number 001030242~00094318.002</t>
  </si>
  <si>
    <t>\GS Commercial Contracting\HPE\1064787.PDF</t>
  </si>
  <si>
    <t>\GS Commercial Contracting\HPE\1193924.ZIP</t>
  </si>
  <si>
    <t>\GS Commercial Contracting\HPE\1193871.PDF</t>
  </si>
  <si>
    <t>Duplicate with JDEJES55 "001018471~00100432.001"</t>
  </si>
  <si>
    <t>\GS Commercial Contracting\HPE\1193877.PDF</t>
  </si>
  <si>
    <t>\GS Commercial Contracting\HPE\1193872.PDF</t>
  </si>
  <si>
    <t>Duplicate with JDEJES55 "001018471~00101330.001"</t>
  </si>
  <si>
    <t>\GS Commercial Contracting\HPE\1193878.PDF</t>
  </si>
  <si>
    <t>Duplicate with RARGUELL "001018845~00102167.001"</t>
  </si>
  <si>
    <t>\GS Commercial Contracting\HPE\1193904.PDF</t>
  </si>
  <si>
    <t>Duplicate with MRONOLO "001030242~00104052.001"</t>
  </si>
  <si>
    <t>\GS Commercial Contracting\HPE\1193905.PDF</t>
  </si>
  <si>
    <t>Pricing Letter Agreement (IDN) (Ethicon NeuWave™)</t>
  </si>
  <si>
    <t>Duplicate with TCONCEPC "001030242~00104855.001"</t>
  </si>
  <si>
    <t>\GS Commercial Contracting\HPE\1193873.PDF</t>
  </si>
  <si>
    <t>\GS Commercial Contracting\HPE\1193874.PDF</t>
  </si>
  <si>
    <t>\GS Commercial Contracting\HPE\1193875.PDF</t>
  </si>
  <si>
    <t>Sterilmed EP Platinum Tip Recycling Program Participation Agreement (IDN)</t>
  </si>
  <si>
    <t>Duplicate with JDEJES55 "001018471~00105802.001"</t>
  </si>
  <si>
    <t>\GS Commercial Contracting\HPE\1193879.PDF</t>
  </si>
  <si>
    <t>\GS Commercial Contracting\HPE\1193901.ZIP</t>
  </si>
  <si>
    <t>00656015</t>
  </si>
  <si>
    <t>Letter Of Participation-Local Market (Lop-Lm)</t>
  </si>
  <si>
    <t>\GS Commercial Contracting\HPE\1193902.PDF</t>
  </si>
  <si>
    <t>208759</t>
  </si>
  <si>
    <t xml:space="preserve">Amendment To Letter Of Participation-Local Market (DePuy Synthes Trauma) </t>
  </si>
  <si>
    <t xml:space="preserve">LOP-LM Amend sl v1 01-29-2025 </t>
  </si>
  <si>
    <t>\GS Commercial Contracting\HPE\1193903.PDF</t>
  </si>
  <si>
    <t>00219408</t>
  </si>
  <si>
    <t>\GS Commercial Contracting\HPE\1193915.PDF</t>
  </si>
  <si>
    <t>214700</t>
  </si>
  <si>
    <t xml:space="preserve">LOP-LM Amend sl v3 03-25-2025 </t>
  </si>
  <si>
    <t>\GS Commercial Contracting\HPE\1193919.PDF</t>
  </si>
  <si>
    <t>00226297</t>
  </si>
  <si>
    <t>\GS Commercial Contracting\HPE\1193870.PDF</t>
  </si>
  <si>
    <t>Pricing Letter Agreement (Depuy Synthes Joint Reconstruction)</t>
  </si>
  <si>
    <t>Depuy Synthes Joint Reconstruction and Trauma</t>
  </si>
  <si>
    <t>Duplicate with JDEJES55 "001018471~00099298.001"</t>
  </si>
  <si>
    <t>\GS Commercial Contracting\HPE\1193876.PDF</t>
  </si>
  <si>
    <t>Duplicate with RARGUELL "001018845~00099384.001"</t>
  </si>
  <si>
    <t>\GS Commercial Contracting\HPE\456635.PDF</t>
  </si>
  <si>
    <t>000006816~00046030.001</t>
  </si>
  <si>
    <t>CODMAN Neurovascular Product Consignment Agreement</t>
  </si>
  <si>
    <t>CERENOVUS PRODUCT</t>
  </si>
  <si>
    <t>Product Consignment Agreement</t>
  </si>
  <si>
    <t>Wyoming Medical Center</t>
  </si>
  <si>
    <t>Not-for-profit charitable  corporation</t>
  </si>
  <si>
    <t>00006816</t>
  </si>
  <si>
    <t xml:space="preserve">Wyoming (6816) CNV Consignment 7.6.15 </t>
  </si>
  <si>
    <t xml:space="preserve">00006816 - Wyoming Medical Center </t>
  </si>
  <si>
    <t>Purchase Price</t>
  </si>
  <si>
    <t xml:space="preserve">All purchase orders will be invoiced at the Customer's price in 
effect at the time of the purchase order. The initial shelf stock order of Products will be supplied after the 
agreement has been fully executed (if Products are available). </t>
  </si>
  <si>
    <t>\GS Commercial Contracting\HPE\924555.PDF</t>
  </si>
  <si>
    <t>000006816~00046030.002</t>
  </si>
  <si>
    <t xml:space="preserve"> Notification of Modification to Inventory and Total Consignment Quantity (Cerenovus Product Consignment Agreement: Modified Schedule A)</t>
  </si>
  <si>
    <t>Notice to Product Consignment Agreement</t>
  </si>
  <si>
    <t xml:space="preserve">Wyoming Med Ctr (6816) Consignment Amendment Notice October 2020 </t>
  </si>
  <si>
    <t>\GS Commercial Contracting\HPE\880336.PDF</t>
  </si>
  <si>
    <t>000011718~00070341.001</t>
  </si>
  <si>
    <t>VAPR VUE® Radiofrequency System Capital Use Agreement</t>
  </si>
  <si>
    <t>Capital Use Agreement</t>
  </si>
  <si>
    <t>Melissa Memorial Hospital</t>
  </si>
  <si>
    <t>Annual Disposable Purchase</t>
  </si>
  <si>
    <t>Product line should be DEPUY SYNTHES MITEK SPORTS MEDICINE. Please see the subtitle "For Mitek use only" - Mitek is also named Mitek Sports Medicine.
SFDC # "281500" indicates as Item No. in the document.</t>
  </si>
  <si>
    <t>880336.PDF</t>
  </si>
  <si>
    <t>\GS Commercial Contracting\HPE\880338.PDF</t>
  </si>
  <si>
    <t>000011718~00070342.001</t>
  </si>
  <si>
    <t>FMS Vue™ II Fluid Management and Tissue Debridement System Capital Use Agreement</t>
  </si>
  <si>
    <t>00011718</t>
  </si>
  <si>
    <t>00011718 - Melissa Memorial Hospital</t>
  </si>
  <si>
    <t xml:space="preserve">Annual Requirement </t>
  </si>
  <si>
    <t xml:space="preserve">Disposables Purchase Requirement The Individual purchase prices for these products may Change. However, the Annual Disposables Purchase Requirement per
system will not chonge. </t>
  </si>
  <si>
    <t>Checking for other contract if it is connected to a Product Agreement Since there is no SFDC, Parent MSA, and Contract ID</t>
  </si>
  <si>
    <t>Please check the Ship-To UCN in Optimizer. It is the same as the customer UCN.
Already corrected 12/22</t>
  </si>
  <si>
    <t>000006816~00075363.001</t>
  </si>
  <si>
    <t>Single Site Agreement (Neuwave Medical, Inc.)</t>
  </si>
  <si>
    <t>Single Site Agreement</t>
  </si>
  <si>
    <t>Not-for-profit charitable corporation</t>
  </si>
  <si>
    <t>\GS Commercial Contracting\HPE\922656.PDF</t>
  </si>
  <si>
    <t>000080180~00076540.001</t>
  </si>
  <si>
    <t xml:space="preserve"> 090420-01</t>
  </si>
  <si>
    <t>Capital Equipment Agreement</t>
  </si>
  <si>
    <t>ACCLARENT ENT System</t>
  </si>
  <si>
    <t>Loveland Surgery Center,</t>
  </si>
  <si>
    <t>Colorado corporation</t>
  </si>
  <si>
    <t>00080180</t>
  </si>
  <si>
    <t>SURGERY CENTER OF LOVELAND {SURGER45) 090420-01 ASCNAV + S\l(;.TION DRAFT.DOCX</t>
  </si>
  <si>
    <t>00080180 - Loveland Surgery Center</t>
  </si>
  <si>
    <t>Contract and List Price</t>
  </si>
  <si>
    <t>Please Check Contract Title
Not sure about Business Unit since Acclarent is already sold (please consult Ivane)
12/19 - Changed Contract Title to "CAPITAL EQUIPMENT AGREEMENT"
Please check also the contract end date. Based on the contract, the date mentioned in Section 2 refers to the validity of the offer and not the end date of the contract.</t>
  </si>
  <si>
    <t>\GS Commercial Contracting\HPE\999814.PDF</t>
  </si>
  <si>
    <t>000009887~00086627.001</t>
  </si>
  <si>
    <t>129987</t>
  </si>
  <si>
    <t>Depuy Synthes Technology Exchange Single Site Agreement</t>
  </si>
  <si>
    <t>DEPUY SYNTHES TECHNOLOGY</t>
  </si>
  <si>
    <t>North Colorado Medical Center</t>
  </si>
  <si>
    <t>Colorado Corporation</t>
  </si>
  <si>
    <t>$c65c1af13162$3523F1987A69485896DF68FB976EAEC4.docx</t>
  </si>
  <si>
    <t xml:space="preserve">(a) The Customer acknowledges that, by law, it is required to 
disclose, in any cost reports or claims for reimbursement submitted to Medicare, Medicaid, or certain 
other health care programs, the cost (including, but not limited to, price concessions or any other price 
reductions) of any Product purchased under this agreement and, on request, provide to the U.S. 
Department of Health and Human Services and any state agencies, any invoices, coupons, statements, 
and other documentation reflecting such costs for Products. The Customer may receive subsequent 
documentation under some programs reflecting adjustments or allocations to the price concessions 
available hereunder. </t>
  </si>
  <si>
    <t>Check Optimizer for 00009887  North Colorado Medical Center it has same address in the contract and Optimizer</t>
  </si>
  <si>
    <t>999814.PDF</t>
  </si>
  <si>
    <t>\GS Commercial Contracting\HPE\1017108.PDF</t>
  </si>
  <si>
    <t>000005697~00089013.001</t>
  </si>
  <si>
    <t>CARVYKTI™ (Ciltacabtagene Autoleucel) Commercial Supply Agreement</t>
  </si>
  <si>
    <t>Oncology</t>
  </si>
  <si>
    <t>CART CELL ONCOLOGY PRODUCT</t>
  </si>
  <si>
    <t>Commercial Supply Agreement</t>
  </si>
  <si>
    <t>Banner University Medical Center Tucson</t>
  </si>
  <si>
    <t>TBC if Purchase Price</t>
  </si>
  <si>
    <t>Chimeric Antigen Receptor T Cell Oncology Product</t>
  </si>
  <si>
    <t>TBC if under Credit and Replacement Policy</t>
  </si>
  <si>
    <t>Please check Business Unit (Oncology according to Ivane)
12/19 - Change BU from Innovative Medicine to Oncology</t>
  </si>
  <si>
    <t>\GS Commercial Contracting\HPE\1037519.PDF</t>
  </si>
  <si>
    <t>000005697~00089013.002</t>
  </si>
  <si>
    <t>Notice of Modification of Schedule D: Receipt and Storage Manual - CARVYKTI® Commercial Supply Agreement</t>
  </si>
  <si>
    <t>\GS Commercial Contracting\HPE\1042475.PDF</t>
  </si>
  <si>
    <t>000006781~00092317.001</t>
  </si>
  <si>
    <t>Pricing Notification Letter (Depuy Joint Reconstruction)</t>
  </si>
  <si>
    <t>DEPUY SYNTHES JOINT RECONSTRUCTIONS</t>
  </si>
  <si>
    <t>Notice of Pricing Letter</t>
  </si>
  <si>
    <t>Lincoln Community Hospital</t>
  </si>
  <si>
    <t>JR SPNL JDL v1 20231017.docx</t>
  </si>
  <si>
    <t>1042475.PDF</t>
  </si>
  <si>
    <t>\GS Commercial Contracting\HPE\1075334.PDF</t>
  </si>
  <si>
    <t>000012164~00097535.001</t>
  </si>
  <si>
    <t>Surgical Specialty Hospital of Arizona</t>
  </si>
  <si>
    <t>PCL CJF v1 09-25-2024</t>
  </si>
  <si>
    <t>1075334.PDF</t>
  </si>
  <si>
    <t>\GS Commercial Contracting\HPE\957412.PDF</t>
  </si>
  <si>
    <t>001095133~00081176.001</t>
  </si>
  <si>
    <t>MB067</t>
  </si>
  <si>
    <t>Master Business Associate Agreement</t>
  </si>
  <si>
    <t>DEPUY IMPLANTS AND INSTRUMENTS</t>
  </si>
  <si>
    <t>Flagstaff Bone &amp; Joint</t>
  </si>
  <si>
    <t>Arizona group practice</t>
  </si>
  <si>
    <t>01095133</t>
  </si>
  <si>
    <t xml:space="preserve">Master BAA SGK vFINAL 09-07-2021 </t>
  </si>
  <si>
    <t>01095133 - Flagstaff Bone &amp; Joint</t>
  </si>
  <si>
    <t>\GS Commercial Contracting\HPE\972624.PDF</t>
  </si>
  <si>
    <t>001102591~00083340.001</t>
  </si>
  <si>
    <t>MC1118</t>
  </si>
  <si>
    <t>Master Single Site Consignment Agreement</t>
  </si>
  <si>
    <t xml:space="preserve">Coronado Surgery Center </t>
  </si>
  <si>
    <t>Nevada Corporation</t>
  </si>
  <si>
    <t>01102591</t>
  </si>
  <si>
    <t>MCA Mitek Schedule 110621 .docx</t>
  </si>
  <si>
    <t>\GS Commercial Contracting\HPE\1017986.PDF</t>
  </si>
  <si>
    <t>001102591~00083340.002</t>
  </si>
  <si>
    <t xml:space="preserve">Notification Of Address Change In The Master Agreement Notices Section </t>
  </si>
  <si>
    <t>Notice to Master Single Site Consignment Agreement</t>
  </si>
  <si>
    <t>\GS Commercial Contracting\HPE\972626.PDF</t>
  </si>
  <si>
    <t>001102591~00083341.001</t>
  </si>
  <si>
    <t>Customer Consignment Schedule - Depuy Synthes / Mitek</t>
  </si>
  <si>
    <t>Customer Consignment Schedule</t>
  </si>
  <si>
    <t xml:space="preserve">BU should be Depuy Synthes
Product line should be DEPUY SYNTHES MITEK SPORTS MEDICINE. Please see the subtitle Depuy Synthes Mitek" - Mitek is also named Mitek Sports Medicine.
</t>
  </si>
  <si>
    <t>972626.PDF</t>
  </si>
  <si>
    <t>\GS Commercial Contracting\HPE\1063817.PDF</t>
  </si>
  <si>
    <t>001400562~00096049.001</t>
  </si>
  <si>
    <t>Sterilmed EP Platinum Tip Recycling Program Participation Agreement (Single Site)</t>
  </si>
  <si>
    <t>Participation Agreement (Single Site)</t>
  </si>
  <si>
    <t>Pima Heart and Vascular Surgery Center</t>
  </si>
  <si>
    <t>SMIDTBD_1400562_SSA_EPTIP_BWI_22090819_9-8-2022</t>
  </si>
  <si>
    <t>Add Individual and Ship to UCN "1400562". Entity type should be "Not Listed" Minnesota Corporation is a Company</t>
  </si>
  <si>
    <t>\GS Commercial Contracting\HPE\1063818.PDF</t>
  </si>
  <si>
    <t>001400562~00096049.002</t>
  </si>
  <si>
    <t>11582_1400562_SSA_EPTIP_BWI_22090819-A01_1-22-2024</t>
  </si>
  <si>
    <t>\GS Commercial Contracting\HPE\948542.PDF</t>
  </si>
  <si>
    <t>001474918~00079871.001</t>
  </si>
  <si>
    <t>MC1026</t>
  </si>
  <si>
    <t>Single Site Consignment Agreement</t>
  </si>
  <si>
    <t>King of Prussia Surgery Center LLC</t>
  </si>
  <si>
    <t>Pennsylvania corporation</t>
  </si>
  <si>
    <t xml:space="preserve">MCA Mitek Schedule 050521.docx  </t>
  </si>
  <si>
    <t>King of Prussia Surgery Center</t>
  </si>
  <si>
    <t xml:space="preserve">I already add "LLC" in Customer Name, As per Optimizer it's "King of Prussia Surgery Center LLC" </t>
  </si>
  <si>
    <t>\GS Commercial Contracting\HPE\1018779.PDF</t>
  </si>
  <si>
    <t>001474918~00079871.002</t>
  </si>
  <si>
    <t xml:space="preserve">Notification of Address Change in the Master Agreement Notices Section </t>
  </si>
  <si>
    <t xml:space="preserve">Notice of Address Change in the Master Agreement </t>
  </si>
  <si>
    <t>I already add "LLC" in Customer Name, As per Optimizer it's "King of Prussia Surgery Center LLC"  and If the contract have no record keywords, you must fill it with Trim Number</t>
  </si>
  <si>
    <t>\GS Commercial Contracting\HPE\948545.PDF</t>
  </si>
  <si>
    <t>001474918~00079872.001</t>
  </si>
  <si>
    <t>1474918</t>
  </si>
  <si>
    <t>MCA Mitek Schedule 050521.docx</t>
  </si>
  <si>
    <t>948545.PDF</t>
  </si>
  <si>
    <t>\GS Commercial Contracting\HPE\991989.PDF</t>
  </si>
  <si>
    <t>001519544~00085638.001</t>
  </si>
  <si>
    <t>MB138</t>
  </si>
  <si>
    <t>Southeast Orthopedic Specialist</t>
  </si>
  <si>
    <t>Florida Corporation</t>
  </si>
  <si>
    <t>Master BAA rlt v.1 2022.07.20</t>
  </si>
  <si>
    <t>MB138 - this should be Contract ID, since the document is Master Business Associate and has no Parent MSA</t>
  </si>
  <si>
    <t>991989.PDF</t>
  </si>
  <si>
    <t>\GS Commercial Contracting\HPE\1061888.PDF</t>
  </si>
  <si>
    <t>001509714~00095805.001</t>
  </si>
  <si>
    <t>Advance Case Management (Master Program Agreement)</t>
  </si>
  <si>
    <t>Master Program Agreement</t>
  </si>
  <si>
    <t>Desert Othopedics Center LCC</t>
  </si>
  <si>
    <t>1061888.PDF</t>
  </si>
  <si>
    <t>\GS Commercial Contracting\HPE\1070813.PDF</t>
  </si>
  <si>
    <t>001467616~00096850.001</t>
  </si>
  <si>
    <t>Carvykti (Ciltacabtagene Autoleucel) Commercial Supply Agreement</t>
  </si>
  <si>
    <t>CARVYKTI (CILTACABTAGENE AUTOLEUCEL)</t>
  </si>
  <si>
    <t xml:space="preserve">Banner Health_Janssen CAR-T Commercial Supply Agreement v2 KD 20240604 </t>
  </si>
  <si>
    <t>Double check the contract type. It shoudl be "Commercial Supply Agreement".</t>
  </si>
  <si>
    <t>1070813.PDF</t>
  </si>
  <si>
    <t>\GS Commercial Contracting\HPE\460673.PDF</t>
  </si>
  <si>
    <t>000005837~00046519.001</t>
  </si>
  <si>
    <t>Codman Neurovascular Product Consignment Agreement</t>
  </si>
  <si>
    <t>CODMAN NEUROVASCULAR PRODUCTS</t>
  </si>
  <si>
    <t>University of California Davis Medical Center</t>
  </si>
  <si>
    <t>California Corporation</t>
  </si>
  <si>
    <t xml:space="preserve">CNV Consignment Agreement </t>
  </si>
  <si>
    <t>Could not find Customer UCN in Optimizer</t>
  </si>
  <si>
    <t>The UCN and Shito To UCN can be found in the Optimizer by searching "UC DAVIS MEDICAL CENTER".</t>
  </si>
  <si>
    <t>460673.PDF</t>
  </si>
  <si>
    <t>\GS Commercial Contracting\HPE\462875.PDF</t>
  </si>
  <si>
    <t>000005737~00046699.001</t>
  </si>
  <si>
    <t>00505082</t>
  </si>
  <si>
    <t>DEPUY SYNTHES</t>
  </si>
  <si>
    <t>UCSD Medical Center</t>
  </si>
  <si>
    <t>California corporation</t>
  </si>
  <si>
    <t>00005737</t>
  </si>
  <si>
    <t xml:space="preserve"> CONSIGNMENT AGREEMENT 9.11.14</t>
  </si>
  <si>
    <t>462875.PDF</t>
  </si>
  <si>
    <t>\GS Commercial Contracting\HPE\478565.PDF</t>
  </si>
  <si>
    <t>000005737~00046699.002</t>
  </si>
  <si>
    <t>Amendment #1 To CODMAN Neuro Consignment Agreement</t>
  </si>
  <si>
    <t>Amendment to Product Consignment Agreement</t>
  </si>
  <si>
    <t xml:space="preserve">CNV Consignment Amendment #1 3.23.16 </t>
  </si>
  <si>
    <t>478565.PDF</t>
  </si>
  <si>
    <t>\GS Commercial Contracting\HPE\881825.PDF</t>
  </si>
  <si>
    <t>000005755~00070712.001</t>
  </si>
  <si>
    <t xml:space="preserve"> 00517538 </t>
  </si>
  <si>
    <t>UC IRVINE MEDICAL CENTER</t>
  </si>
  <si>
    <t>01180302</t>
  </si>
  <si>
    <t>\GS Commercial Contracting\HPE\881827.PDF</t>
  </si>
  <si>
    <t>000005755~00070712.002</t>
  </si>
  <si>
    <t>Amendment To Cerenovus Consignment Agreement</t>
  </si>
  <si>
    <t>Consignment Amendment January 2019</t>
  </si>
  <si>
    <t>\GS Commercial Contracting\HPE\931114.PDF</t>
  </si>
  <si>
    <t>000005755~00070712.003</t>
  </si>
  <si>
    <t>Notification Of Modification To Inventory And Total Consignment Quantity_x000D_</t>
  </si>
  <si>
    <t>CNV Consignment Amendment Notice December 2020</t>
  </si>
  <si>
    <t>\GS Commercial Contracting\HPE\980669.PDF</t>
  </si>
  <si>
    <t>000005755~00070712.004</t>
  </si>
  <si>
    <t>CNV CSGN Amend PAR Level 11-3-2021</t>
  </si>
  <si>
    <t>\GS Commercial Contracting\HPE\949351.PDF</t>
  </si>
  <si>
    <t>000004115~00079999.001</t>
  </si>
  <si>
    <t>VELYS™ Hip Navigation Single-Site Customer Agreement</t>
  </si>
  <si>
    <t>VELYS™ HIP NAVIGATION</t>
  </si>
  <si>
    <t>Single-Site Customer Agreement</t>
  </si>
  <si>
    <t>Doctors Hospital</t>
  </si>
  <si>
    <t>00004115</t>
  </si>
  <si>
    <t>Subscription basis</t>
  </si>
  <si>
    <t>Service Subscription and Equipment Pricing</t>
  </si>
  <si>
    <t>Subject to the terms of this agreement, Company will offer Customer the VEL YS™ Hip Navigation equipment ("Equipment") and the VEL YS™ Hip Navigation software ("Software"), each listed on Schedule A, along with any and all Support (collectively, the Software and Support being the "Services"). The Services are offered byCompany on a subscription basis. Customer agrees to pay Company for the Equipment and Servicesat the pricing set forth on Schedule A.</t>
  </si>
  <si>
    <t xml:space="preserve"> </t>
  </si>
  <si>
    <t>949351.PDF</t>
  </si>
  <si>
    <t>\GS Commercial Contracting\HPE\980729.PDF</t>
  </si>
  <si>
    <t>000004115~00079999.002</t>
  </si>
  <si>
    <t>Amendment 1 To Single-Site Customer Agreement (VELYS™ Hip Navigation)</t>
  </si>
  <si>
    <t>Amendment to Single Site Customer Agreement</t>
  </si>
  <si>
    <t>980729.PDF</t>
  </si>
  <si>
    <t>\GS Commercial Contracting\HPE\1003642.PDF</t>
  </si>
  <si>
    <t>000004115~00079999.003</t>
  </si>
  <si>
    <t>Amendment No. 2 To VELYS™ Hip Navigation Single-Site Rental Agreement</t>
  </si>
  <si>
    <t>The annual fee for the Equipment rented and Subscription Services for the VHN
Software purchased is $69,000 per calendar year.
The annual subscription fee for Subscription Services for the CUPTIMIZE™
Module is $15,000 per calendar year.</t>
  </si>
  <si>
    <t>1003642.PDF</t>
  </si>
  <si>
    <t>\GS Commercial Contracting\HPE\1058920.PDF</t>
  </si>
  <si>
    <t>000004115~00079999.004</t>
  </si>
  <si>
    <t>Amendment No. 3 To Velys™ Hip Navigation Single-Site Rental Agreement</t>
  </si>
  <si>
    <t>The monthly fee for the Equipment rented and Subscription Services purchased is
$5,750.00 per calendar month.
The annual subscription fee for Subscription Services for the CUPTIMIZE™ Module is
$15,000.00 per calendar year.</t>
  </si>
  <si>
    <t>1058920.PDF</t>
  </si>
  <si>
    <t>\GS Commercial Contracting\HPE\950306.PDF</t>
  </si>
  <si>
    <t>000005715~00080080.001</t>
  </si>
  <si>
    <t>Ronald Readgan UCLA Medical Center</t>
  </si>
  <si>
    <t>00005715</t>
  </si>
  <si>
    <t>All purchase orders will be invoiced at the Customer’s price in effect at the time of the purchase order. The initial shelf stock order of Products will be supplied after the agreement has been fully executed</t>
  </si>
  <si>
    <t>Either party may terminate this agreement at any time by giving 30 days' advance notice to the other party.</t>
  </si>
  <si>
    <t>Please check the contract ID of this agreement. (12/22/2025)</t>
  </si>
  <si>
    <t>950306.PDF</t>
  </si>
  <si>
    <t>\GS Commercial Contracting\HPE\1001028.PDF</t>
  </si>
  <si>
    <t>000005737~00086784.001</t>
  </si>
  <si>
    <t>Biosurgery Vizient Supp JJS v2 20221006.docx</t>
  </si>
  <si>
    <t>Subject to the terms and conditions of this Supplement, the Supplier shall offer the Products to the Participants at the Discounts stated in Schedule A if, in a given Year, the Member’s performance meets or exceeds the performance requirements set forth on Schedule A. Prices at the product code level may be obtained by calling Johnson &amp; Johnson Health Care Systems Customer Service at 800-255-2500 or from the Member’s Distributor. As of the Supplement Effective Date, the Discounts stated in Table 1b will be applied to Price Book SD90 subject to the price adjustment provisions of Section</t>
  </si>
  <si>
    <t>I already add the Customer, Individual and Ship to UCN "5737", Type of Pricing is "Tier Pricing"</t>
  </si>
  <si>
    <t>\GS Commercial Contracting\HPE\1001137.PDF</t>
  </si>
  <si>
    <t>\GS Commercial Contracting\HPE\1193922.PDF</t>
  </si>
  <si>
    <t>\GS Commercial Contracting\HPE\1004875.ZIP</t>
  </si>
  <si>
    <t>000003893~00087319.001</t>
  </si>
  <si>
    <t xml:space="preserve"> 00141136</t>
  </si>
  <si>
    <t xml:space="preserve"> 00632052_x000D_</t>
  </si>
  <si>
    <t>Pricing Letter Agreement (Depuy Synthes Cmf)</t>
  </si>
  <si>
    <t>Childrens Hospital and Research Center</t>
  </si>
  <si>
    <t xml:space="preserve"> 00003893</t>
  </si>
  <si>
    <t>DSCMF PCL PDK v1 20221201</t>
  </si>
  <si>
    <t>Sales Discount</t>
  </si>
  <si>
    <t>\GS Commercial Contracting\HPE\1043845.PDF</t>
  </si>
  <si>
    <t>000003893~00087319.002</t>
  </si>
  <si>
    <t>00173452</t>
  </si>
  <si>
    <t>Notice To Update Pricing Letter Agreement (Depuy Synthes Cmf)</t>
  </si>
  <si>
    <t>Notice to Update Pricing Letter Agreement</t>
  </si>
  <si>
    <t>Please check the salesforce ID (00173452) and the contract type (amendmend or notice). (12/22/2025)</t>
  </si>
  <si>
    <t>\GS Commercial Contracting\HPE\1008315.PDF</t>
  </si>
  <si>
    <t>000005715~00087801.001</t>
  </si>
  <si>
    <t>California constitutional corporation</t>
  </si>
  <si>
    <t>01030242</t>
  </si>
  <si>
    <t>Purhcase Price</t>
  </si>
  <si>
    <t>Credit and Replacement Policy</t>
  </si>
  <si>
    <t>\GS Commercial Contracting\HPE\1037694.PDF</t>
  </si>
  <si>
    <t>000005715~00087801.002</t>
  </si>
  <si>
    <t>Notice of Modification of Schedule D: Receipt and Storage Manual - CARVYKTI® Commercial
Supply Agreement</t>
  </si>
  <si>
    <t>Notice of Modification of Commercial Supply Agreement</t>
  </si>
  <si>
    <t>Please check the type of pricing if it inherits the original contract. (12/22/2025)</t>
  </si>
  <si>
    <t>\GS Commercial Contracting\HPE\1045980.PDF</t>
  </si>
  <si>
    <t>000005715~00087801.003</t>
  </si>
  <si>
    <t xml:space="preserve">Amendment To CARVYKTI® (Ciltacabtagene Autoleucel) Commercial Supply Agreement </t>
  </si>
  <si>
    <t>00005715;
00006856;</t>
  </si>
  <si>
    <t>Ronald Readgan UCLA Medical Center;
UCLA Santa Monica Medical Center;</t>
  </si>
  <si>
    <t>\GS Commercial Contracting\HPE\1059844.PDF</t>
  </si>
  <si>
    <t>000005715~00087801.004</t>
  </si>
  <si>
    <t>Amendment To CARVYKTI® (Ciltacabtagene Autoleucel) Commercial Supply Agreement</t>
  </si>
  <si>
    <t>UCLA Health</t>
  </si>
  <si>
    <t>Cannot find UCN Number in Optimizer</t>
  </si>
  <si>
    <t>\GS Commercial Contracting\HPE\1008726.PDF</t>
  </si>
  <si>
    <t>000007121~00087844.001</t>
  </si>
  <si>
    <t>Consignment Agreement</t>
  </si>
  <si>
    <t>West Hills Hospital and Medical Center</t>
  </si>
  <si>
    <t>7121 West Hills Hospital and Medical Center HCA Joint Remediation Schedule 010423</t>
  </si>
  <si>
    <t>The UCN and Shito To UCN can be found in the Optimizer by searching "West Hills Medical Center". You will see "W HLS HOSP AND MEDCL CNTR"  under the Ship-to Name which is part of UCLA West Valley Medical Center. 
Please double check the contract ID.</t>
  </si>
  <si>
    <t>\GS Commercial Contracting\HPE\1016948.PDF</t>
  </si>
  <si>
    <t>000002932~00088962.001</t>
  </si>
  <si>
    <t>Pricing Letter Agreement (Single Site)</t>
  </si>
  <si>
    <t>ETHICON LINX</t>
  </si>
  <si>
    <t>South Miami Hospital</t>
  </si>
  <si>
    <t>New Jersey Corporation</t>
  </si>
  <si>
    <t>00002932 SOUTH MIAMI HOSPITAL LINX SS PCL RMW 2023-04</t>
  </si>
  <si>
    <t>\GS Commercial Contracting\HPE\1018972.PDF</t>
  </si>
  <si>
    <t>000002935~00089271.001</t>
  </si>
  <si>
    <t>Baptist Hospital of Miami</t>
  </si>
  <si>
    <t>00002935</t>
  </si>
  <si>
    <t>00002935 BAPTIST HOSPITAL OF MIAMI LINX PCL RMW 2023-04</t>
  </si>
  <si>
    <t>\GS Commercial Contracting\HPE\1026053.ZIP</t>
  </si>
  <si>
    <t>\GS Commercial Contracting\HPE\1031270.PDF</t>
  </si>
  <si>
    <t>000002941~00090627.001</t>
  </si>
  <si>
    <t>VELYS HIP NAVIGATION EQUIPMENT</t>
  </si>
  <si>
    <t>Boca Raton Regional Hospital</t>
  </si>
  <si>
    <t>00002941</t>
  </si>
  <si>
    <t>00002941 Boca Raton Regional Hospital VHN Single-Site Customer Pay-Per-Case Agreement RD v1 6.28.23</t>
  </si>
  <si>
    <t>\GS Commercial Contracting\HPE\1034712.PDF</t>
  </si>
  <si>
    <t>\GS Commercial Contracting\HPE\1046204.PDF</t>
  </si>
  <si>
    <t>000019161~00092887.001</t>
  </si>
  <si>
    <t>Performance Pricing Letter Agreement (Single Site) (Ethicon NeuWave™)</t>
  </si>
  <si>
    <t>University of CA Davis MC</t>
  </si>
  <si>
    <t>PPL 20240301</t>
  </si>
  <si>
    <t>Product Line should be "PROBE &amp; ACCESSORY, Can't find the Customer Entity Type "California state corporation"</t>
  </si>
  <si>
    <t>\GS Commercial Contracting\HPE\1049914.PDF</t>
  </si>
  <si>
    <t>\GS Commercial Contracting\HPE\1054347.PDF</t>
  </si>
  <si>
    <t>000005835~00094581.001</t>
  </si>
  <si>
    <t>MC1301</t>
  </si>
  <si>
    <t>UC Davis Health</t>
  </si>
  <si>
    <t>California Academic Medical Center</t>
  </si>
  <si>
    <t>01540758</t>
  </si>
  <si>
    <t xml:space="preserve">CleanVersion_UC Davis_MasterConsignment_01.Mar.2024 </t>
  </si>
  <si>
    <t>\GS Commercial Contracting\HPE\1060792.PDF</t>
  </si>
  <si>
    <t>000004115~00095639.001</t>
  </si>
  <si>
    <t>FMS Vue® and VAPR Vue® Allocation Program</t>
  </si>
  <si>
    <t>FMS VUE® and VAPR VUE®</t>
  </si>
  <si>
    <t>Allocation Disclosure Letter</t>
  </si>
  <si>
    <t xml:space="preserve">Purchase Price </t>
  </si>
  <si>
    <t>Price Purchase</t>
  </si>
  <si>
    <t xml:space="preserve">You must take reasonable care of the Equipment and maintain and use the Equipment in accordance with the product documentation. Upon 
return, the Equipment must be in the same condition as it was when placed at your facility, ordinary wear and tear excepted and must be 
properly cleaned prior to shipping. In the event of any damage to, loss of, or destruction of the Equipment while in your possession, you must
notify DPS promptly and pay DPS to cover any such damage and, to the extent the Equipment is lost or destroyed, pay an amount equal to 
your eligible purchase price for the Equipment in effect at the time. </t>
  </si>
  <si>
    <t>Kindly check the last sentence of the 2nd paragraph of the letter.</t>
  </si>
  <si>
    <t>\GS Commercial Contracting\HPE\1073399.PDF</t>
  </si>
  <si>
    <t>000005788~00097224.001</t>
  </si>
  <si>
    <t>MC1073</t>
  </si>
  <si>
    <t>Depuy Synthes Only Single Site Consignment Agreement</t>
  </si>
  <si>
    <t>DEPUY SYNTHES PRODUCTS</t>
  </si>
  <si>
    <t>Salinas Valley Memorial Healthcare System</t>
  </si>
  <si>
    <t>Local Health Care District Organized And Operated Pursuant To Division 23 Of The California Health And Safety Code</t>
  </si>
  <si>
    <t>5788 Salinas Valley Memorial Hospital MCA 082124 with approved redlines.docx</t>
  </si>
  <si>
    <t>2 UCN available for Customer in Optimizer</t>
  </si>
  <si>
    <t>Please check the end date of this contract.</t>
  </si>
  <si>
    <t>\GS Commercial Contracting\HPE\1075104.PDF</t>
  </si>
  <si>
    <t>000005788~00097499.001</t>
  </si>
  <si>
    <t>Customer Consignment Schedule-Depuy Synthes/Joint Recon</t>
  </si>
  <si>
    <t>Consignment Schedule</t>
  </si>
  <si>
    <t>5788 Salinas Valley Memorial Hospital Joint Schedule 082124 .docx</t>
  </si>
  <si>
    <t>\GS Commercial Contracting\HPE\1076242.PDF</t>
  </si>
  <si>
    <t>000501433~00097683.001</t>
  </si>
  <si>
    <t>South Palm Ambulatory Surgery Center LLC</t>
  </si>
  <si>
    <t>\GS Commercial Contracting\HPE\753520.PDF</t>
  </si>
  <si>
    <t>000058200~00059599.001</t>
  </si>
  <si>
    <t>UCSD Medical Center Thornton</t>
  </si>
  <si>
    <t>00005736</t>
  </si>
  <si>
    <t xml:space="preserve">Consignment Agreement March 2018 </t>
  </si>
  <si>
    <t>\GS Commercial Contracting\HPE\759023.PDF</t>
  </si>
  <si>
    <t>000058200~00059599.002</t>
  </si>
  <si>
    <t>Notification Of Modification To Inventory And Total Consignment Quantity</t>
  </si>
  <si>
    <t>Consignment Amendment Notice July 2018</t>
  </si>
  <si>
    <t>\GS Commercial Contracting\HPE\1012538.PDF</t>
  </si>
  <si>
    <t>000058200~00059599.003</t>
  </si>
  <si>
    <t>Consignment Amendment Notice – Schedule A2 (Feb.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</si>
</sst>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u/>
      <sz val="11"/>
      <color theme="10"/>
      <name val="Aptos Narrow"/>
      <family val="2"/>
      <scheme val="minor"/>
    </font>
    <font>
      <b/>
      <sz val="11"/>
      <color theme="0"/>
      <name val="Aptos Narrow"/>
      <family val="2"/>
      <scheme val="minor"/>
    </font>
    <font>
      <b/>
      <sz val="11"/>
      <name val="Aptos Narrow"/>
      <family val="2"/>
      <scheme val="minor"/>
    </font>
    <font>
      <b/>
      <sz val="11"/>
      <color rgb="FFFF0000"/>
      <name val="Aptos Narrow"/>
      <family val="2"/>
      <scheme val="minor"/>
    </font>
    <font>
      <sz val="11"/>
      <name val="Aptos Narrow"/>
      <family val="2"/>
      <scheme val="minor"/>
    </font>
    <font>
      <sz val="11"/>
      <color rgb="FF000000"/>
      <name val="Aptos Narrow"/>
      <family val="2"/>
      <scheme val="minor"/>
    </font>
    <font>
      <sz val="11"/>
      <color rgb="FF242424"/>
      <name val="Aptos Narrow"/>
      <family val="2"/>
    </font>
    <font>
      <sz val="11"/>
      <color rgb="FF242424"/>
      <name val="Aptos Narrow"/>
    </font>
    <font>
      <sz val="11"/>
      <color rgb="FF000000"/>
      <name val="Aptos Narrow"/>
    </font>
    <font>
      <sz val="11"/>
      <color theme="1"/>
      <name val="Segoe UI"/>
      <family val="2"/>
    </font>
    <font>
      <sz val="11"/>
      <color theme="1"/>
      <name val="Aptos Narrow"/>
      <scheme val="minor"/>
    </font>
    <font>
      <sz val="10"/>
      <color theme="1"/>
      <name val="Aptos Narrow"/>
      <family val="2"/>
      <scheme val="minor"/>
    </font>
    <font>
      <sz val="11"/>
      <color rgb="FF242424"/>
      <name val="Aptos Narrow"/>
      <charset val="1"/>
    </font>
    <font>
      <sz val="11"/>
      <color theme="1"/>
      <name val="Segoe UI"/>
      <charset val="1"/>
    </font>
    <font>
      <sz val="11"/>
      <color theme="1" tint="0.499984740745262"/>
      <name val="Aptos Narrow"/>
      <family val="2"/>
      <scheme val="minor"/>
    </font>
    <font>
      <sz val="11"/>
      <color theme="1"/>
      <name val="Segoe UI"/>
    </font>
  </fonts>
  <fills count="9">
    <fill>
      <patternFill patternType="none"/>
    </fill>
    <fill>
      <patternFill patternType="gray125"/>
    </fill>
    <fill>
      <patternFill patternType="solid">
        <fgColor theme="3" tint="0.249977111117893"/>
        <bgColor indexed="64"/>
      </patternFill>
    </fill>
    <fill>
      <patternFill patternType="solid">
        <fgColor rgb="FFFFC9D3"/>
        <bgColor indexed="64"/>
      </patternFill>
    </fill>
    <fill>
      <patternFill patternType="solid">
        <fgColor rgb="FFEB1700"/>
        <bgColor indexed="64"/>
      </patternFill>
    </fill>
    <fill>
      <patternFill patternType="solid">
        <fgColor rgb="FFFF8D81"/>
        <bgColor indexed="64"/>
      </patternFill>
    </fill>
    <fill>
      <patternFill patternType="solid">
        <fgColor rgb="FFFF0000"/>
        <bgColor indexed="64"/>
      </patternFill>
    </fill>
    <fill>
      <patternFill patternType="solid">
        <fgColor rgb="FFFFFF00"/>
        <bgColor indexed="64"/>
      </patternFill>
    </fill>
    <fill>
      <patternFill patternType="solid">
        <fgColor theme="6" tint="0.79998168889431442"/>
        <bgColor indexed="64"/>
      </patternFill>
    </fill>
  </fills>
  <borders count="2">
    <border>
      <left/>
      <right/>
      <top/>
      <bottom/>
      <diagonal/>
    </border>
    <border>
      <left/>
      <right/>
      <top style="dotted">
        <color theme="0" tint="-0.24994659260841701"/>
      </top>
      <bottom style="dotted">
        <color theme="0" tint="-0.24994659260841701"/>
      </bottom>
      <diagonal/>
    </border>
  </borders>
  <cellStyleXfs count="2">
    <xf numFmtId="0" fontId="0" fillId="0" borderId="0"/>
    <xf numFmtId="0" fontId="1" fillId="0" borderId="0" applyNumberFormat="0" applyFill="0" applyBorder="0" applyAlignment="0" applyProtection="0"/>
  </cellStyleXfs>
  <cellXfs count="89">
    <xf numFmtId="0" fontId="0" fillId="0" borderId="0" xfId="0"/>
    <xf numFmtId="0" fontId="2" fillId="2" borderId="1" xfId="0" applyFont="1" applyFill="1" applyBorder="1" applyAlignment="1">
      <alignment horizontal="center" vertical="top" wrapText="1"/>
    </xf>
    <xf numFmtId="49" fontId="3" fillId="3" borderId="1" xfId="0" applyNumberFormat="1" applyFont="1" applyFill="1" applyBorder="1" applyAlignment="1">
      <alignment horizontal="center" vertical="top" wrapText="1"/>
    </xf>
    <xf numFmtId="0" fontId="3" fillId="3" borderId="1" xfId="0" applyFont="1" applyFill="1" applyBorder="1" applyAlignment="1">
      <alignment horizontal="center" vertical="top" wrapText="1"/>
    </xf>
    <xf numFmtId="1" fontId="3" fillId="3" borderId="1" xfId="0" applyNumberFormat="1" applyFont="1" applyFill="1" applyBorder="1" applyAlignment="1">
      <alignment horizontal="center" vertical="top" wrapText="1"/>
    </xf>
    <xf numFmtId="0" fontId="4" fillId="3" borderId="1" xfId="0" applyFont="1" applyFill="1" applyBorder="1" applyAlignment="1">
      <alignment horizontal="center" vertical="top" wrapText="1"/>
    </xf>
    <xf numFmtId="14" fontId="4" fillId="3" borderId="1" xfId="0" applyNumberFormat="1" applyFont="1" applyFill="1" applyBorder="1" applyAlignment="1">
      <alignment horizontal="center" vertical="top" wrapText="1"/>
    </xf>
    <xf numFmtId="0" fontId="2" fillId="4" borderId="1" xfId="0" applyFont="1" applyFill="1" applyBorder="1" applyAlignment="1">
      <alignment horizontal="center" vertical="top" wrapText="1"/>
    </xf>
    <xf numFmtId="14" fontId="2" fillId="4" borderId="1" xfId="0" applyNumberFormat="1" applyFont="1" applyFill="1" applyBorder="1" applyAlignment="1">
      <alignment horizontal="center" vertical="top" wrapText="1"/>
    </xf>
    <xf numFmtId="0" fontId="3" fillId="5" borderId="1" xfId="0" applyFont="1" applyFill="1" applyBorder="1" applyAlignment="1">
      <alignment horizontal="center" vertical="top" wrapText="1"/>
    </xf>
    <xf numFmtId="14" fontId="2" fillId="2" borderId="1" xfId="0" applyNumberFormat="1" applyFont="1" applyFill="1" applyBorder="1" applyAlignment="1">
      <alignment horizontal="center" vertical="top" wrapText="1"/>
    </xf>
    <xf numFmtId="49" fontId="2" fillId="2" borderId="1" xfId="0" applyNumberFormat="1" applyFont="1" applyFill="1" applyBorder="1" applyAlignment="1">
      <alignment horizontal="center" vertical="top" wrapText="1"/>
    </xf>
    <xf numFmtId="0" fontId="0" fillId="0" borderId="0" xfId="0" applyAlignment="1">
      <alignment horizontal="center" vertical="top"/>
    </xf>
    <xf numFmtId="0" fontId="0" fillId="0" borderId="1" xfId="0" applyBorder="1" applyAlignment="1">
      <alignment vertical="top"/>
    </xf>
    <xf numFmtId="0" fontId="0" fillId="0" borderId="0" xfId="0" applyAlignment="1">
      <alignment horizontal="center"/>
    </xf>
    <xf numFmtId="49" fontId="0" fillId="0" borderId="1" xfId="0" applyNumberFormat="1" applyBorder="1" applyAlignment="1">
      <alignment horizontal="center" vertical="top"/>
    </xf>
    <xf numFmtId="0" fontId="0" fillId="0" borderId="1" xfId="0" applyBorder="1" applyAlignment="1">
      <alignment horizontal="center" vertical="top"/>
    </xf>
    <xf numFmtId="1" fontId="0" fillId="0" borderId="1" xfId="0" applyNumberFormat="1" applyBorder="1" applyAlignment="1">
      <alignment horizontal="center" vertical="top"/>
    </xf>
    <xf numFmtId="14" fontId="0" fillId="0" borderId="1" xfId="0" applyNumberFormat="1" applyBorder="1" applyAlignment="1">
      <alignment horizontal="center" vertical="top"/>
    </xf>
    <xf numFmtId="0" fontId="0" fillId="0" borderId="1" xfId="0" applyBorder="1" applyAlignment="1">
      <alignment horizontal="left" vertical="top"/>
    </xf>
    <xf numFmtId="0" fontId="0" fillId="0" borderId="1" xfId="0" applyBorder="1" applyAlignment="1">
      <alignment vertical="top" wrapText="1"/>
    </xf>
    <xf numFmtId="0" fontId="1" fillId="0" borderId="0" xfId="1" applyFill="1" applyAlignment="1">
      <alignment vertical="top"/>
    </xf>
    <xf numFmtId="0" fontId="0" fillId="0" borderId="0" xfId="0" applyAlignment="1">
      <alignment vertical="top"/>
    </xf>
    <xf numFmtId="14" fontId="0" fillId="0" borderId="1" xfId="0" applyNumberFormat="1" applyBorder="1" applyAlignment="1">
      <alignment horizontal="left" vertical="top"/>
    </xf>
    <xf numFmtId="0" fontId="0" fillId="0" borderId="1" xfId="0" applyBorder="1" applyAlignment="1">
      <alignment horizontal="left" vertical="top" wrapText="1"/>
    </xf>
    <xf numFmtId="0" fontId="1" fillId="0" borderId="1" xfId="1" applyBorder="1" applyAlignment="1">
      <alignment vertical="top"/>
    </xf>
    <xf numFmtId="0" fontId="5" fillId="0" borderId="1" xfId="0" applyFont="1" applyBorder="1" applyAlignment="1">
      <alignment vertical="top" wrapText="1"/>
    </xf>
    <xf numFmtId="0" fontId="5" fillId="0" borderId="1" xfId="0" applyFont="1" applyBorder="1" applyAlignment="1">
      <alignment horizontal="center" vertical="top"/>
    </xf>
    <xf numFmtId="0" fontId="0" fillId="0" borderId="1" xfId="0" applyBorder="1" applyAlignment="1">
      <alignment horizontal="center" vertical="top" wrapText="1"/>
    </xf>
    <xf numFmtId="14" fontId="6" fillId="0" borderId="1" xfId="0" applyNumberFormat="1" applyFont="1" applyBorder="1" applyAlignment="1">
      <alignment horizontal="center" vertical="top"/>
    </xf>
    <xf numFmtId="0" fontId="7" fillId="0" borderId="0" xfId="0" applyFont="1" applyAlignment="1">
      <alignment horizontal="center"/>
    </xf>
    <xf numFmtId="0" fontId="6" fillId="0" borderId="1" xfId="0" applyFont="1" applyBorder="1" applyAlignment="1">
      <alignment vertical="top" wrapText="1"/>
    </xf>
    <xf numFmtId="0" fontId="5" fillId="0" borderId="1" xfId="0" applyFont="1" applyBorder="1" applyAlignment="1">
      <alignment vertical="top"/>
    </xf>
    <xf numFmtId="0" fontId="8" fillId="0" borderId="0" xfId="0" applyFont="1" applyAlignment="1">
      <alignment horizontal="center"/>
    </xf>
    <xf numFmtId="0" fontId="6" fillId="0" borderId="1" xfId="0" applyFont="1" applyBorder="1" applyAlignment="1">
      <alignment horizontal="left" vertical="top"/>
    </xf>
    <xf numFmtId="0" fontId="9" fillId="0" borderId="0" xfId="0" applyFont="1"/>
    <xf numFmtId="0" fontId="10" fillId="0" borderId="0" xfId="0" applyFont="1"/>
    <xf numFmtId="0" fontId="5" fillId="0" borderId="1" xfId="0" applyFont="1" applyBorder="1" applyAlignment="1">
      <alignment horizontal="left" vertical="top"/>
    </xf>
    <xf numFmtId="0" fontId="7" fillId="0" borderId="0" xfId="0" applyFont="1"/>
    <xf numFmtId="0" fontId="7" fillId="0" borderId="0" xfId="0" applyFont="1" applyAlignment="1">
      <alignment wrapText="1"/>
    </xf>
    <xf numFmtId="0" fontId="11" fillId="0" borderId="0" xfId="0" applyFont="1" applyAlignment="1">
      <alignment horizontal="center"/>
    </xf>
    <xf numFmtId="49" fontId="0" fillId="0" borderId="1" xfId="0" applyNumberFormat="1" applyBorder="1" applyAlignment="1">
      <alignment horizontal="center" vertical="top" wrapText="1"/>
    </xf>
    <xf numFmtId="0" fontId="11" fillId="0" borderId="0" xfId="0" applyFont="1" applyAlignment="1">
      <alignment horizontal="left"/>
    </xf>
    <xf numFmtId="49" fontId="0" fillId="0" borderId="1" xfId="0" applyNumberFormat="1" applyBorder="1" applyAlignment="1">
      <alignment vertical="top"/>
    </xf>
    <xf numFmtId="0" fontId="0" fillId="6" borderId="1" xfId="0" applyFill="1" applyBorder="1" applyAlignment="1">
      <alignment vertical="top"/>
    </xf>
    <xf numFmtId="0" fontId="12" fillId="0" borderId="0" xfId="0" applyFont="1" applyAlignment="1">
      <alignment horizontal="center" vertical="top"/>
    </xf>
    <xf numFmtId="0" fontId="0" fillId="0" borderId="0" xfId="0" applyAlignment="1">
      <alignment horizontal="left"/>
    </xf>
    <xf numFmtId="0" fontId="0" fillId="0" borderId="0" xfId="0" applyAlignment="1">
      <alignment vertical="top" wrapText="1"/>
    </xf>
    <xf numFmtId="0" fontId="6" fillId="0" borderId="0" xfId="0" applyFont="1" applyAlignment="1">
      <alignment horizontal="center"/>
    </xf>
    <xf numFmtId="0" fontId="5" fillId="0" borderId="0" xfId="0" applyFont="1" applyAlignment="1">
      <alignment vertical="top"/>
    </xf>
    <xf numFmtId="0" fontId="0" fillId="0" borderId="0" xfId="0" applyAlignment="1">
      <alignment wrapText="1"/>
    </xf>
    <xf numFmtId="0" fontId="6" fillId="0" borderId="1" xfId="0" applyFont="1" applyBorder="1" applyAlignment="1">
      <alignment vertical="top"/>
    </xf>
    <xf numFmtId="14" fontId="5" fillId="0" borderId="1" xfId="0" applyNumberFormat="1" applyFont="1" applyBorder="1" applyAlignment="1">
      <alignment horizontal="center" vertical="top"/>
    </xf>
    <xf numFmtId="1" fontId="0" fillId="0" borderId="0" xfId="0" applyNumberFormat="1" applyAlignment="1">
      <alignment horizontal="center"/>
    </xf>
    <xf numFmtId="0" fontId="5" fillId="0" borderId="0" xfId="0" applyFont="1" applyAlignment="1">
      <alignment horizontal="center"/>
    </xf>
    <xf numFmtId="14" fontId="5" fillId="0" borderId="1" xfId="0" applyNumberFormat="1" applyFont="1" applyBorder="1" applyAlignment="1">
      <alignment horizontal="left" vertical="top"/>
    </xf>
    <xf numFmtId="49" fontId="13" fillId="0" borderId="0" xfId="0" applyNumberFormat="1" applyFont="1" applyAlignment="1">
      <alignment horizontal="center"/>
    </xf>
    <xf numFmtId="1" fontId="5" fillId="0" borderId="1" xfId="0" applyNumberFormat="1" applyFont="1" applyBorder="1" applyAlignment="1">
      <alignment horizontal="center" vertical="top"/>
    </xf>
    <xf numFmtId="49" fontId="0" fillId="0" borderId="0" xfId="0" applyNumberFormat="1" applyAlignment="1">
      <alignment horizontal="center"/>
    </xf>
    <xf numFmtId="0" fontId="0" fillId="0" borderId="1" xfId="0" quotePrefix="1" applyBorder="1" applyAlignment="1">
      <alignment vertical="top" wrapText="1"/>
    </xf>
    <xf numFmtId="14" fontId="0" fillId="0" borderId="1" xfId="0" applyNumberFormat="1" applyBorder="1" applyAlignment="1">
      <alignment vertical="top" wrapText="1"/>
    </xf>
    <xf numFmtId="0" fontId="1" fillId="0" borderId="0" xfId="1" applyFill="1"/>
    <xf numFmtId="0" fontId="6" fillId="0" borderId="1" xfId="0" applyFont="1" applyBorder="1" applyAlignment="1">
      <alignment horizontal="center" vertical="top"/>
    </xf>
    <xf numFmtId="0" fontId="5" fillId="0" borderId="0" xfId="0" applyFont="1"/>
    <xf numFmtId="0" fontId="0" fillId="0" borderId="1" xfId="0" applyBorder="1" applyAlignment="1">
      <alignment horizontal="center"/>
    </xf>
    <xf numFmtId="0" fontId="9" fillId="0" borderId="0" xfId="0" applyFont="1" applyAlignment="1">
      <alignment horizontal="left"/>
    </xf>
    <xf numFmtId="0" fontId="14" fillId="0" borderId="0" xfId="0" applyFont="1" applyAlignment="1">
      <alignment horizontal="center" vertical="top" wrapText="1"/>
    </xf>
    <xf numFmtId="0" fontId="13" fillId="0" borderId="0" xfId="0" applyFont="1"/>
    <xf numFmtId="49" fontId="0" fillId="0" borderId="1" xfId="0" applyNumberFormat="1" applyBorder="1" applyAlignment="1">
      <alignment horizontal="left" vertical="top"/>
    </xf>
    <xf numFmtId="0" fontId="1" fillId="0" borderId="0" xfId="1" applyAlignment="1">
      <alignment horizontal="left" vertical="top"/>
    </xf>
    <xf numFmtId="0" fontId="0" fillId="0" borderId="0" xfId="0" applyAlignment="1">
      <alignment horizontal="left" vertical="top"/>
    </xf>
    <xf numFmtId="0" fontId="15" fillId="0" borderId="1" xfId="0" applyFont="1" applyBorder="1" applyAlignment="1">
      <alignment vertical="top"/>
    </xf>
    <xf numFmtId="0" fontId="1" fillId="0" borderId="0" xfId="1" applyAlignment="1">
      <alignment vertical="top"/>
    </xf>
    <xf numFmtId="0" fontId="16" fillId="0" borderId="0" xfId="0" applyFont="1"/>
    <xf numFmtId="0" fontId="13" fillId="0" borderId="0" xfId="0" applyFont="1" applyAlignment="1">
      <alignment horizontal="center"/>
    </xf>
    <xf numFmtId="0" fontId="0" fillId="0" borderId="1" xfId="0" quotePrefix="1" applyBorder="1" applyAlignment="1">
      <alignment horizontal="center" vertical="top"/>
    </xf>
    <xf numFmtId="0" fontId="0" fillId="7" borderId="1" xfId="0" applyFill="1" applyBorder="1" applyAlignment="1">
      <alignment vertical="top"/>
    </xf>
    <xf numFmtId="0" fontId="0" fillId="7" borderId="1" xfId="0" applyFill="1" applyBorder="1" applyAlignment="1">
      <alignment horizontal="left" vertical="top" wrapText="1"/>
    </xf>
    <xf numFmtId="14" fontId="0" fillId="7" borderId="1" xfId="0" applyNumberFormat="1" applyFill="1" applyBorder="1" applyAlignment="1">
      <alignment horizontal="center" vertical="top"/>
    </xf>
    <xf numFmtId="0" fontId="0" fillId="7" borderId="1" xfId="0" applyFill="1" applyBorder="1" applyAlignment="1">
      <alignment horizontal="left" vertical="top"/>
    </xf>
    <xf numFmtId="0" fontId="0" fillId="0" borderId="0" xfId="0" quotePrefix="1" applyAlignment="1">
      <alignment horizontal="center"/>
    </xf>
    <xf numFmtId="0" fontId="0" fillId="7" borderId="1" xfId="0" applyFill="1" applyBorder="1" applyAlignment="1">
      <alignment horizontal="center" vertical="top" wrapText="1"/>
    </xf>
    <xf numFmtId="0" fontId="0" fillId="8" borderId="1" xfId="0" applyFill="1" applyBorder="1" applyAlignment="1">
      <alignment vertical="top"/>
    </xf>
    <xf numFmtId="0" fontId="0" fillId="7" borderId="1" xfId="0" applyFill="1" applyBorder="1" applyAlignment="1">
      <alignment horizontal="center" vertical="top"/>
    </xf>
    <xf numFmtId="0" fontId="0" fillId="7" borderId="0" xfId="0" applyFill="1"/>
    <xf numFmtId="49" fontId="0" fillId="0" borderId="0" xfId="0" applyNumberFormat="1"/>
    <xf numFmtId="0" fontId="0" fillId="7" borderId="1" xfId="0" applyFill="1" applyBorder="1" applyAlignment="1">
      <alignment vertical="top" wrapText="1"/>
    </xf>
    <xf numFmtId="14" fontId="0" fillId="0" borderId="1" xfId="0" applyNumberFormat="1" applyBorder="1" applyAlignment="1">
      <alignment horizontal="center"/>
    </xf>
    <xf numFmtId="14" fontId="0" fillId="0" borderId="1" xfId="0" applyNumberFormat="1" applyBorder="1" applyAlignment="1">
      <alignment vertical="top"/>
    </xf>
  </cellXfs>
  <cellStyles count="2">
    <cellStyle name="Hyperlink" xfId="1" builtinId="8"/>
    <cellStyle name="Normal"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eams/ContractIQ/Shared%20Documents/General/2025/Analyst%20Tracker/Golden%20Record%20Consolidated%20track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Contracts%20in%20Scope/BANNER_HEALTH/" TargetMode="External"/><Relationship Id="rId1" Type="http://schemas.openxmlformats.org/officeDocument/2006/relationships/hyperlink" Target="../Contracts%20in%20Scope/THE_REGENTS_OF_THE_UNIVERSITY_OF_CALIFORN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85"/>
  <sheetViews>
    <sheetView tabSelected="1" workbookViewId="0">
      <selection activeCell="F6" sqref="F6"/>
    </sheetView>
  </sheetViews>
  <sheetFormatPr defaultColWidth="10.85546875" defaultRowHeight="18" customHeight="1"/>
  <cols>
    <col min="9" max="9" width="53.85546875" customWidth="1"/>
    <col min="10" max="10" width="20.42578125" customWidth="1"/>
    <col min="11" max="11" width="22.5703125" customWidth="1"/>
    <col min="12" max="13" width="32.7109375" customWidth="1"/>
    <col min="14" max="14" width="17.28515625" customWidth="1"/>
    <col min="15" max="15" width="19.140625" customWidth="1"/>
    <col min="20" max="20" width="33.5703125" customWidth="1"/>
    <col min="21" max="21" width="33.7109375" customWidth="1"/>
    <col min="22" max="22" width="20.140625" customWidth="1"/>
    <col min="23" max="23" width="20" customWidth="1"/>
    <col min="24" max="24" width="13.28515625" customWidth="1"/>
    <col min="25" max="25" width="20.28515625" customWidth="1"/>
  </cols>
  <sheetData>
    <row r="1" spans="1:38" ht="18" customHeight="1">
      <c r="A1" s="1" t="s">
        <v>0</v>
      </c>
      <c r="B1" s="1" t="s">
        <v>1</v>
      </c>
      <c r="C1" s="1" t="s">
        <v>2</v>
      </c>
      <c r="D1" s="2" t="s">
        <v>3</v>
      </c>
      <c r="E1" s="3" t="s">
        <v>4</v>
      </c>
      <c r="F1" s="4" t="s">
        <v>5</v>
      </c>
      <c r="G1" s="5" t="s">
        <v>6</v>
      </c>
      <c r="H1" s="6" t="s">
        <v>7</v>
      </c>
      <c r="I1" s="7" t="s">
        <v>8</v>
      </c>
      <c r="J1" s="8" t="s">
        <v>9</v>
      </c>
      <c r="K1" s="8" t="s">
        <v>10</v>
      </c>
      <c r="L1" s="7" t="s">
        <v>11</v>
      </c>
      <c r="M1" s="7" t="s">
        <v>12</v>
      </c>
      <c r="N1" s="7" t="s">
        <v>13</v>
      </c>
      <c r="O1" s="7" t="s">
        <v>14</v>
      </c>
      <c r="P1" s="9" t="s">
        <v>15</v>
      </c>
      <c r="Q1" s="9" t="s">
        <v>16</v>
      </c>
      <c r="R1" s="9" t="s">
        <v>17</v>
      </c>
      <c r="S1" s="9" t="s">
        <v>18</v>
      </c>
      <c r="T1" s="7" t="s">
        <v>19</v>
      </c>
      <c r="U1" s="7" t="s">
        <v>20</v>
      </c>
      <c r="V1" s="7" t="s">
        <v>21</v>
      </c>
      <c r="W1" s="9" t="s">
        <v>22</v>
      </c>
      <c r="X1" s="7" t="s">
        <v>23</v>
      </c>
      <c r="Y1" s="9" t="s">
        <v>24</v>
      </c>
      <c r="Z1" s="1" t="s">
        <v>25</v>
      </c>
      <c r="AA1" s="1" t="s">
        <v>26</v>
      </c>
      <c r="AB1" s="1" t="s">
        <v>27</v>
      </c>
      <c r="AC1" s="10" t="s">
        <v>28</v>
      </c>
      <c r="AD1" s="10" t="s">
        <v>29</v>
      </c>
      <c r="AE1" s="10" t="s">
        <v>30</v>
      </c>
      <c r="AF1" s="11" t="s">
        <v>31</v>
      </c>
      <c r="AG1" s="10" t="s">
        <v>32</v>
      </c>
      <c r="AH1" s="11" t="s">
        <v>33</v>
      </c>
      <c r="AI1" s="10" t="s">
        <v>34</v>
      </c>
      <c r="AJ1" s="12"/>
      <c r="AK1" s="12"/>
      <c r="AL1" s="12"/>
    </row>
    <row r="2" spans="1:38" ht="18" customHeight="1">
      <c r="A2" s="13" t="s">
        <v>35</v>
      </c>
      <c r="B2" s="13" t="s">
        <v>36</v>
      </c>
      <c r="C2" s="14" t="s">
        <v>37</v>
      </c>
      <c r="D2" s="15" t="s">
        <v>38</v>
      </c>
      <c r="E2" s="16" t="s">
        <v>39</v>
      </c>
      <c r="F2" s="17" t="s">
        <v>40</v>
      </c>
      <c r="G2" s="16">
        <v>0</v>
      </c>
      <c r="H2" s="18">
        <v>45709</v>
      </c>
      <c r="I2" s="13" t="s">
        <v>41</v>
      </c>
      <c r="J2" s="18">
        <v>45709</v>
      </c>
      <c r="K2" s="18">
        <v>47573</v>
      </c>
      <c r="L2" s="19" t="s">
        <v>42</v>
      </c>
      <c r="M2" s="19" t="s">
        <v>43</v>
      </c>
      <c r="N2" s="13" t="s">
        <v>44</v>
      </c>
      <c r="O2" s="13" t="s">
        <v>45</v>
      </c>
      <c r="P2" s="13" t="s">
        <v>46</v>
      </c>
      <c r="Q2" s="16" t="s">
        <v>47</v>
      </c>
      <c r="R2" s="16" t="s">
        <v>48</v>
      </c>
      <c r="S2" s="16" t="s">
        <v>38</v>
      </c>
      <c r="T2" s="13" t="s">
        <v>36</v>
      </c>
      <c r="U2" s="13" t="s">
        <v>49</v>
      </c>
      <c r="V2" s="20" t="s">
        <v>38</v>
      </c>
      <c r="W2" s="13"/>
      <c r="X2" s="20" t="s">
        <v>50</v>
      </c>
      <c r="Y2" s="13"/>
      <c r="Z2" s="13"/>
      <c r="AA2" s="13"/>
      <c r="AB2" s="16" t="str">
        <f t="shared" ref="AB2:AB65" si="0">IF(NOT(ISBLANK(AD2)),IF(NOT(ISBLANK(AE2)),IF(NOT(ISBLANK(AG2)),IF(NOT(ISBLANK(AI2)),"Completed","For Final Review"),"For Peer Check"),"In Progress"),"Not Started")</f>
        <v>Completed</v>
      </c>
      <c r="AC2" s="18">
        <v>45988</v>
      </c>
      <c r="AD2" s="18">
        <v>45988</v>
      </c>
      <c r="AE2" s="18">
        <v>45988</v>
      </c>
      <c r="AF2" s="15"/>
      <c r="AG2" s="18">
        <v>45993</v>
      </c>
      <c r="AH2" s="15"/>
      <c r="AI2" s="18">
        <v>45993</v>
      </c>
      <c r="AJ2" s="21"/>
      <c r="AK2" s="22"/>
      <c r="AL2" s="22"/>
    </row>
    <row r="3" spans="1:38" ht="18" customHeight="1">
      <c r="A3" s="13" t="s">
        <v>35</v>
      </c>
      <c r="B3" s="13" t="s">
        <v>51</v>
      </c>
      <c r="C3" s="14" t="s">
        <v>37</v>
      </c>
      <c r="D3" s="15" t="s">
        <v>38</v>
      </c>
      <c r="E3" s="15" t="s">
        <v>52</v>
      </c>
      <c r="F3" s="17" t="s">
        <v>52</v>
      </c>
      <c r="G3" s="16">
        <v>0</v>
      </c>
      <c r="H3" s="18">
        <v>45748</v>
      </c>
      <c r="I3" s="13" t="s">
        <v>53</v>
      </c>
      <c r="J3" s="18">
        <v>45748</v>
      </c>
      <c r="K3" s="18">
        <v>46843</v>
      </c>
      <c r="L3" s="23" t="s">
        <v>54</v>
      </c>
      <c r="M3" s="24" t="s">
        <v>55</v>
      </c>
      <c r="N3" s="13" t="s">
        <v>53</v>
      </c>
      <c r="O3" s="13" t="s">
        <v>45</v>
      </c>
      <c r="P3" s="13" t="s">
        <v>46</v>
      </c>
      <c r="Q3" s="16" t="s">
        <v>47</v>
      </c>
      <c r="R3" s="16" t="s">
        <v>38</v>
      </c>
      <c r="S3" s="16" t="s">
        <v>38</v>
      </c>
      <c r="T3" s="13" t="s">
        <v>56</v>
      </c>
      <c r="U3" s="13" t="s">
        <v>38</v>
      </c>
      <c r="V3" s="20" t="s">
        <v>38</v>
      </c>
      <c r="W3" s="13"/>
      <c r="X3" s="20" t="s">
        <v>57</v>
      </c>
      <c r="Y3" s="13" t="s">
        <v>38</v>
      </c>
      <c r="Z3" s="13"/>
      <c r="AA3" s="13"/>
      <c r="AB3" s="16" t="str">
        <f t="shared" si="0"/>
        <v>Completed</v>
      </c>
      <c r="AC3" s="18">
        <v>45988</v>
      </c>
      <c r="AD3" s="18">
        <v>45988</v>
      </c>
      <c r="AE3" s="18">
        <v>45988</v>
      </c>
      <c r="AF3" s="15"/>
      <c r="AG3" s="18">
        <v>45993</v>
      </c>
      <c r="AH3" s="15"/>
      <c r="AI3" s="18">
        <v>45993</v>
      </c>
      <c r="AJ3" s="21"/>
      <c r="AK3" s="22"/>
      <c r="AL3" s="22"/>
    </row>
    <row r="4" spans="1:38" ht="18" customHeight="1">
      <c r="A4" s="13" t="s">
        <v>35</v>
      </c>
      <c r="B4" s="13" t="s">
        <v>58</v>
      </c>
      <c r="C4" s="14" t="s">
        <v>37</v>
      </c>
      <c r="D4" s="15" t="s">
        <v>38</v>
      </c>
      <c r="E4" s="15" t="s">
        <v>52</v>
      </c>
      <c r="F4" s="17" t="s">
        <v>52</v>
      </c>
      <c r="G4" s="16">
        <v>1</v>
      </c>
      <c r="H4" s="18">
        <v>45688</v>
      </c>
      <c r="I4" s="13" t="s">
        <v>59</v>
      </c>
      <c r="J4" s="18">
        <v>45748</v>
      </c>
      <c r="K4" s="18">
        <v>46843</v>
      </c>
      <c r="L4" s="23" t="s">
        <v>54</v>
      </c>
      <c r="M4" s="23" t="s">
        <v>55</v>
      </c>
      <c r="N4" s="13" t="s">
        <v>59</v>
      </c>
      <c r="O4" s="13" t="s">
        <v>45</v>
      </c>
      <c r="P4" s="13" t="s">
        <v>46</v>
      </c>
      <c r="Q4" s="16" t="s">
        <v>47</v>
      </c>
      <c r="R4" s="16" t="s">
        <v>38</v>
      </c>
      <c r="S4" s="16" t="s">
        <v>38</v>
      </c>
      <c r="T4" s="13" t="s">
        <v>60</v>
      </c>
      <c r="U4" s="13" t="s">
        <v>38</v>
      </c>
      <c r="V4" s="20" t="s">
        <v>38</v>
      </c>
      <c r="W4" s="13"/>
      <c r="X4" s="20" t="s">
        <v>57</v>
      </c>
      <c r="Y4" s="13" t="s">
        <v>38</v>
      </c>
      <c r="Z4" s="13"/>
      <c r="AA4" s="13"/>
      <c r="AB4" s="16" t="str">
        <f t="shared" si="0"/>
        <v>Completed</v>
      </c>
      <c r="AC4" s="18">
        <v>45988</v>
      </c>
      <c r="AD4" s="18">
        <v>45989</v>
      </c>
      <c r="AE4" s="18">
        <v>45994</v>
      </c>
      <c r="AF4" s="15"/>
      <c r="AG4" s="18">
        <v>45994</v>
      </c>
      <c r="AH4" s="15"/>
      <c r="AI4" s="18">
        <v>45994</v>
      </c>
      <c r="AJ4" s="21"/>
      <c r="AK4" s="22"/>
      <c r="AL4" s="22"/>
    </row>
    <row r="5" spans="1:38" ht="18" customHeight="1">
      <c r="A5" s="25" t="s">
        <v>35</v>
      </c>
      <c r="B5" s="13" t="s">
        <v>61</v>
      </c>
      <c r="C5" s="14" t="s">
        <v>37</v>
      </c>
      <c r="D5" s="15" t="s">
        <v>38</v>
      </c>
      <c r="E5" s="15" t="s">
        <v>39</v>
      </c>
      <c r="F5" s="17" t="s">
        <v>39</v>
      </c>
      <c r="G5" s="16">
        <v>0</v>
      </c>
      <c r="H5" s="18">
        <v>43922</v>
      </c>
      <c r="I5" s="13" t="s">
        <v>62</v>
      </c>
      <c r="J5" s="18">
        <v>43922</v>
      </c>
      <c r="K5" s="18">
        <v>45747</v>
      </c>
      <c r="L5" s="23" t="s">
        <v>63</v>
      </c>
      <c r="M5" s="23" t="s">
        <v>38</v>
      </c>
      <c r="N5" s="13" t="s">
        <v>62</v>
      </c>
      <c r="O5" s="13" t="s">
        <v>45</v>
      </c>
      <c r="P5" s="13" t="s">
        <v>46</v>
      </c>
      <c r="Q5" s="16">
        <v>1018471</v>
      </c>
      <c r="R5" s="16" t="s">
        <v>38</v>
      </c>
      <c r="S5" s="16" t="s">
        <v>38</v>
      </c>
      <c r="T5" s="13" t="s">
        <v>64</v>
      </c>
      <c r="U5" s="13" t="s">
        <v>38</v>
      </c>
      <c r="V5" s="20" t="s">
        <v>38</v>
      </c>
      <c r="W5" s="13"/>
      <c r="X5" s="13" t="s">
        <v>38</v>
      </c>
      <c r="Y5" s="13"/>
      <c r="Z5" s="13" t="s">
        <v>65</v>
      </c>
      <c r="AA5" s="13"/>
      <c r="AB5" s="16" t="str">
        <f t="shared" si="0"/>
        <v>Completed</v>
      </c>
      <c r="AC5" s="18">
        <v>45988</v>
      </c>
      <c r="AD5" s="18">
        <v>45989</v>
      </c>
      <c r="AE5" s="18">
        <v>45993</v>
      </c>
      <c r="AF5" s="15"/>
      <c r="AG5" s="18">
        <v>45994</v>
      </c>
      <c r="AH5" s="15"/>
      <c r="AI5" s="18">
        <v>45994</v>
      </c>
      <c r="AJ5" s="21"/>
      <c r="AK5" s="22"/>
      <c r="AL5" s="22"/>
    </row>
    <row r="6" spans="1:38" ht="18" customHeight="1">
      <c r="A6" s="13" t="s">
        <v>35</v>
      </c>
      <c r="B6" s="13" t="s">
        <v>66</v>
      </c>
      <c r="C6" s="14" t="s">
        <v>37</v>
      </c>
      <c r="D6" s="15" t="s">
        <v>38</v>
      </c>
      <c r="E6" s="15" t="s">
        <v>39</v>
      </c>
      <c r="F6" s="17" t="s">
        <v>39</v>
      </c>
      <c r="G6" s="16">
        <v>1</v>
      </c>
      <c r="H6" s="18">
        <v>45006</v>
      </c>
      <c r="I6" s="13" t="s">
        <v>67</v>
      </c>
      <c r="J6" s="18">
        <v>43922</v>
      </c>
      <c r="K6" s="18">
        <v>45747</v>
      </c>
      <c r="L6" s="23" t="s">
        <v>63</v>
      </c>
      <c r="M6" s="23" t="s">
        <v>38</v>
      </c>
      <c r="N6" s="13" t="s">
        <v>68</v>
      </c>
      <c r="O6" s="13" t="s">
        <v>45</v>
      </c>
      <c r="P6" s="13" t="s">
        <v>46</v>
      </c>
      <c r="Q6" s="16">
        <v>1018471</v>
      </c>
      <c r="R6" s="16" t="s">
        <v>38</v>
      </c>
      <c r="S6" s="16" t="s">
        <v>38</v>
      </c>
      <c r="T6" s="13" t="s">
        <v>66</v>
      </c>
      <c r="U6" s="13" t="s">
        <v>38</v>
      </c>
      <c r="V6" s="20" t="s">
        <v>38</v>
      </c>
      <c r="W6" s="13"/>
      <c r="X6" s="13" t="s">
        <v>38</v>
      </c>
      <c r="Y6" s="13"/>
      <c r="Z6" s="13"/>
      <c r="AA6" s="13" t="s">
        <v>69</v>
      </c>
      <c r="AB6" s="16" t="str">
        <f t="shared" si="0"/>
        <v>Completed</v>
      </c>
      <c r="AC6" s="18">
        <v>45988</v>
      </c>
      <c r="AD6" s="18">
        <v>45989</v>
      </c>
      <c r="AE6" s="18">
        <v>45993</v>
      </c>
      <c r="AF6" s="15"/>
      <c r="AG6" s="18">
        <v>45994</v>
      </c>
      <c r="AH6" s="15"/>
      <c r="AI6" s="18">
        <v>45994</v>
      </c>
      <c r="AJ6" s="21"/>
      <c r="AK6" s="22"/>
      <c r="AL6" s="22"/>
    </row>
    <row r="7" spans="1:38" ht="18" customHeight="1">
      <c r="A7" s="13" t="s">
        <v>35</v>
      </c>
      <c r="B7" s="13" t="s">
        <v>70</v>
      </c>
      <c r="C7" s="14" t="s">
        <v>37</v>
      </c>
      <c r="D7" s="15" t="s">
        <v>38</v>
      </c>
      <c r="E7" s="15" t="s">
        <v>39</v>
      </c>
      <c r="F7" s="17" t="s">
        <v>39</v>
      </c>
      <c r="G7" s="16">
        <v>2</v>
      </c>
      <c r="H7" s="18">
        <v>45525</v>
      </c>
      <c r="I7" s="13" t="s">
        <v>71</v>
      </c>
      <c r="J7" s="18">
        <v>43922</v>
      </c>
      <c r="K7" s="18">
        <v>47573</v>
      </c>
      <c r="L7" s="23" t="s">
        <v>63</v>
      </c>
      <c r="M7" s="23" t="s">
        <v>38</v>
      </c>
      <c r="N7" s="13" t="s">
        <v>72</v>
      </c>
      <c r="O7" s="13" t="s">
        <v>45</v>
      </c>
      <c r="P7" s="13" t="s">
        <v>46</v>
      </c>
      <c r="Q7" s="16">
        <v>1018471</v>
      </c>
      <c r="R7" s="16" t="s">
        <v>38</v>
      </c>
      <c r="S7" s="16" t="s">
        <v>38</v>
      </c>
      <c r="T7" s="13" t="s">
        <v>73</v>
      </c>
      <c r="U7" s="13" t="s">
        <v>38</v>
      </c>
      <c r="V7" s="20" t="s">
        <v>38</v>
      </c>
      <c r="W7" s="13"/>
      <c r="X7" s="13" t="s">
        <v>38</v>
      </c>
      <c r="Y7" s="13"/>
      <c r="Z7" s="13"/>
      <c r="AA7" s="20" t="s">
        <v>74</v>
      </c>
      <c r="AB7" s="16" t="str">
        <f t="shared" si="0"/>
        <v>Completed</v>
      </c>
      <c r="AC7" s="18">
        <v>45988</v>
      </c>
      <c r="AD7" s="18">
        <v>45989</v>
      </c>
      <c r="AE7" s="18">
        <v>45993</v>
      </c>
      <c r="AF7" s="15"/>
      <c r="AG7" s="18">
        <v>45994</v>
      </c>
      <c r="AH7" s="15"/>
      <c r="AI7" s="18">
        <v>45994</v>
      </c>
      <c r="AJ7" s="21"/>
      <c r="AK7" s="22"/>
      <c r="AL7" s="22"/>
    </row>
    <row r="8" spans="1:38" ht="18" customHeight="1">
      <c r="A8" s="13" t="s">
        <v>35</v>
      </c>
      <c r="B8" s="13" t="s">
        <v>75</v>
      </c>
      <c r="C8" s="14" t="s">
        <v>37</v>
      </c>
      <c r="D8" s="15" t="s">
        <v>38</v>
      </c>
      <c r="E8" s="15" t="s">
        <v>76</v>
      </c>
      <c r="F8" s="17" t="s">
        <v>76</v>
      </c>
      <c r="G8" s="16">
        <v>0</v>
      </c>
      <c r="H8" s="18">
        <v>43922</v>
      </c>
      <c r="I8" s="13" t="s">
        <v>77</v>
      </c>
      <c r="J8" s="18">
        <v>43922</v>
      </c>
      <c r="K8" s="18">
        <v>45747</v>
      </c>
      <c r="L8" s="19" t="s">
        <v>63</v>
      </c>
      <c r="M8" s="23" t="s">
        <v>78</v>
      </c>
      <c r="N8" s="13" t="s">
        <v>79</v>
      </c>
      <c r="O8" s="13" t="s">
        <v>45</v>
      </c>
      <c r="P8" s="13" t="s">
        <v>46</v>
      </c>
      <c r="Q8" s="16">
        <v>1018471</v>
      </c>
      <c r="R8" s="16" t="s">
        <v>38</v>
      </c>
      <c r="S8" s="16" t="s">
        <v>38</v>
      </c>
      <c r="T8" s="13" t="s">
        <v>80</v>
      </c>
      <c r="U8" s="13" t="s">
        <v>38</v>
      </c>
      <c r="V8" s="20" t="s">
        <v>38</v>
      </c>
      <c r="W8" s="13"/>
      <c r="X8" s="13" t="s">
        <v>81</v>
      </c>
      <c r="Y8" s="13" t="s">
        <v>82</v>
      </c>
      <c r="Z8" s="13"/>
      <c r="AA8" s="13"/>
      <c r="AB8" s="16" t="str">
        <f t="shared" si="0"/>
        <v>Completed</v>
      </c>
      <c r="AC8" s="18">
        <v>45988</v>
      </c>
      <c r="AD8" s="18">
        <v>45992</v>
      </c>
      <c r="AE8" s="18">
        <v>45993</v>
      </c>
      <c r="AF8" s="15"/>
      <c r="AG8" s="18">
        <v>45994</v>
      </c>
      <c r="AH8" s="15"/>
      <c r="AI8" s="18">
        <v>45994</v>
      </c>
      <c r="AJ8" s="21"/>
      <c r="AK8" s="22"/>
      <c r="AL8" s="22"/>
    </row>
    <row r="9" spans="1:38" ht="18" customHeight="1">
      <c r="A9" s="13" t="s">
        <v>35</v>
      </c>
      <c r="B9" s="13" t="s">
        <v>83</v>
      </c>
      <c r="C9" s="14" t="s">
        <v>37</v>
      </c>
      <c r="D9" s="15" t="s">
        <v>38</v>
      </c>
      <c r="E9" s="15" t="s">
        <v>76</v>
      </c>
      <c r="F9" s="17" t="s">
        <v>76</v>
      </c>
      <c r="G9" s="16">
        <v>1</v>
      </c>
      <c r="H9" s="18">
        <v>43983</v>
      </c>
      <c r="I9" s="13" t="s">
        <v>84</v>
      </c>
      <c r="J9" s="18">
        <v>43922</v>
      </c>
      <c r="K9" s="18">
        <v>45747</v>
      </c>
      <c r="L9" s="19" t="s">
        <v>63</v>
      </c>
      <c r="M9" s="19" t="s">
        <v>78</v>
      </c>
      <c r="N9" s="13" t="s">
        <v>85</v>
      </c>
      <c r="O9" s="13" t="s">
        <v>45</v>
      </c>
      <c r="P9" s="13" t="s">
        <v>46</v>
      </c>
      <c r="Q9" s="16">
        <v>1018471</v>
      </c>
      <c r="R9" s="16" t="s">
        <v>38</v>
      </c>
      <c r="S9" s="16" t="s">
        <v>38</v>
      </c>
      <c r="T9" s="13" t="s">
        <v>86</v>
      </c>
      <c r="U9" s="13" t="s">
        <v>38</v>
      </c>
      <c r="V9" s="20" t="s">
        <v>38</v>
      </c>
      <c r="W9" s="13"/>
      <c r="X9" s="13" t="s">
        <v>81</v>
      </c>
      <c r="Y9" s="13" t="s">
        <v>82</v>
      </c>
      <c r="Z9" s="13"/>
      <c r="AA9" s="13"/>
      <c r="AB9" s="16" t="str">
        <f t="shared" si="0"/>
        <v>Completed</v>
      </c>
      <c r="AC9" s="18">
        <v>45988</v>
      </c>
      <c r="AD9" s="18">
        <v>45992</v>
      </c>
      <c r="AE9" s="18">
        <v>45993</v>
      </c>
      <c r="AF9" s="15"/>
      <c r="AG9" s="18">
        <v>45994</v>
      </c>
      <c r="AH9" s="15"/>
      <c r="AI9" s="18">
        <v>45994</v>
      </c>
      <c r="AJ9" s="21"/>
      <c r="AK9" s="22"/>
      <c r="AL9" s="22"/>
    </row>
    <row r="10" spans="1:38" ht="18" customHeight="1">
      <c r="A10" s="13" t="s">
        <v>35</v>
      </c>
      <c r="B10" s="13" t="s">
        <v>87</v>
      </c>
      <c r="C10" s="14" t="s">
        <v>37</v>
      </c>
      <c r="D10" s="15" t="s">
        <v>38</v>
      </c>
      <c r="E10" s="15" t="s">
        <v>76</v>
      </c>
      <c r="F10" s="17" t="s">
        <v>76</v>
      </c>
      <c r="G10" s="16">
        <v>2</v>
      </c>
      <c r="H10" s="18">
        <v>43999</v>
      </c>
      <c r="I10" s="13" t="s">
        <v>88</v>
      </c>
      <c r="J10" s="18">
        <v>43922</v>
      </c>
      <c r="K10" s="18">
        <v>45747</v>
      </c>
      <c r="L10" s="19" t="s">
        <v>63</v>
      </c>
      <c r="M10" s="19" t="s">
        <v>78</v>
      </c>
      <c r="N10" s="13" t="s">
        <v>89</v>
      </c>
      <c r="O10" s="13" t="s">
        <v>45</v>
      </c>
      <c r="P10" s="13" t="s">
        <v>46</v>
      </c>
      <c r="Q10" s="16">
        <v>1018471</v>
      </c>
      <c r="R10" s="16" t="s">
        <v>38</v>
      </c>
      <c r="S10" s="16" t="s">
        <v>38</v>
      </c>
      <c r="T10" s="13" t="s">
        <v>90</v>
      </c>
      <c r="U10" s="13" t="s">
        <v>38</v>
      </c>
      <c r="V10" s="20" t="s">
        <v>38</v>
      </c>
      <c r="W10" s="13"/>
      <c r="X10" s="13" t="s">
        <v>81</v>
      </c>
      <c r="Y10" s="13" t="s">
        <v>82</v>
      </c>
      <c r="Z10" s="13"/>
      <c r="AA10" s="13"/>
      <c r="AB10" s="16" t="str">
        <f t="shared" si="0"/>
        <v>Completed</v>
      </c>
      <c r="AC10" s="18">
        <v>45988</v>
      </c>
      <c r="AD10" s="18">
        <v>45992</v>
      </c>
      <c r="AE10" s="18">
        <v>45993</v>
      </c>
      <c r="AF10" s="15"/>
      <c r="AG10" s="18">
        <v>45994</v>
      </c>
      <c r="AH10" s="15"/>
      <c r="AI10" s="18">
        <v>45994</v>
      </c>
      <c r="AJ10" s="21"/>
      <c r="AK10" s="22"/>
      <c r="AL10" s="22"/>
    </row>
    <row r="11" spans="1:38" ht="18" customHeight="1">
      <c r="A11" s="13" t="s">
        <v>35</v>
      </c>
      <c r="B11" s="13" t="s">
        <v>91</v>
      </c>
      <c r="C11" s="14" t="s">
        <v>37</v>
      </c>
      <c r="D11" s="15" t="s">
        <v>38</v>
      </c>
      <c r="E11" s="15" t="s">
        <v>76</v>
      </c>
      <c r="F11" s="17" t="s">
        <v>76</v>
      </c>
      <c r="G11" s="16">
        <v>3</v>
      </c>
      <c r="H11" s="18">
        <v>44136</v>
      </c>
      <c r="I11" s="13" t="s">
        <v>84</v>
      </c>
      <c r="J11" s="18">
        <v>43922</v>
      </c>
      <c r="K11" s="18">
        <v>45747</v>
      </c>
      <c r="L11" s="19" t="s">
        <v>63</v>
      </c>
      <c r="M11" s="19" t="s">
        <v>78</v>
      </c>
      <c r="N11" s="13" t="s">
        <v>79</v>
      </c>
      <c r="O11" s="13" t="s">
        <v>45</v>
      </c>
      <c r="P11" s="13" t="s">
        <v>46</v>
      </c>
      <c r="Q11" s="16">
        <v>1018471</v>
      </c>
      <c r="R11" s="16" t="s">
        <v>38</v>
      </c>
      <c r="S11" s="16" t="s">
        <v>38</v>
      </c>
      <c r="T11" s="13" t="s">
        <v>92</v>
      </c>
      <c r="U11" s="13" t="s">
        <v>38</v>
      </c>
      <c r="V11" s="20" t="s">
        <v>38</v>
      </c>
      <c r="W11" s="13"/>
      <c r="X11" s="20" t="s">
        <v>81</v>
      </c>
      <c r="Y11" s="13" t="s">
        <v>82</v>
      </c>
      <c r="Z11" s="13"/>
      <c r="AA11" s="13"/>
      <c r="AB11" s="16" t="str">
        <f t="shared" si="0"/>
        <v>Completed</v>
      </c>
      <c r="AC11" s="18">
        <v>45988</v>
      </c>
      <c r="AD11" s="18">
        <v>45992</v>
      </c>
      <c r="AE11" s="18">
        <v>45993</v>
      </c>
      <c r="AF11" s="15"/>
      <c r="AG11" s="18">
        <v>45994</v>
      </c>
      <c r="AH11" s="15"/>
      <c r="AI11" s="18">
        <v>45994</v>
      </c>
      <c r="AJ11" s="21"/>
      <c r="AK11" s="22"/>
      <c r="AL11" s="22"/>
    </row>
    <row r="12" spans="1:38" ht="18" customHeight="1">
      <c r="A12" s="13" t="s">
        <v>35</v>
      </c>
      <c r="B12" s="13" t="s">
        <v>93</v>
      </c>
      <c r="C12" s="14" t="s">
        <v>37</v>
      </c>
      <c r="D12" s="15">
        <v>106692</v>
      </c>
      <c r="E12" s="15" t="s">
        <v>76</v>
      </c>
      <c r="F12" s="17">
        <v>618324</v>
      </c>
      <c r="G12" s="16">
        <v>0</v>
      </c>
      <c r="H12" s="18">
        <v>44521</v>
      </c>
      <c r="I12" s="13" t="s">
        <v>94</v>
      </c>
      <c r="J12" s="18">
        <v>44501</v>
      </c>
      <c r="K12" s="18">
        <v>45596</v>
      </c>
      <c r="L12" s="19" t="s">
        <v>95</v>
      </c>
      <c r="M12" s="19" t="s">
        <v>96</v>
      </c>
      <c r="N12" s="13" t="s">
        <v>94</v>
      </c>
      <c r="O12" s="13" t="s">
        <v>45</v>
      </c>
      <c r="P12" s="13" t="s">
        <v>46</v>
      </c>
      <c r="Q12" s="16">
        <v>1018471</v>
      </c>
      <c r="R12" s="16" t="s">
        <v>38</v>
      </c>
      <c r="S12" s="16" t="s">
        <v>38</v>
      </c>
      <c r="T12" s="13" t="s">
        <v>97</v>
      </c>
      <c r="U12" s="20" t="s">
        <v>98</v>
      </c>
      <c r="V12" s="20" t="s">
        <v>99</v>
      </c>
      <c r="W12" s="13"/>
      <c r="X12" s="20" t="s">
        <v>100</v>
      </c>
      <c r="Y12" s="13"/>
      <c r="Z12" s="13" t="s">
        <v>101</v>
      </c>
      <c r="AA12" s="13"/>
      <c r="AB12" s="16" t="str">
        <f t="shared" si="0"/>
        <v>Completed</v>
      </c>
      <c r="AC12" s="18">
        <v>45988</v>
      </c>
      <c r="AD12" s="18">
        <v>45992</v>
      </c>
      <c r="AE12" s="18">
        <v>45993</v>
      </c>
      <c r="AF12" s="15"/>
      <c r="AG12" s="18">
        <v>45995</v>
      </c>
      <c r="AH12" s="15"/>
      <c r="AI12" s="18">
        <v>45996</v>
      </c>
      <c r="AJ12" s="21" t="str">
        <f>HYPERLINK(_xlfn.CONCAT(A12,B12,".pdf"),"link")</f>
        <v>link</v>
      </c>
      <c r="AK12" s="22"/>
      <c r="AL12" s="22"/>
    </row>
    <row r="13" spans="1:38" ht="18" customHeight="1">
      <c r="A13" s="13" t="s">
        <v>35</v>
      </c>
      <c r="B13" s="13" t="s">
        <v>102</v>
      </c>
      <c r="C13" s="14" t="s">
        <v>37</v>
      </c>
      <c r="D13" s="15" t="s">
        <v>38</v>
      </c>
      <c r="E13" s="15" t="s">
        <v>76</v>
      </c>
      <c r="F13" s="17" t="s">
        <v>76</v>
      </c>
      <c r="G13" s="16">
        <v>4</v>
      </c>
      <c r="H13" s="18">
        <v>44721</v>
      </c>
      <c r="I13" s="13" t="s">
        <v>84</v>
      </c>
      <c r="J13" s="18">
        <v>43922</v>
      </c>
      <c r="K13" s="18">
        <v>45747</v>
      </c>
      <c r="L13" s="19" t="s">
        <v>63</v>
      </c>
      <c r="M13" s="19" t="s">
        <v>103</v>
      </c>
      <c r="N13" s="13" t="s">
        <v>85</v>
      </c>
      <c r="O13" s="13" t="s">
        <v>45</v>
      </c>
      <c r="P13" s="13" t="s">
        <v>46</v>
      </c>
      <c r="Q13" s="16">
        <v>1018471</v>
      </c>
      <c r="R13" s="16" t="s">
        <v>38</v>
      </c>
      <c r="S13" s="16" t="s">
        <v>38</v>
      </c>
      <c r="T13" s="13" t="s">
        <v>104</v>
      </c>
      <c r="U13" s="13" t="s">
        <v>38</v>
      </c>
      <c r="V13" s="20" t="s">
        <v>38</v>
      </c>
      <c r="W13" s="13"/>
      <c r="X13" s="20" t="s">
        <v>105</v>
      </c>
      <c r="Y13" s="13" t="s">
        <v>82</v>
      </c>
      <c r="Z13" s="13"/>
      <c r="AA13" s="13"/>
      <c r="AB13" s="16" t="str">
        <f t="shared" si="0"/>
        <v>Completed</v>
      </c>
      <c r="AC13" s="18">
        <v>45988</v>
      </c>
      <c r="AD13" s="18">
        <v>45992</v>
      </c>
      <c r="AE13" s="18">
        <v>45993</v>
      </c>
      <c r="AF13" s="15"/>
      <c r="AG13" s="18">
        <v>45994</v>
      </c>
      <c r="AH13" s="15"/>
      <c r="AI13" s="18">
        <v>45994</v>
      </c>
      <c r="AJ13" s="21"/>
      <c r="AK13" s="22"/>
      <c r="AL13" s="22"/>
    </row>
    <row r="14" spans="1:38" ht="18" customHeight="1">
      <c r="A14" s="13" t="s">
        <v>35</v>
      </c>
      <c r="B14" s="13" t="s">
        <v>106</v>
      </c>
      <c r="C14" s="14" t="s">
        <v>37</v>
      </c>
      <c r="D14" s="15" t="s">
        <v>107</v>
      </c>
      <c r="E14" s="16" t="s">
        <v>76</v>
      </c>
      <c r="F14" s="17">
        <v>630028</v>
      </c>
      <c r="G14" s="16">
        <v>0</v>
      </c>
      <c r="H14" s="18">
        <v>44845</v>
      </c>
      <c r="I14" s="13" t="s">
        <v>94</v>
      </c>
      <c r="J14" s="18">
        <v>44845</v>
      </c>
      <c r="K14" s="18">
        <v>45940</v>
      </c>
      <c r="L14" s="19" t="s">
        <v>95</v>
      </c>
      <c r="M14" s="19" t="s">
        <v>108</v>
      </c>
      <c r="N14" s="13" t="s">
        <v>94</v>
      </c>
      <c r="O14" s="13" t="s">
        <v>45</v>
      </c>
      <c r="P14" s="13" t="s">
        <v>46</v>
      </c>
      <c r="Q14" s="16">
        <v>1018471</v>
      </c>
      <c r="R14" s="16" t="s">
        <v>38</v>
      </c>
      <c r="S14" s="16" t="s">
        <v>38</v>
      </c>
      <c r="T14" s="13" t="s">
        <v>109</v>
      </c>
      <c r="U14" s="26" t="s">
        <v>110</v>
      </c>
      <c r="V14" s="20" t="s">
        <v>111</v>
      </c>
      <c r="W14" s="13"/>
      <c r="X14" s="20" t="s">
        <v>112</v>
      </c>
      <c r="Y14" s="13"/>
      <c r="Z14" s="13" t="s">
        <v>113</v>
      </c>
      <c r="AA14" s="13" t="s">
        <v>114</v>
      </c>
      <c r="AB14" s="16" t="str">
        <f t="shared" si="0"/>
        <v>Completed</v>
      </c>
      <c r="AC14" s="18">
        <v>45988</v>
      </c>
      <c r="AD14" s="18">
        <v>45992</v>
      </c>
      <c r="AE14" s="18">
        <v>45993</v>
      </c>
      <c r="AF14" s="15"/>
      <c r="AG14" s="18">
        <v>45994</v>
      </c>
      <c r="AH14" s="15"/>
      <c r="AI14" s="18">
        <v>45994</v>
      </c>
      <c r="AJ14" s="21"/>
      <c r="AK14" s="22"/>
      <c r="AL14" s="22"/>
    </row>
    <row r="15" spans="1:38" ht="18" customHeight="1">
      <c r="A15" s="13" t="s">
        <v>35</v>
      </c>
      <c r="B15" s="13" t="s">
        <v>115</v>
      </c>
      <c r="C15" s="14" t="s">
        <v>37</v>
      </c>
      <c r="D15" s="16">
        <v>152468</v>
      </c>
      <c r="E15" s="16" t="s">
        <v>76</v>
      </c>
      <c r="F15" s="17">
        <v>618324</v>
      </c>
      <c r="G15" s="16">
        <v>1</v>
      </c>
      <c r="H15" s="18">
        <v>44988</v>
      </c>
      <c r="I15" s="13" t="s">
        <v>116</v>
      </c>
      <c r="J15" s="18">
        <v>44501</v>
      </c>
      <c r="K15" s="18">
        <v>45596</v>
      </c>
      <c r="L15" s="19" t="s">
        <v>95</v>
      </c>
      <c r="M15" s="19" t="s">
        <v>96</v>
      </c>
      <c r="N15" s="13" t="s">
        <v>117</v>
      </c>
      <c r="O15" s="13" t="s">
        <v>45</v>
      </c>
      <c r="P15" s="13" t="s">
        <v>46</v>
      </c>
      <c r="Q15" s="16">
        <v>1018471</v>
      </c>
      <c r="R15" s="16" t="s">
        <v>38</v>
      </c>
      <c r="S15" s="16" t="s">
        <v>38</v>
      </c>
      <c r="T15" s="13" t="s">
        <v>115</v>
      </c>
      <c r="U15" s="20" t="s">
        <v>98</v>
      </c>
      <c r="V15" s="20" t="s">
        <v>99</v>
      </c>
      <c r="W15" s="13"/>
      <c r="X15" s="20" t="s">
        <v>100</v>
      </c>
      <c r="Y15" s="13"/>
      <c r="Z15" s="13" t="s">
        <v>101</v>
      </c>
      <c r="AA15" s="13"/>
      <c r="AB15" s="16" t="str">
        <f t="shared" si="0"/>
        <v>Completed</v>
      </c>
      <c r="AC15" s="18">
        <v>45988</v>
      </c>
      <c r="AD15" s="18">
        <v>45992</v>
      </c>
      <c r="AE15" s="18">
        <v>45993</v>
      </c>
      <c r="AF15" s="15"/>
      <c r="AG15" s="18">
        <v>45994</v>
      </c>
      <c r="AH15" s="15"/>
      <c r="AI15" s="18">
        <v>45994</v>
      </c>
      <c r="AJ15" s="21" t="str">
        <f>HYPERLINK(_xlfn.CONCAT(A15,B15,".pdf"),"link")</f>
        <v>link</v>
      </c>
      <c r="AK15" s="22"/>
      <c r="AL15" s="22"/>
    </row>
    <row r="16" spans="1:38" ht="18" customHeight="1">
      <c r="A16" s="13" t="s">
        <v>35</v>
      </c>
      <c r="B16" s="13" t="s">
        <v>118</v>
      </c>
      <c r="C16" s="14" t="s">
        <v>37</v>
      </c>
      <c r="D16" s="15" t="s">
        <v>38</v>
      </c>
      <c r="E16" s="15" t="s">
        <v>76</v>
      </c>
      <c r="F16" s="17" t="s">
        <v>76</v>
      </c>
      <c r="G16" s="16">
        <v>5</v>
      </c>
      <c r="H16" s="18">
        <v>45008</v>
      </c>
      <c r="I16" s="13" t="s">
        <v>119</v>
      </c>
      <c r="J16" s="18">
        <v>43922</v>
      </c>
      <c r="K16" s="18">
        <v>45747</v>
      </c>
      <c r="L16" s="19" t="s">
        <v>63</v>
      </c>
      <c r="M16" s="24" t="s">
        <v>103</v>
      </c>
      <c r="N16" s="13" t="s">
        <v>120</v>
      </c>
      <c r="O16" s="13" t="s">
        <v>45</v>
      </c>
      <c r="P16" s="13" t="s">
        <v>46</v>
      </c>
      <c r="Q16" s="16">
        <v>1018471</v>
      </c>
      <c r="R16" s="16" t="s">
        <v>38</v>
      </c>
      <c r="S16" s="16" t="s">
        <v>38</v>
      </c>
      <c r="T16" s="13" t="s">
        <v>121</v>
      </c>
      <c r="U16" s="13" t="s">
        <v>38</v>
      </c>
      <c r="V16" s="20" t="s">
        <v>38</v>
      </c>
      <c r="W16" s="13"/>
      <c r="X16" s="20" t="s">
        <v>105</v>
      </c>
      <c r="Y16" s="13" t="s">
        <v>82</v>
      </c>
      <c r="Z16" s="13"/>
      <c r="AA16" s="13"/>
      <c r="AB16" s="16" t="str">
        <f t="shared" si="0"/>
        <v>Completed</v>
      </c>
      <c r="AC16" s="18">
        <v>45988</v>
      </c>
      <c r="AD16" s="18">
        <v>45992</v>
      </c>
      <c r="AE16" s="18">
        <v>45993</v>
      </c>
      <c r="AF16" s="15"/>
      <c r="AG16" s="18">
        <v>45994</v>
      </c>
      <c r="AH16" s="15"/>
      <c r="AI16" s="18">
        <v>45994</v>
      </c>
      <c r="AJ16" s="21"/>
      <c r="AK16" s="22"/>
      <c r="AL16" s="22"/>
    </row>
    <row r="17" spans="1:38" ht="18" customHeight="1">
      <c r="A17" s="13" t="s">
        <v>35</v>
      </c>
      <c r="B17" s="13" t="s">
        <v>122</v>
      </c>
      <c r="C17" s="14" t="s">
        <v>37</v>
      </c>
      <c r="D17" s="15" t="s">
        <v>38</v>
      </c>
      <c r="E17" s="15" t="s">
        <v>76</v>
      </c>
      <c r="F17" s="17" t="s">
        <v>76</v>
      </c>
      <c r="G17" s="16">
        <v>6</v>
      </c>
      <c r="H17" s="18">
        <v>45006</v>
      </c>
      <c r="I17" s="13" t="s">
        <v>67</v>
      </c>
      <c r="J17" s="18">
        <v>43922</v>
      </c>
      <c r="K17" s="18">
        <v>45747</v>
      </c>
      <c r="L17" s="19" t="s">
        <v>63</v>
      </c>
      <c r="M17" s="19" t="s">
        <v>103</v>
      </c>
      <c r="N17" s="13" t="s">
        <v>68</v>
      </c>
      <c r="O17" s="13" t="s">
        <v>45</v>
      </c>
      <c r="P17" s="13" t="s">
        <v>46</v>
      </c>
      <c r="Q17" s="16">
        <v>1018471</v>
      </c>
      <c r="R17" s="16" t="s">
        <v>38</v>
      </c>
      <c r="S17" s="16" t="s">
        <v>38</v>
      </c>
      <c r="T17" s="13" t="s">
        <v>122</v>
      </c>
      <c r="U17" s="13" t="s">
        <v>38</v>
      </c>
      <c r="V17" s="20" t="s">
        <v>38</v>
      </c>
      <c r="W17" s="13"/>
      <c r="X17" s="20" t="s">
        <v>105</v>
      </c>
      <c r="Y17" s="13" t="s">
        <v>82</v>
      </c>
      <c r="Z17" s="13"/>
      <c r="AA17" s="13"/>
      <c r="AB17" s="16" t="str">
        <f t="shared" si="0"/>
        <v>Completed</v>
      </c>
      <c r="AC17" s="18">
        <v>45988</v>
      </c>
      <c r="AD17" s="18">
        <v>45992</v>
      </c>
      <c r="AE17" s="18">
        <v>45993</v>
      </c>
      <c r="AF17" s="15"/>
      <c r="AG17" s="18">
        <v>45994</v>
      </c>
      <c r="AH17" s="15"/>
      <c r="AI17" s="18">
        <v>45994</v>
      </c>
      <c r="AJ17" s="21"/>
      <c r="AK17" s="22"/>
      <c r="AL17" s="22"/>
    </row>
    <row r="18" spans="1:38" ht="18" customHeight="1">
      <c r="A18" s="13" t="s">
        <v>35</v>
      </c>
      <c r="B18" s="13" t="s">
        <v>123</v>
      </c>
      <c r="C18" s="14" t="s">
        <v>37</v>
      </c>
      <c r="D18" s="15" t="s">
        <v>124</v>
      </c>
      <c r="E18" s="16" t="s">
        <v>76</v>
      </c>
      <c r="F18" s="17">
        <v>630028</v>
      </c>
      <c r="G18" s="16">
        <v>1</v>
      </c>
      <c r="H18" s="18">
        <v>45073</v>
      </c>
      <c r="I18" s="13" t="s">
        <v>125</v>
      </c>
      <c r="J18" s="18">
        <v>44845</v>
      </c>
      <c r="K18" s="18">
        <v>45940</v>
      </c>
      <c r="L18" s="19" t="s">
        <v>95</v>
      </c>
      <c r="M18" s="19" t="s">
        <v>108</v>
      </c>
      <c r="N18" s="13" t="s">
        <v>117</v>
      </c>
      <c r="O18" s="13" t="s">
        <v>45</v>
      </c>
      <c r="P18" s="13" t="s">
        <v>46</v>
      </c>
      <c r="Q18" s="16">
        <v>1018471</v>
      </c>
      <c r="R18" s="16" t="s">
        <v>38</v>
      </c>
      <c r="S18" s="16" t="s">
        <v>38</v>
      </c>
      <c r="T18" s="13" t="s">
        <v>126</v>
      </c>
      <c r="U18" s="26" t="s">
        <v>110</v>
      </c>
      <c r="V18" s="20" t="s">
        <v>111</v>
      </c>
      <c r="W18" s="13"/>
      <c r="X18" s="20" t="s">
        <v>112</v>
      </c>
      <c r="Y18" s="13"/>
      <c r="Z18" s="13" t="s">
        <v>127</v>
      </c>
      <c r="AA18" s="13" t="s">
        <v>128</v>
      </c>
      <c r="AB18" s="16" t="str">
        <f t="shared" si="0"/>
        <v>Completed</v>
      </c>
      <c r="AC18" s="18">
        <v>45988</v>
      </c>
      <c r="AD18" s="18">
        <v>45992</v>
      </c>
      <c r="AE18" s="18">
        <v>45993</v>
      </c>
      <c r="AF18" s="15"/>
      <c r="AG18" s="18">
        <v>45994</v>
      </c>
      <c r="AH18" s="15"/>
      <c r="AI18" s="18">
        <v>45994</v>
      </c>
      <c r="AJ18" s="21"/>
      <c r="AK18" s="22"/>
      <c r="AL18" s="22"/>
    </row>
    <row r="19" spans="1:38" ht="18" customHeight="1">
      <c r="A19" s="13" t="s">
        <v>35</v>
      </c>
      <c r="B19" s="13" t="s">
        <v>129</v>
      </c>
      <c r="C19" s="14" t="s">
        <v>37</v>
      </c>
      <c r="D19" s="15" t="s">
        <v>130</v>
      </c>
      <c r="E19" s="16" t="s">
        <v>76</v>
      </c>
      <c r="F19" s="17">
        <v>630028</v>
      </c>
      <c r="G19" s="27">
        <v>2</v>
      </c>
      <c r="H19" s="18">
        <v>45160</v>
      </c>
      <c r="I19" s="13" t="s">
        <v>131</v>
      </c>
      <c r="J19" s="18">
        <v>44845</v>
      </c>
      <c r="K19" s="18">
        <v>45940</v>
      </c>
      <c r="L19" s="19" t="s">
        <v>95</v>
      </c>
      <c r="M19" s="19" t="s">
        <v>108</v>
      </c>
      <c r="N19" s="13" t="s">
        <v>117</v>
      </c>
      <c r="O19" s="13" t="s">
        <v>45</v>
      </c>
      <c r="P19" s="13" t="s">
        <v>46</v>
      </c>
      <c r="Q19" s="16">
        <v>1018471</v>
      </c>
      <c r="R19" s="16" t="s">
        <v>38</v>
      </c>
      <c r="S19" s="16" t="s">
        <v>38</v>
      </c>
      <c r="T19" s="13" t="s">
        <v>132</v>
      </c>
      <c r="U19" s="26" t="s">
        <v>110</v>
      </c>
      <c r="V19" s="20" t="s">
        <v>111</v>
      </c>
      <c r="W19" s="13"/>
      <c r="X19" s="20" t="s">
        <v>112</v>
      </c>
      <c r="Y19" s="13"/>
      <c r="Z19" s="13" t="s">
        <v>127</v>
      </c>
      <c r="AA19" s="13" t="s">
        <v>128</v>
      </c>
      <c r="AB19" s="16" t="str">
        <f t="shared" si="0"/>
        <v>Completed</v>
      </c>
      <c r="AC19" s="18">
        <v>45988</v>
      </c>
      <c r="AD19" s="18">
        <v>45992</v>
      </c>
      <c r="AE19" s="18">
        <v>45993</v>
      </c>
      <c r="AF19" s="15"/>
      <c r="AG19" s="18">
        <v>45994</v>
      </c>
      <c r="AH19" s="15"/>
      <c r="AI19" s="18">
        <v>45994</v>
      </c>
      <c r="AJ19" s="21"/>
      <c r="AK19" s="22"/>
      <c r="AL19" s="22"/>
    </row>
    <row r="20" spans="1:38" ht="18" customHeight="1">
      <c r="A20" s="13" t="s">
        <v>35</v>
      </c>
      <c r="B20" s="13" t="s">
        <v>133</v>
      </c>
      <c r="C20" s="14" t="s">
        <v>37</v>
      </c>
      <c r="D20" s="16">
        <v>164895</v>
      </c>
      <c r="E20" s="15" t="s">
        <v>76</v>
      </c>
      <c r="F20" s="17">
        <v>643060</v>
      </c>
      <c r="G20" s="16">
        <v>0</v>
      </c>
      <c r="H20" s="18">
        <v>45231</v>
      </c>
      <c r="I20" s="13" t="s">
        <v>94</v>
      </c>
      <c r="J20" s="18">
        <v>45231</v>
      </c>
      <c r="K20" s="18">
        <v>46326</v>
      </c>
      <c r="L20" s="19" t="s">
        <v>95</v>
      </c>
      <c r="M20" s="19" t="s">
        <v>134</v>
      </c>
      <c r="N20" s="13" t="s">
        <v>94</v>
      </c>
      <c r="O20" s="13" t="s">
        <v>45</v>
      </c>
      <c r="P20" s="13" t="s">
        <v>46</v>
      </c>
      <c r="Q20" s="16">
        <v>1018471</v>
      </c>
      <c r="R20" s="16" t="s">
        <v>38</v>
      </c>
      <c r="S20" s="16" t="s">
        <v>38</v>
      </c>
      <c r="T20" s="13" t="s">
        <v>135</v>
      </c>
      <c r="U20" s="20" t="s">
        <v>136</v>
      </c>
      <c r="V20" s="20" t="s">
        <v>137</v>
      </c>
      <c r="W20" s="13"/>
      <c r="X20" s="20" t="s">
        <v>138</v>
      </c>
      <c r="Y20" s="13" t="s">
        <v>38</v>
      </c>
      <c r="Z20" s="13" t="s">
        <v>139</v>
      </c>
      <c r="AA20" s="13" t="s">
        <v>140</v>
      </c>
      <c r="AB20" s="16" t="str">
        <f t="shared" si="0"/>
        <v>Completed</v>
      </c>
      <c r="AC20" s="18">
        <v>45988</v>
      </c>
      <c r="AD20" s="18">
        <v>45992</v>
      </c>
      <c r="AE20" s="18">
        <v>45993</v>
      </c>
      <c r="AF20" s="15"/>
      <c r="AG20" s="18">
        <v>45995</v>
      </c>
      <c r="AH20" s="15"/>
      <c r="AI20" s="18">
        <v>45996</v>
      </c>
      <c r="AJ20" s="21"/>
      <c r="AK20" s="22"/>
      <c r="AL20" s="22"/>
    </row>
    <row r="21" spans="1:38" ht="18" customHeight="1">
      <c r="A21" s="13" t="s">
        <v>35</v>
      </c>
      <c r="B21" s="13" t="s">
        <v>141</v>
      </c>
      <c r="C21" s="14" t="s">
        <v>37</v>
      </c>
      <c r="D21" s="15">
        <v>168591</v>
      </c>
      <c r="E21" s="16" t="s">
        <v>76</v>
      </c>
      <c r="F21" s="17">
        <v>643565</v>
      </c>
      <c r="G21" s="16">
        <v>0</v>
      </c>
      <c r="H21" s="18">
        <v>45243</v>
      </c>
      <c r="I21" s="13" t="s">
        <v>94</v>
      </c>
      <c r="J21" s="18">
        <v>45243</v>
      </c>
      <c r="K21" s="18">
        <v>46356</v>
      </c>
      <c r="L21" s="23" t="s">
        <v>54</v>
      </c>
      <c r="M21" s="19" t="s">
        <v>142</v>
      </c>
      <c r="N21" s="13" t="s">
        <v>94</v>
      </c>
      <c r="O21" s="13" t="s">
        <v>45</v>
      </c>
      <c r="P21" s="13" t="s">
        <v>46</v>
      </c>
      <c r="Q21" s="16">
        <v>1018471</v>
      </c>
      <c r="R21" s="16" t="s">
        <v>38</v>
      </c>
      <c r="S21" s="16" t="s">
        <v>38</v>
      </c>
      <c r="T21" s="13" t="s">
        <v>143</v>
      </c>
      <c r="U21" s="20" t="s">
        <v>144</v>
      </c>
      <c r="V21" s="20" t="s">
        <v>145</v>
      </c>
      <c r="W21" s="13"/>
      <c r="X21" s="20" t="s">
        <v>146</v>
      </c>
      <c r="Y21" s="13" t="s">
        <v>147</v>
      </c>
      <c r="Z21" s="13"/>
      <c r="AA21" s="13"/>
      <c r="AB21" s="16" t="str">
        <f t="shared" si="0"/>
        <v>Completed</v>
      </c>
      <c r="AC21" s="18">
        <v>45988</v>
      </c>
      <c r="AD21" s="18">
        <v>45993</v>
      </c>
      <c r="AE21" s="18">
        <v>45993</v>
      </c>
      <c r="AF21" s="15"/>
      <c r="AG21" s="18">
        <v>45993</v>
      </c>
      <c r="AH21" s="15"/>
      <c r="AI21" s="18">
        <v>45993</v>
      </c>
      <c r="AJ21" s="21"/>
      <c r="AK21" s="22"/>
      <c r="AL21" s="22"/>
    </row>
    <row r="22" spans="1:38" ht="18" customHeight="1">
      <c r="A22" s="13" t="s">
        <v>35</v>
      </c>
      <c r="B22" s="13" t="s">
        <v>148</v>
      </c>
      <c r="C22" s="14" t="s">
        <v>37</v>
      </c>
      <c r="D22" s="15">
        <v>174102</v>
      </c>
      <c r="E22" s="16" t="s">
        <v>76</v>
      </c>
      <c r="F22" s="17">
        <v>643565</v>
      </c>
      <c r="G22" s="16">
        <v>1</v>
      </c>
      <c r="H22" s="18">
        <v>45974</v>
      </c>
      <c r="I22" s="13" t="s">
        <v>116</v>
      </c>
      <c r="J22" s="18">
        <v>45243</v>
      </c>
      <c r="K22" s="18">
        <v>46356</v>
      </c>
      <c r="L22" s="23" t="s">
        <v>54</v>
      </c>
      <c r="M22" s="23" t="s">
        <v>142</v>
      </c>
      <c r="N22" s="13" t="s">
        <v>117</v>
      </c>
      <c r="O22" s="13" t="s">
        <v>45</v>
      </c>
      <c r="P22" s="13" t="s">
        <v>46</v>
      </c>
      <c r="Q22" s="16">
        <v>1018471</v>
      </c>
      <c r="R22" s="16" t="s">
        <v>38</v>
      </c>
      <c r="S22" s="16" t="s">
        <v>38</v>
      </c>
      <c r="T22" s="13" t="s">
        <v>149</v>
      </c>
      <c r="U22" s="20" t="s">
        <v>144</v>
      </c>
      <c r="V22" s="20" t="s">
        <v>145</v>
      </c>
      <c r="W22" s="13"/>
      <c r="X22" s="20" t="s">
        <v>150</v>
      </c>
      <c r="Y22" s="13" t="s">
        <v>147</v>
      </c>
      <c r="Z22" s="13"/>
      <c r="AA22" s="13"/>
      <c r="AB22" s="16" t="str">
        <f t="shared" si="0"/>
        <v>Completed</v>
      </c>
      <c r="AC22" s="18">
        <v>45988</v>
      </c>
      <c r="AD22" s="18">
        <v>45993</v>
      </c>
      <c r="AE22" s="18">
        <v>45993</v>
      </c>
      <c r="AF22" s="15"/>
      <c r="AG22" s="18">
        <v>45993</v>
      </c>
      <c r="AH22" s="15"/>
      <c r="AI22" s="18">
        <v>45993</v>
      </c>
      <c r="AJ22" s="21"/>
      <c r="AK22" s="22"/>
      <c r="AL22" s="22"/>
    </row>
    <row r="23" spans="1:38" ht="18" customHeight="1">
      <c r="A23" s="13" t="s">
        <v>35</v>
      </c>
      <c r="B23" s="13" t="s">
        <v>151</v>
      </c>
      <c r="C23" s="14" t="s">
        <v>37</v>
      </c>
      <c r="D23" s="15" t="s">
        <v>152</v>
      </c>
      <c r="E23" s="16" t="s">
        <v>76</v>
      </c>
      <c r="F23" s="17">
        <v>630028</v>
      </c>
      <c r="G23" s="27">
        <v>3</v>
      </c>
      <c r="H23" s="18">
        <v>45338</v>
      </c>
      <c r="I23" s="13" t="s">
        <v>153</v>
      </c>
      <c r="J23" s="18">
        <v>44845</v>
      </c>
      <c r="K23" s="18">
        <v>45940</v>
      </c>
      <c r="L23" s="19" t="s">
        <v>95</v>
      </c>
      <c r="M23" s="23" t="s">
        <v>108</v>
      </c>
      <c r="N23" s="13" t="s">
        <v>117</v>
      </c>
      <c r="O23" s="13" t="s">
        <v>45</v>
      </c>
      <c r="P23" s="13" t="s">
        <v>46</v>
      </c>
      <c r="Q23" s="16">
        <v>1018471</v>
      </c>
      <c r="R23" s="16" t="s">
        <v>38</v>
      </c>
      <c r="S23" s="16" t="s">
        <v>38</v>
      </c>
      <c r="T23" s="13" t="s">
        <v>154</v>
      </c>
      <c r="U23" s="26" t="s">
        <v>110</v>
      </c>
      <c r="V23" s="20" t="s">
        <v>111</v>
      </c>
      <c r="W23" s="13"/>
      <c r="X23" s="20" t="s">
        <v>112</v>
      </c>
      <c r="Y23" s="13" t="s">
        <v>38</v>
      </c>
      <c r="Z23" s="13" t="s">
        <v>127</v>
      </c>
      <c r="AA23" s="13" t="s">
        <v>128</v>
      </c>
      <c r="AB23" s="16" t="str">
        <f t="shared" si="0"/>
        <v>Completed</v>
      </c>
      <c r="AC23" s="18">
        <v>45988</v>
      </c>
      <c r="AD23" s="18">
        <v>45993</v>
      </c>
      <c r="AE23" s="18">
        <v>45993</v>
      </c>
      <c r="AF23" s="15"/>
      <c r="AG23" s="18">
        <v>45994</v>
      </c>
      <c r="AH23" s="15"/>
      <c r="AI23" s="18">
        <v>45994</v>
      </c>
      <c r="AJ23" s="21"/>
      <c r="AK23" s="22"/>
      <c r="AL23" s="22"/>
    </row>
    <row r="24" spans="1:38" ht="18" customHeight="1">
      <c r="A24" s="13" t="s">
        <v>35</v>
      </c>
      <c r="B24" s="13" t="s">
        <v>155</v>
      </c>
      <c r="C24" s="14" t="s">
        <v>37</v>
      </c>
      <c r="D24" s="15" t="s">
        <v>156</v>
      </c>
      <c r="E24" s="16" t="s">
        <v>76</v>
      </c>
      <c r="F24" s="17">
        <v>159927</v>
      </c>
      <c r="G24" s="16">
        <v>0</v>
      </c>
      <c r="H24" s="18">
        <v>45388</v>
      </c>
      <c r="I24" s="13" t="s">
        <v>94</v>
      </c>
      <c r="J24" s="18">
        <v>45388</v>
      </c>
      <c r="K24" s="18">
        <v>46117</v>
      </c>
      <c r="L24" s="19" t="s">
        <v>95</v>
      </c>
      <c r="M24" s="19" t="s">
        <v>157</v>
      </c>
      <c r="N24" s="13" t="s">
        <v>94</v>
      </c>
      <c r="O24" s="13" t="s">
        <v>45</v>
      </c>
      <c r="P24" s="13" t="s">
        <v>46</v>
      </c>
      <c r="Q24" s="16">
        <v>1018471</v>
      </c>
      <c r="R24" s="16" t="s">
        <v>38</v>
      </c>
      <c r="S24" s="16" t="s">
        <v>38</v>
      </c>
      <c r="T24" s="13" t="s">
        <v>158</v>
      </c>
      <c r="U24" s="20" t="s">
        <v>159</v>
      </c>
      <c r="V24" s="20" t="s">
        <v>160</v>
      </c>
      <c r="W24" s="13"/>
      <c r="X24" s="20" t="s">
        <v>161</v>
      </c>
      <c r="Y24" s="13" t="s">
        <v>38</v>
      </c>
      <c r="Z24" s="13" t="s">
        <v>162</v>
      </c>
      <c r="AA24" s="13" t="s">
        <v>163</v>
      </c>
      <c r="AB24" s="16" t="str">
        <f t="shared" si="0"/>
        <v>Completed</v>
      </c>
      <c r="AC24" s="18">
        <v>45988</v>
      </c>
      <c r="AD24" s="18">
        <v>45993</v>
      </c>
      <c r="AE24" s="18">
        <v>45993</v>
      </c>
      <c r="AF24" s="15"/>
      <c r="AG24" s="18">
        <v>45994</v>
      </c>
      <c r="AH24" s="15"/>
      <c r="AI24" s="18">
        <v>45994</v>
      </c>
      <c r="AJ24" s="21"/>
      <c r="AK24" s="22"/>
      <c r="AL24" s="22"/>
    </row>
    <row r="25" spans="1:38" ht="18" customHeight="1">
      <c r="A25" s="13" t="s">
        <v>35</v>
      </c>
      <c r="B25" s="13" t="s">
        <v>164</v>
      </c>
      <c r="C25" s="14" t="s">
        <v>37</v>
      </c>
      <c r="D25" s="15" t="s">
        <v>165</v>
      </c>
      <c r="E25" s="16" t="s">
        <v>76</v>
      </c>
      <c r="F25" s="17">
        <v>630028</v>
      </c>
      <c r="G25" s="27">
        <v>4</v>
      </c>
      <c r="H25" s="18">
        <v>45411</v>
      </c>
      <c r="I25" s="13" t="s">
        <v>116</v>
      </c>
      <c r="J25" s="18">
        <v>44845</v>
      </c>
      <c r="K25" s="18">
        <v>45940</v>
      </c>
      <c r="L25" s="19" t="s">
        <v>95</v>
      </c>
      <c r="M25" s="19" t="s">
        <v>108</v>
      </c>
      <c r="N25" s="13" t="s">
        <v>117</v>
      </c>
      <c r="O25" s="13" t="s">
        <v>45</v>
      </c>
      <c r="P25" s="13" t="s">
        <v>46</v>
      </c>
      <c r="Q25" s="16">
        <v>1018471</v>
      </c>
      <c r="R25" s="16" t="s">
        <v>38</v>
      </c>
      <c r="S25" s="16" t="s">
        <v>38</v>
      </c>
      <c r="T25" s="13" t="s">
        <v>166</v>
      </c>
      <c r="U25" s="26" t="s">
        <v>110</v>
      </c>
      <c r="V25" s="20" t="s">
        <v>111</v>
      </c>
      <c r="W25" s="13"/>
      <c r="X25" s="20" t="s">
        <v>112</v>
      </c>
      <c r="Y25" s="13" t="s">
        <v>38</v>
      </c>
      <c r="Z25" s="13" t="s">
        <v>127</v>
      </c>
      <c r="AA25" s="13" t="s">
        <v>128</v>
      </c>
      <c r="AB25" s="16" t="str">
        <f t="shared" si="0"/>
        <v>Completed</v>
      </c>
      <c r="AC25" s="18">
        <v>45988</v>
      </c>
      <c r="AD25" s="18">
        <v>45993</v>
      </c>
      <c r="AE25" s="18">
        <v>45993</v>
      </c>
      <c r="AF25" s="15"/>
      <c r="AG25" s="18">
        <v>45994</v>
      </c>
      <c r="AH25" s="15"/>
      <c r="AI25" s="18">
        <v>45994</v>
      </c>
      <c r="AJ25" s="21"/>
      <c r="AK25" s="22"/>
      <c r="AL25" s="22"/>
    </row>
    <row r="26" spans="1:38" ht="18" customHeight="1">
      <c r="A26" s="13" t="s">
        <v>35</v>
      </c>
      <c r="B26" s="13" t="s">
        <v>167</v>
      </c>
      <c r="C26" s="14" t="s">
        <v>37</v>
      </c>
      <c r="D26" s="15" t="s">
        <v>38</v>
      </c>
      <c r="E26" s="16" t="s">
        <v>76</v>
      </c>
      <c r="F26" s="17" t="s">
        <v>38</v>
      </c>
      <c r="G26" s="16">
        <v>0</v>
      </c>
      <c r="H26" s="18">
        <v>45419</v>
      </c>
      <c r="I26" s="13" t="s">
        <v>94</v>
      </c>
      <c r="J26" s="18">
        <v>45419</v>
      </c>
      <c r="K26" s="18">
        <v>46513</v>
      </c>
      <c r="L26" s="19" t="s">
        <v>168</v>
      </c>
      <c r="M26" s="19" t="s">
        <v>169</v>
      </c>
      <c r="N26" s="13" t="s">
        <v>94</v>
      </c>
      <c r="O26" s="13" t="s">
        <v>45</v>
      </c>
      <c r="P26" s="13" t="s">
        <v>46</v>
      </c>
      <c r="Q26" s="16">
        <v>1018471</v>
      </c>
      <c r="R26" s="16" t="s">
        <v>38</v>
      </c>
      <c r="S26" s="16" t="s">
        <v>38</v>
      </c>
      <c r="T26" s="13" t="s">
        <v>170</v>
      </c>
      <c r="U26" s="20" t="s">
        <v>171</v>
      </c>
      <c r="V26" s="20" t="s">
        <v>137</v>
      </c>
      <c r="W26" s="13"/>
      <c r="X26" s="20" t="s">
        <v>172</v>
      </c>
      <c r="Y26" s="20" t="s">
        <v>173</v>
      </c>
      <c r="Z26" s="13" t="s">
        <v>174</v>
      </c>
      <c r="AA26" s="13"/>
      <c r="AB26" s="16" t="str">
        <f t="shared" si="0"/>
        <v>Completed</v>
      </c>
      <c r="AC26" s="18">
        <v>45988</v>
      </c>
      <c r="AD26" s="18">
        <v>45993</v>
      </c>
      <c r="AE26" s="18">
        <v>45993</v>
      </c>
      <c r="AF26" s="15"/>
      <c r="AG26" s="18">
        <v>45993</v>
      </c>
      <c r="AH26" s="15"/>
      <c r="AI26" s="18">
        <v>45993</v>
      </c>
      <c r="AJ26" s="21"/>
      <c r="AK26" s="22"/>
      <c r="AL26" s="22"/>
    </row>
    <row r="27" spans="1:38" ht="18" customHeight="1">
      <c r="A27" s="13" t="s">
        <v>35</v>
      </c>
      <c r="B27" s="13" t="s">
        <v>175</v>
      </c>
      <c r="C27" s="14" t="s">
        <v>37</v>
      </c>
      <c r="D27" s="15" t="s">
        <v>176</v>
      </c>
      <c r="E27" s="16" t="s">
        <v>76</v>
      </c>
      <c r="F27" s="17">
        <v>630028</v>
      </c>
      <c r="G27" s="27">
        <v>5</v>
      </c>
      <c r="H27" s="18">
        <v>45457</v>
      </c>
      <c r="I27" s="13" t="s">
        <v>116</v>
      </c>
      <c r="J27" s="18">
        <v>44845</v>
      </c>
      <c r="K27" s="18">
        <v>45940</v>
      </c>
      <c r="L27" s="19" t="s">
        <v>95</v>
      </c>
      <c r="M27" s="19" t="s">
        <v>108</v>
      </c>
      <c r="N27" s="13" t="s">
        <v>117</v>
      </c>
      <c r="O27" s="13" t="s">
        <v>45</v>
      </c>
      <c r="P27" s="13" t="s">
        <v>46</v>
      </c>
      <c r="Q27" s="16">
        <v>1018471</v>
      </c>
      <c r="R27" s="16" t="s">
        <v>38</v>
      </c>
      <c r="S27" s="16" t="s">
        <v>38</v>
      </c>
      <c r="T27" s="13" t="s">
        <v>177</v>
      </c>
      <c r="U27" s="26" t="s">
        <v>110</v>
      </c>
      <c r="V27" s="20" t="s">
        <v>111</v>
      </c>
      <c r="W27" s="13"/>
      <c r="X27" s="20" t="s">
        <v>112</v>
      </c>
      <c r="Y27" s="13" t="s">
        <v>38</v>
      </c>
      <c r="Z27" s="13" t="s">
        <v>127</v>
      </c>
      <c r="AA27" s="13" t="s">
        <v>128</v>
      </c>
      <c r="AB27" s="16" t="str">
        <f t="shared" si="0"/>
        <v>Completed</v>
      </c>
      <c r="AC27" s="18">
        <v>45988</v>
      </c>
      <c r="AD27" s="18">
        <v>45993</v>
      </c>
      <c r="AE27" s="18">
        <v>45993</v>
      </c>
      <c r="AF27" s="15"/>
      <c r="AG27" s="18">
        <v>45994</v>
      </c>
      <c r="AH27" s="15"/>
      <c r="AI27" s="18">
        <v>45994</v>
      </c>
      <c r="AJ27" s="21"/>
      <c r="AK27" s="22"/>
      <c r="AL27" s="22"/>
    </row>
    <row r="28" spans="1:38" ht="18" customHeight="1">
      <c r="A28" s="13" t="s">
        <v>35</v>
      </c>
      <c r="B28" s="13" t="s">
        <v>178</v>
      </c>
      <c r="C28" s="14" t="s">
        <v>179</v>
      </c>
      <c r="D28" s="15">
        <v>198415</v>
      </c>
      <c r="E28" s="16" t="s">
        <v>76</v>
      </c>
      <c r="F28" s="17">
        <v>643565</v>
      </c>
      <c r="G28" s="16">
        <v>2</v>
      </c>
      <c r="H28" s="18">
        <v>45525</v>
      </c>
      <c r="I28" s="13" t="s">
        <v>116</v>
      </c>
      <c r="J28" s="18">
        <v>45243</v>
      </c>
      <c r="K28" s="18">
        <v>46356</v>
      </c>
      <c r="L28" s="23" t="s">
        <v>54</v>
      </c>
      <c r="M28" s="19" t="s">
        <v>142</v>
      </c>
      <c r="N28" s="13" t="s">
        <v>117</v>
      </c>
      <c r="O28" s="13" t="s">
        <v>45</v>
      </c>
      <c r="P28" s="13" t="s">
        <v>46</v>
      </c>
      <c r="Q28" s="16">
        <v>1018471</v>
      </c>
      <c r="R28" s="28" t="s">
        <v>180</v>
      </c>
      <c r="S28" s="28" t="s">
        <v>180</v>
      </c>
      <c r="T28" s="13" t="s">
        <v>181</v>
      </c>
      <c r="U28" s="20" t="s">
        <v>144</v>
      </c>
      <c r="V28" s="20" t="s">
        <v>145</v>
      </c>
      <c r="W28" s="13"/>
      <c r="X28" s="20" t="s">
        <v>182</v>
      </c>
      <c r="Y28" s="13" t="s">
        <v>147</v>
      </c>
      <c r="Z28" s="13"/>
      <c r="AA28" s="13" t="s">
        <v>183</v>
      </c>
      <c r="AB28" s="16" t="str">
        <f t="shared" si="0"/>
        <v>Completed</v>
      </c>
      <c r="AC28" s="18">
        <v>45988</v>
      </c>
      <c r="AD28" s="18">
        <v>45988</v>
      </c>
      <c r="AE28" s="18">
        <v>45994</v>
      </c>
      <c r="AF28" s="15"/>
      <c r="AG28" s="18">
        <v>45995</v>
      </c>
      <c r="AH28" s="15"/>
      <c r="AI28" s="18">
        <v>45996</v>
      </c>
      <c r="AJ28" s="21"/>
      <c r="AK28" s="22"/>
      <c r="AL28" s="22"/>
    </row>
    <row r="29" spans="1:38" ht="18" customHeight="1">
      <c r="A29" s="13" t="s">
        <v>35</v>
      </c>
      <c r="B29" s="13" t="s">
        <v>184</v>
      </c>
      <c r="C29" s="14" t="s">
        <v>179</v>
      </c>
      <c r="D29" s="15">
        <v>106832</v>
      </c>
      <c r="E29" s="16" t="s">
        <v>76</v>
      </c>
      <c r="F29" s="17">
        <v>210569</v>
      </c>
      <c r="G29" s="16">
        <v>0</v>
      </c>
      <c r="H29" s="18">
        <v>45523</v>
      </c>
      <c r="I29" s="13" t="s">
        <v>185</v>
      </c>
      <c r="J29" s="18">
        <v>45523</v>
      </c>
      <c r="K29" s="18">
        <v>45888</v>
      </c>
      <c r="L29" s="19" t="s">
        <v>95</v>
      </c>
      <c r="M29" s="23" t="s">
        <v>186</v>
      </c>
      <c r="N29" s="13" t="s">
        <v>94</v>
      </c>
      <c r="O29" s="13" t="s">
        <v>45</v>
      </c>
      <c r="P29" s="13" t="s">
        <v>46</v>
      </c>
      <c r="Q29" s="16">
        <v>1018471</v>
      </c>
      <c r="R29" s="16" t="s">
        <v>38</v>
      </c>
      <c r="S29" s="16" t="s">
        <v>38</v>
      </c>
      <c r="T29" s="13" t="s">
        <v>187</v>
      </c>
      <c r="U29" s="13" t="s">
        <v>188</v>
      </c>
      <c r="V29" s="20" t="s">
        <v>189</v>
      </c>
      <c r="W29" s="13"/>
      <c r="X29" s="13" t="s">
        <v>190</v>
      </c>
      <c r="Y29" s="20" t="s">
        <v>191</v>
      </c>
      <c r="Z29" s="13"/>
      <c r="AA29" s="13" t="s">
        <v>192</v>
      </c>
      <c r="AB29" s="16" t="str">
        <f t="shared" si="0"/>
        <v>Completed</v>
      </c>
      <c r="AC29" s="18">
        <v>45988</v>
      </c>
      <c r="AD29" s="18">
        <v>45988</v>
      </c>
      <c r="AE29" s="18">
        <v>45993</v>
      </c>
      <c r="AF29" s="15"/>
      <c r="AG29" s="18">
        <v>45995</v>
      </c>
      <c r="AH29" s="15"/>
      <c r="AI29" s="18">
        <v>45996</v>
      </c>
      <c r="AJ29" s="21"/>
      <c r="AK29" s="22"/>
      <c r="AL29" s="22"/>
    </row>
    <row r="30" spans="1:38" ht="18" customHeight="1">
      <c r="A30" s="13" t="s">
        <v>35</v>
      </c>
      <c r="B30" s="13" t="s">
        <v>193</v>
      </c>
      <c r="C30" s="14" t="s">
        <v>179</v>
      </c>
      <c r="D30" s="15">
        <v>190760</v>
      </c>
      <c r="E30" s="17" t="s">
        <v>76</v>
      </c>
      <c r="F30" s="17">
        <v>630028</v>
      </c>
      <c r="G30" s="16">
        <v>6</v>
      </c>
      <c r="H30" s="18">
        <v>45553</v>
      </c>
      <c r="I30" s="13" t="s">
        <v>116</v>
      </c>
      <c r="J30" s="18">
        <v>44845</v>
      </c>
      <c r="K30" s="18">
        <v>45940</v>
      </c>
      <c r="L30" s="19" t="s">
        <v>95</v>
      </c>
      <c r="M30" s="19" t="s">
        <v>108</v>
      </c>
      <c r="N30" s="13" t="s">
        <v>117</v>
      </c>
      <c r="O30" s="13" t="s">
        <v>45</v>
      </c>
      <c r="P30" s="13" t="s">
        <v>46</v>
      </c>
      <c r="Q30" s="16">
        <v>1018471</v>
      </c>
      <c r="R30" s="28" t="s">
        <v>194</v>
      </c>
      <c r="S30" s="28" t="s">
        <v>194</v>
      </c>
      <c r="T30" s="13" t="s">
        <v>195</v>
      </c>
      <c r="U30" s="26" t="s">
        <v>110</v>
      </c>
      <c r="V30" s="20" t="s">
        <v>111</v>
      </c>
      <c r="W30" s="13"/>
      <c r="X30" s="20" t="s">
        <v>112</v>
      </c>
      <c r="Y30" s="13" t="s">
        <v>196</v>
      </c>
      <c r="Z30" s="13" t="s">
        <v>127</v>
      </c>
      <c r="AA30" s="13" t="s">
        <v>197</v>
      </c>
      <c r="AB30" s="16" t="str">
        <f t="shared" si="0"/>
        <v>Completed</v>
      </c>
      <c r="AC30" s="18">
        <v>45988</v>
      </c>
      <c r="AD30" s="18">
        <v>45988</v>
      </c>
      <c r="AE30" s="18">
        <v>45994</v>
      </c>
      <c r="AF30" s="15"/>
      <c r="AG30" s="18">
        <v>45995</v>
      </c>
      <c r="AH30" s="15"/>
      <c r="AI30" s="18">
        <v>45996</v>
      </c>
      <c r="AJ30" s="21"/>
      <c r="AK30" s="22"/>
      <c r="AL30" s="22"/>
    </row>
    <row r="31" spans="1:38" ht="18" customHeight="1">
      <c r="A31" s="13" t="s">
        <v>35</v>
      </c>
      <c r="B31" s="13" t="s">
        <v>198</v>
      </c>
      <c r="C31" s="14" t="s">
        <v>179</v>
      </c>
      <c r="D31" s="15">
        <v>198093</v>
      </c>
      <c r="E31" s="15" t="s">
        <v>76</v>
      </c>
      <c r="F31" s="17">
        <v>643060</v>
      </c>
      <c r="G31" s="16">
        <v>1</v>
      </c>
      <c r="H31" s="18">
        <v>45552</v>
      </c>
      <c r="I31" s="13" t="s">
        <v>116</v>
      </c>
      <c r="J31" s="18">
        <v>45231</v>
      </c>
      <c r="K31" s="18">
        <v>46326</v>
      </c>
      <c r="L31" s="19" t="s">
        <v>95</v>
      </c>
      <c r="M31" s="19" t="s">
        <v>199</v>
      </c>
      <c r="N31" s="13" t="s">
        <v>117</v>
      </c>
      <c r="O31" s="13" t="s">
        <v>45</v>
      </c>
      <c r="P31" s="13" t="s">
        <v>46</v>
      </c>
      <c r="Q31" s="16">
        <v>1018471</v>
      </c>
      <c r="R31" s="16" t="s">
        <v>38</v>
      </c>
      <c r="S31" s="16" t="s">
        <v>38</v>
      </c>
      <c r="T31" s="13" t="s">
        <v>200</v>
      </c>
      <c r="U31" s="13" t="s">
        <v>38</v>
      </c>
      <c r="V31" s="20" t="s">
        <v>137</v>
      </c>
      <c r="W31" s="13"/>
      <c r="X31" s="20" t="s">
        <v>138</v>
      </c>
      <c r="Y31" s="13" t="s">
        <v>38</v>
      </c>
      <c r="Z31" s="13" t="s">
        <v>201</v>
      </c>
      <c r="AA31" s="13"/>
      <c r="AB31" s="16" t="str">
        <f t="shared" si="0"/>
        <v>Completed</v>
      </c>
      <c r="AC31" s="18">
        <v>45988</v>
      </c>
      <c r="AD31" s="18">
        <v>45988</v>
      </c>
      <c r="AE31" s="18">
        <v>45994</v>
      </c>
      <c r="AF31" s="15"/>
      <c r="AG31" s="18">
        <v>45995</v>
      </c>
      <c r="AH31" s="15"/>
      <c r="AI31" s="18">
        <v>45996</v>
      </c>
      <c r="AJ31" s="21"/>
      <c r="AK31" s="22"/>
      <c r="AL31" s="22"/>
    </row>
    <row r="32" spans="1:38" ht="18" customHeight="1">
      <c r="A32" s="13" t="s">
        <v>35</v>
      </c>
      <c r="B32" s="13" t="s">
        <v>202</v>
      </c>
      <c r="C32" s="14" t="s">
        <v>179</v>
      </c>
      <c r="D32" s="15">
        <v>200550</v>
      </c>
      <c r="E32" s="16" t="s">
        <v>76</v>
      </c>
      <c r="F32" s="17">
        <v>618324</v>
      </c>
      <c r="G32" s="16">
        <v>2</v>
      </c>
      <c r="H32" s="18">
        <v>45554</v>
      </c>
      <c r="I32" s="13" t="s">
        <v>116</v>
      </c>
      <c r="J32" s="29">
        <v>44501</v>
      </c>
      <c r="K32" s="29">
        <v>46326</v>
      </c>
      <c r="L32" s="19" t="s">
        <v>95</v>
      </c>
      <c r="M32" s="19" t="s">
        <v>203</v>
      </c>
      <c r="N32" s="13" t="s">
        <v>117</v>
      </c>
      <c r="O32" s="13" t="s">
        <v>45</v>
      </c>
      <c r="P32" s="13" t="s">
        <v>46</v>
      </c>
      <c r="Q32" s="16">
        <v>1018471</v>
      </c>
      <c r="R32" s="28" t="s">
        <v>204</v>
      </c>
      <c r="S32" s="16" t="s">
        <v>38</v>
      </c>
      <c r="T32" s="13" t="s">
        <v>205</v>
      </c>
      <c r="U32" s="20" t="s">
        <v>98</v>
      </c>
      <c r="V32" s="20" t="s">
        <v>99</v>
      </c>
      <c r="W32" s="13"/>
      <c r="X32" s="20" t="s">
        <v>206</v>
      </c>
      <c r="Y32" s="13" t="s">
        <v>207</v>
      </c>
      <c r="Z32" s="13" t="s">
        <v>101</v>
      </c>
      <c r="AA32" s="20" t="s">
        <v>208</v>
      </c>
      <c r="AB32" s="16" t="str">
        <f t="shared" si="0"/>
        <v>Completed</v>
      </c>
      <c r="AC32" s="18">
        <v>45988</v>
      </c>
      <c r="AD32" s="18">
        <v>45988</v>
      </c>
      <c r="AE32" s="18">
        <v>45994</v>
      </c>
      <c r="AF32" s="15"/>
      <c r="AG32" s="18">
        <v>45995</v>
      </c>
      <c r="AH32" s="15"/>
      <c r="AI32" s="18">
        <v>45996</v>
      </c>
      <c r="AJ32" s="21" t="str">
        <f>HYPERLINK(_xlfn.CONCAT(A32,B32,".pdf"),"link")</f>
        <v>link</v>
      </c>
      <c r="AK32" s="22"/>
      <c r="AL32" s="22"/>
    </row>
    <row r="33" spans="1:38" ht="18" customHeight="1">
      <c r="A33" s="13" t="s">
        <v>35</v>
      </c>
      <c r="B33" s="13" t="s">
        <v>209</v>
      </c>
      <c r="C33" s="14" t="s">
        <v>179</v>
      </c>
      <c r="D33" s="15" t="s">
        <v>38</v>
      </c>
      <c r="E33" s="16" t="s">
        <v>76</v>
      </c>
      <c r="F33" s="17">
        <v>137527</v>
      </c>
      <c r="G33" s="16">
        <v>0</v>
      </c>
      <c r="H33" s="18">
        <v>45566</v>
      </c>
      <c r="I33" s="13" t="s">
        <v>210</v>
      </c>
      <c r="J33" s="29">
        <v>43922</v>
      </c>
      <c r="K33" s="29">
        <v>47027</v>
      </c>
      <c r="L33" s="23" t="s">
        <v>54</v>
      </c>
      <c r="M33" s="19" t="s">
        <v>211</v>
      </c>
      <c r="N33" s="13" t="s">
        <v>94</v>
      </c>
      <c r="O33" s="13" t="s">
        <v>45</v>
      </c>
      <c r="P33" s="13" t="s">
        <v>46</v>
      </c>
      <c r="Q33" s="30">
        <v>1018471</v>
      </c>
      <c r="R33" s="16" t="s">
        <v>38</v>
      </c>
      <c r="S33" s="16" t="s">
        <v>38</v>
      </c>
      <c r="T33" s="13" t="s">
        <v>212</v>
      </c>
      <c r="U33" s="31" t="s">
        <v>213</v>
      </c>
      <c r="V33" s="20" t="s">
        <v>38</v>
      </c>
      <c r="W33" s="13"/>
      <c r="X33" s="13" t="s">
        <v>214</v>
      </c>
      <c r="Y33" s="20" t="s">
        <v>215</v>
      </c>
      <c r="Z33" s="13"/>
      <c r="AA33" s="13" t="s">
        <v>216</v>
      </c>
      <c r="AB33" s="16" t="str">
        <f t="shared" si="0"/>
        <v>Completed</v>
      </c>
      <c r="AC33" s="18">
        <v>45988</v>
      </c>
      <c r="AD33" s="18">
        <v>45988</v>
      </c>
      <c r="AE33" s="18">
        <v>45994</v>
      </c>
      <c r="AF33" s="15"/>
      <c r="AG33" s="18">
        <v>45995</v>
      </c>
      <c r="AH33" s="15"/>
      <c r="AI33" s="18">
        <v>45996</v>
      </c>
      <c r="AJ33" s="21"/>
      <c r="AK33" s="22"/>
      <c r="AL33" s="22"/>
    </row>
    <row r="34" spans="1:38" ht="18" customHeight="1">
      <c r="A34" s="13" t="s">
        <v>35</v>
      </c>
      <c r="B34" s="13" t="s">
        <v>217</v>
      </c>
      <c r="C34" s="14" t="s">
        <v>179</v>
      </c>
      <c r="D34" s="15" t="s">
        <v>38</v>
      </c>
      <c r="E34" s="16" t="s">
        <v>76</v>
      </c>
      <c r="F34" s="16" t="s">
        <v>76</v>
      </c>
      <c r="G34" s="16">
        <v>7</v>
      </c>
      <c r="H34" s="18">
        <v>45748</v>
      </c>
      <c r="I34" s="13" t="s">
        <v>218</v>
      </c>
      <c r="J34" s="18">
        <v>43922</v>
      </c>
      <c r="K34" s="18">
        <v>47573</v>
      </c>
      <c r="L34" s="19" t="s">
        <v>63</v>
      </c>
      <c r="M34" s="23" t="s">
        <v>103</v>
      </c>
      <c r="N34" s="13" t="s">
        <v>219</v>
      </c>
      <c r="O34" s="13" t="s">
        <v>45</v>
      </c>
      <c r="P34" s="13" t="s">
        <v>46</v>
      </c>
      <c r="Q34" s="30">
        <v>1018471</v>
      </c>
      <c r="R34" s="16" t="s">
        <v>38</v>
      </c>
      <c r="S34" s="16" t="s">
        <v>38</v>
      </c>
      <c r="T34" s="13" t="s">
        <v>220</v>
      </c>
      <c r="U34" s="20" t="s">
        <v>38</v>
      </c>
      <c r="V34" s="20" t="s">
        <v>38</v>
      </c>
      <c r="W34" s="13"/>
      <c r="X34" s="20" t="s">
        <v>105</v>
      </c>
      <c r="Y34" s="13" t="s">
        <v>82</v>
      </c>
      <c r="Z34" s="13"/>
      <c r="AA34" s="13" t="s">
        <v>221</v>
      </c>
      <c r="AB34" s="16" t="str">
        <f t="shared" si="0"/>
        <v>Completed</v>
      </c>
      <c r="AC34" s="18">
        <v>45988</v>
      </c>
      <c r="AD34" s="18">
        <v>45988</v>
      </c>
      <c r="AE34" s="18">
        <v>45994</v>
      </c>
      <c r="AF34" s="15"/>
      <c r="AG34" s="18">
        <v>45995</v>
      </c>
      <c r="AH34" s="15"/>
      <c r="AI34" s="18">
        <v>45996</v>
      </c>
      <c r="AJ34" s="21"/>
      <c r="AK34" s="22"/>
      <c r="AL34" s="22"/>
    </row>
    <row r="35" spans="1:38" ht="18" customHeight="1">
      <c r="A35" s="13" t="s">
        <v>35</v>
      </c>
      <c r="B35" s="13" t="s">
        <v>222</v>
      </c>
      <c r="C35" s="14" t="s">
        <v>179</v>
      </c>
      <c r="D35" s="15">
        <v>198087</v>
      </c>
      <c r="E35" s="16" t="s">
        <v>76</v>
      </c>
      <c r="F35" s="17">
        <v>630028</v>
      </c>
      <c r="G35" s="16">
        <v>7</v>
      </c>
      <c r="H35" s="18">
        <v>45631</v>
      </c>
      <c r="I35" s="13" t="s">
        <v>116</v>
      </c>
      <c r="J35" s="18">
        <v>44845</v>
      </c>
      <c r="K35" s="18">
        <v>45940</v>
      </c>
      <c r="L35" s="19" t="s">
        <v>95</v>
      </c>
      <c r="M35" s="19" t="s">
        <v>108</v>
      </c>
      <c r="N35" s="13" t="s">
        <v>117</v>
      </c>
      <c r="O35" s="13" t="s">
        <v>45</v>
      </c>
      <c r="P35" s="13" t="s">
        <v>46</v>
      </c>
      <c r="Q35" s="16">
        <v>1018471</v>
      </c>
      <c r="R35" s="16" t="s">
        <v>38</v>
      </c>
      <c r="S35" s="16" t="s">
        <v>38</v>
      </c>
      <c r="T35" s="13" t="s">
        <v>223</v>
      </c>
      <c r="U35" s="26" t="s">
        <v>110</v>
      </c>
      <c r="V35" s="20" t="s">
        <v>111</v>
      </c>
      <c r="W35" s="13"/>
      <c r="X35" s="20" t="s">
        <v>112</v>
      </c>
      <c r="Y35" s="13" t="s">
        <v>196</v>
      </c>
      <c r="Z35" s="13" t="s">
        <v>127</v>
      </c>
      <c r="AA35" s="13"/>
      <c r="AB35" s="16" t="str">
        <f t="shared" si="0"/>
        <v>Completed</v>
      </c>
      <c r="AC35" s="18">
        <v>45988</v>
      </c>
      <c r="AD35" s="18">
        <v>45988</v>
      </c>
      <c r="AE35" s="18">
        <v>45994</v>
      </c>
      <c r="AF35" s="15"/>
      <c r="AG35" s="18">
        <v>45995</v>
      </c>
      <c r="AH35" s="15"/>
      <c r="AI35" s="18">
        <v>45996</v>
      </c>
      <c r="AJ35" s="21"/>
      <c r="AK35" s="22"/>
      <c r="AL35" s="22"/>
    </row>
    <row r="36" spans="1:38" ht="18" customHeight="1">
      <c r="A36" s="13" t="s">
        <v>35</v>
      </c>
      <c r="B36" s="13" t="s">
        <v>224</v>
      </c>
      <c r="C36" s="14" t="s">
        <v>179</v>
      </c>
      <c r="D36" s="15">
        <v>198316</v>
      </c>
      <c r="E36" s="16" t="s">
        <v>76</v>
      </c>
      <c r="F36" s="17">
        <v>218281</v>
      </c>
      <c r="G36" s="16">
        <v>0</v>
      </c>
      <c r="H36" s="18">
        <v>45664</v>
      </c>
      <c r="I36" s="13" t="s">
        <v>94</v>
      </c>
      <c r="J36" s="18">
        <v>43922</v>
      </c>
      <c r="K36" s="18">
        <v>45747</v>
      </c>
      <c r="L36" s="23" t="s">
        <v>54</v>
      </c>
      <c r="M36" s="19" t="s">
        <v>225</v>
      </c>
      <c r="N36" s="13" t="s">
        <v>94</v>
      </c>
      <c r="O36" s="13" t="s">
        <v>45</v>
      </c>
      <c r="P36" s="13" t="s">
        <v>46</v>
      </c>
      <c r="Q36" s="30">
        <v>1018471</v>
      </c>
      <c r="R36" s="16" t="s">
        <v>38</v>
      </c>
      <c r="S36" s="16" t="s">
        <v>38</v>
      </c>
      <c r="T36" s="13" t="s">
        <v>226</v>
      </c>
      <c r="U36" s="20" t="s">
        <v>227</v>
      </c>
      <c r="V36" s="20" t="s">
        <v>228</v>
      </c>
      <c r="W36" s="13"/>
      <c r="X36" s="20" t="s">
        <v>229</v>
      </c>
      <c r="Y36" s="20" t="s">
        <v>230</v>
      </c>
      <c r="Z36" s="13" t="s">
        <v>231</v>
      </c>
      <c r="AA36" s="28" t="s">
        <v>232</v>
      </c>
      <c r="AB36" s="16" t="str">
        <f t="shared" si="0"/>
        <v>Completed</v>
      </c>
      <c r="AC36" s="18">
        <v>45988</v>
      </c>
      <c r="AD36" s="18">
        <v>45988</v>
      </c>
      <c r="AE36" s="18">
        <v>45994</v>
      </c>
      <c r="AF36" s="15"/>
      <c r="AG36" s="18">
        <v>45995</v>
      </c>
      <c r="AH36" s="15"/>
      <c r="AI36" s="18">
        <v>46000</v>
      </c>
      <c r="AJ36" s="21"/>
      <c r="AK36" s="22"/>
      <c r="AL36" s="22"/>
    </row>
    <row r="37" spans="1:38" ht="18" customHeight="1">
      <c r="A37" s="13" t="s">
        <v>35</v>
      </c>
      <c r="B37" s="13" t="s">
        <v>233</v>
      </c>
      <c r="C37" s="14" t="s">
        <v>179</v>
      </c>
      <c r="D37" s="15">
        <v>204999</v>
      </c>
      <c r="E37" s="16" t="s">
        <v>76</v>
      </c>
      <c r="F37" s="17" t="s">
        <v>38</v>
      </c>
      <c r="G37" s="16">
        <v>0</v>
      </c>
      <c r="H37" s="18">
        <v>45692</v>
      </c>
      <c r="I37" s="13" t="s">
        <v>94</v>
      </c>
      <c r="J37" s="18">
        <v>45692</v>
      </c>
      <c r="K37" s="18">
        <v>46446</v>
      </c>
      <c r="L37" s="23" t="s">
        <v>54</v>
      </c>
      <c r="M37" s="23" t="s">
        <v>234</v>
      </c>
      <c r="N37" s="13" t="s">
        <v>94</v>
      </c>
      <c r="O37" s="13" t="s">
        <v>45</v>
      </c>
      <c r="P37" s="13" t="s">
        <v>46</v>
      </c>
      <c r="Q37" s="30">
        <v>1018471</v>
      </c>
      <c r="R37" s="28" t="s">
        <v>235</v>
      </c>
      <c r="S37" s="16" t="s">
        <v>38</v>
      </c>
      <c r="T37" s="13" t="s">
        <v>236</v>
      </c>
      <c r="U37" s="20" t="s">
        <v>237</v>
      </c>
      <c r="V37" s="20" t="s">
        <v>238</v>
      </c>
      <c r="W37" s="13"/>
      <c r="X37" s="20" t="s">
        <v>239</v>
      </c>
      <c r="Y37" s="13" t="s">
        <v>38</v>
      </c>
      <c r="Z37" s="13"/>
      <c r="AA37" s="13"/>
      <c r="AB37" s="16" t="str">
        <f t="shared" si="0"/>
        <v>Completed</v>
      </c>
      <c r="AC37" s="18">
        <v>45988</v>
      </c>
      <c r="AD37" s="18">
        <v>45988</v>
      </c>
      <c r="AE37" s="18">
        <v>45994</v>
      </c>
      <c r="AF37" s="15"/>
      <c r="AG37" s="18">
        <v>45995</v>
      </c>
      <c r="AH37" s="15"/>
      <c r="AI37" s="18">
        <v>46000</v>
      </c>
      <c r="AJ37" s="21"/>
      <c r="AK37" s="22"/>
      <c r="AL37" s="22"/>
    </row>
    <row r="38" spans="1:38" ht="18" customHeight="1">
      <c r="A38" s="13" t="s">
        <v>35</v>
      </c>
      <c r="B38" s="13" t="s">
        <v>240</v>
      </c>
      <c r="C38" s="14" t="s">
        <v>179</v>
      </c>
      <c r="D38" s="15">
        <v>209411</v>
      </c>
      <c r="E38" s="15" t="s">
        <v>76</v>
      </c>
      <c r="F38" s="17">
        <v>643060</v>
      </c>
      <c r="G38" s="16">
        <v>2</v>
      </c>
      <c r="H38" s="18">
        <v>45695</v>
      </c>
      <c r="I38" s="13" t="s">
        <v>116</v>
      </c>
      <c r="J38" s="18">
        <v>45231</v>
      </c>
      <c r="K38" s="18">
        <v>46326</v>
      </c>
      <c r="L38" s="19" t="s">
        <v>95</v>
      </c>
      <c r="M38" s="23" t="s">
        <v>241</v>
      </c>
      <c r="N38" s="13" t="s">
        <v>117</v>
      </c>
      <c r="O38" s="13" t="s">
        <v>45</v>
      </c>
      <c r="P38" s="13" t="s">
        <v>46</v>
      </c>
      <c r="Q38" s="30">
        <v>1018471</v>
      </c>
      <c r="R38" s="16" t="s">
        <v>38</v>
      </c>
      <c r="S38" s="16" t="s">
        <v>38</v>
      </c>
      <c r="T38" s="13" t="s">
        <v>242</v>
      </c>
      <c r="U38" s="13" t="s">
        <v>38</v>
      </c>
      <c r="V38" s="20" t="s">
        <v>243</v>
      </c>
      <c r="W38" s="13"/>
      <c r="X38" s="20" t="s">
        <v>138</v>
      </c>
      <c r="Y38" s="13" t="s">
        <v>38</v>
      </c>
      <c r="Z38" s="13" t="s">
        <v>201</v>
      </c>
      <c r="AA38" s="13"/>
      <c r="AB38" s="16" t="str">
        <f t="shared" si="0"/>
        <v>Completed</v>
      </c>
      <c r="AC38" s="18">
        <v>45988</v>
      </c>
      <c r="AD38" s="18">
        <v>45989</v>
      </c>
      <c r="AE38" s="18">
        <v>45994</v>
      </c>
      <c r="AF38" s="15"/>
      <c r="AG38" s="18">
        <v>45995</v>
      </c>
      <c r="AH38" s="15"/>
      <c r="AI38" s="18">
        <v>45996</v>
      </c>
      <c r="AJ38" s="21"/>
      <c r="AK38" s="22"/>
      <c r="AL38" s="22"/>
    </row>
    <row r="39" spans="1:38" ht="18" customHeight="1">
      <c r="A39" s="13" t="s">
        <v>35</v>
      </c>
      <c r="B39" s="13" t="s">
        <v>244</v>
      </c>
      <c r="C39" s="14" t="s">
        <v>179</v>
      </c>
      <c r="D39" s="15" t="s">
        <v>38</v>
      </c>
      <c r="E39" s="16" t="s">
        <v>52</v>
      </c>
      <c r="F39" s="17" t="s">
        <v>52</v>
      </c>
      <c r="G39" s="16">
        <v>2</v>
      </c>
      <c r="H39" s="18">
        <v>45688</v>
      </c>
      <c r="I39" s="13" t="s">
        <v>59</v>
      </c>
      <c r="J39" s="18">
        <v>45748</v>
      </c>
      <c r="K39" s="18">
        <v>46843</v>
      </c>
      <c r="L39" s="23" t="s">
        <v>54</v>
      </c>
      <c r="M39" s="19" t="s">
        <v>55</v>
      </c>
      <c r="N39" s="13" t="s">
        <v>245</v>
      </c>
      <c r="O39" s="13" t="s">
        <v>45</v>
      </c>
      <c r="P39" s="13" t="s">
        <v>46</v>
      </c>
      <c r="Q39" s="30">
        <v>401563</v>
      </c>
      <c r="R39" s="16" t="s">
        <v>38</v>
      </c>
      <c r="S39" s="16" t="s">
        <v>38</v>
      </c>
      <c r="T39" s="13" t="s">
        <v>246</v>
      </c>
      <c r="U39" s="13" t="s">
        <v>247</v>
      </c>
      <c r="V39" s="20" t="s">
        <v>38</v>
      </c>
      <c r="W39" s="13"/>
      <c r="X39" s="20" t="s">
        <v>57</v>
      </c>
      <c r="Y39" s="13" t="s">
        <v>38</v>
      </c>
      <c r="Z39" s="13"/>
      <c r="AA39" s="13" t="s">
        <v>248</v>
      </c>
      <c r="AB39" s="16" t="str">
        <f t="shared" si="0"/>
        <v>Completed</v>
      </c>
      <c r="AC39" s="18">
        <v>45988</v>
      </c>
      <c r="AD39" s="18">
        <v>45989</v>
      </c>
      <c r="AE39" s="18">
        <v>45994</v>
      </c>
      <c r="AF39" s="15"/>
      <c r="AG39" s="18">
        <v>45995</v>
      </c>
      <c r="AH39" s="15"/>
      <c r="AI39" s="18">
        <v>46000</v>
      </c>
      <c r="AJ39" s="21"/>
      <c r="AK39" s="22"/>
      <c r="AL39" s="22"/>
    </row>
    <row r="40" spans="1:38" ht="18" customHeight="1">
      <c r="A40" s="13" t="s">
        <v>35</v>
      </c>
      <c r="B40" s="13" t="s">
        <v>249</v>
      </c>
      <c r="C40" s="14" t="s">
        <v>179</v>
      </c>
      <c r="D40" s="15">
        <v>219871</v>
      </c>
      <c r="E40" s="17" t="s">
        <v>76</v>
      </c>
      <c r="F40" s="17">
        <v>630028</v>
      </c>
      <c r="G40" s="16">
        <v>8</v>
      </c>
      <c r="H40" s="18">
        <v>45778</v>
      </c>
      <c r="I40" s="13" t="s">
        <v>250</v>
      </c>
      <c r="J40" s="18">
        <v>44845</v>
      </c>
      <c r="K40" s="18">
        <v>45940</v>
      </c>
      <c r="L40" s="19" t="s">
        <v>95</v>
      </c>
      <c r="M40" s="23" t="s">
        <v>108</v>
      </c>
      <c r="N40" s="13" t="s">
        <v>251</v>
      </c>
      <c r="O40" s="13" t="s">
        <v>45</v>
      </c>
      <c r="P40" s="13" t="s">
        <v>46</v>
      </c>
      <c r="Q40" s="16">
        <v>1018471</v>
      </c>
      <c r="R40" s="16" t="s">
        <v>38</v>
      </c>
      <c r="S40" s="16" t="s">
        <v>38</v>
      </c>
      <c r="T40" s="13" t="s">
        <v>252</v>
      </c>
      <c r="U40" s="26" t="s">
        <v>110</v>
      </c>
      <c r="V40" s="20" t="s">
        <v>111</v>
      </c>
      <c r="W40" s="13"/>
      <c r="X40" s="20" t="s">
        <v>112</v>
      </c>
      <c r="Y40" s="13" t="s">
        <v>196</v>
      </c>
      <c r="Z40" s="13" t="s">
        <v>127</v>
      </c>
      <c r="AA40" s="13" t="s">
        <v>197</v>
      </c>
      <c r="AB40" s="16" t="str">
        <f t="shared" si="0"/>
        <v>Completed</v>
      </c>
      <c r="AC40" s="18">
        <v>45988</v>
      </c>
      <c r="AD40" s="18">
        <v>45989</v>
      </c>
      <c r="AE40" s="18">
        <v>45994</v>
      </c>
      <c r="AF40" s="15"/>
      <c r="AG40" s="18">
        <v>45995</v>
      </c>
      <c r="AH40" s="15"/>
      <c r="AI40" s="18">
        <v>45996</v>
      </c>
      <c r="AJ40" s="21"/>
      <c r="AK40" s="22"/>
      <c r="AL40" s="22"/>
    </row>
    <row r="41" spans="1:38" ht="18" customHeight="1">
      <c r="A41" s="13" t="s">
        <v>35</v>
      </c>
      <c r="B41" s="13" t="s">
        <v>253</v>
      </c>
      <c r="C41" s="14" t="s">
        <v>179</v>
      </c>
      <c r="D41" s="15">
        <v>204026</v>
      </c>
      <c r="E41" s="17" t="s">
        <v>76</v>
      </c>
      <c r="F41" s="17">
        <v>630028</v>
      </c>
      <c r="G41" s="16">
        <v>9</v>
      </c>
      <c r="H41" s="18">
        <v>45796</v>
      </c>
      <c r="I41" s="13" t="s">
        <v>254</v>
      </c>
      <c r="J41" s="18">
        <v>44845</v>
      </c>
      <c r="K41" s="18">
        <v>45940</v>
      </c>
      <c r="L41" s="19" t="s">
        <v>95</v>
      </c>
      <c r="M41" s="19" t="s">
        <v>108</v>
      </c>
      <c r="N41" s="13" t="s">
        <v>117</v>
      </c>
      <c r="O41" s="13" t="s">
        <v>45</v>
      </c>
      <c r="P41" s="13" t="s">
        <v>46</v>
      </c>
      <c r="Q41" s="16">
        <v>1018471</v>
      </c>
      <c r="R41" s="16" t="s">
        <v>38</v>
      </c>
      <c r="S41" s="16" t="s">
        <v>38</v>
      </c>
      <c r="T41" s="13" t="s">
        <v>255</v>
      </c>
      <c r="U41" s="26" t="s">
        <v>110</v>
      </c>
      <c r="V41" s="20" t="s">
        <v>111</v>
      </c>
      <c r="W41" s="13"/>
      <c r="X41" s="20" t="s">
        <v>112</v>
      </c>
      <c r="Y41" s="13" t="s">
        <v>196</v>
      </c>
      <c r="Z41" s="13" t="s">
        <v>127</v>
      </c>
      <c r="AA41" s="13" t="s">
        <v>197</v>
      </c>
      <c r="AB41" s="16" t="str">
        <f t="shared" si="0"/>
        <v>Completed</v>
      </c>
      <c r="AC41" s="18">
        <v>45988</v>
      </c>
      <c r="AD41" s="18">
        <v>45989</v>
      </c>
      <c r="AE41" s="18">
        <v>45994</v>
      </c>
      <c r="AF41" s="15"/>
      <c r="AG41" s="18">
        <v>45995</v>
      </c>
      <c r="AH41" s="15"/>
      <c r="AI41" s="18">
        <v>45996</v>
      </c>
      <c r="AJ41" s="21"/>
      <c r="AK41" s="22"/>
      <c r="AL41" s="22"/>
    </row>
    <row r="42" spans="1:38" ht="18" customHeight="1">
      <c r="A42" s="13" t="s">
        <v>35</v>
      </c>
      <c r="B42" s="13" t="s">
        <v>256</v>
      </c>
      <c r="C42" s="14" t="s">
        <v>179</v>
      </c>
      <c r="D42" s="15">
        <v>214546</v>
      </c>
      <c r="E42" s="17" t="s">
        <v>76</v>
      </c>
      <c r="F42" s="17">
        <v>630028</v>
      </c>
      <c r="G42" s="16">
        <v>10</v>
      </c>
      <c r="H42" s="18">
        <v>45797</v>
      </c>
      <c r="I42" s="13" t="s">
        <v>254</v>
      </c>
      <c r="J42" s="18">
        <v>44845</v>
      </c>
      <c r="K42" s="18">
        <v>45940</v>
      </c>
      <c r="L42" s="19" t="s">
        <v>95</v>
      </c>
      <c r="M42" s="19" t="s">
        <v>108</v>
      </c>
      <c r="N42" s="13" t="s">
        <v>117</v>
      </c>
      <c r="O42" s="13" t="s">
        <v>45</v>
      </c>
      <c r="P42" s="13" t="s">
        <v>46</v>
      </c>
      <c r="Q42" s="16">
        <v>1018471</v>
      </c>
      <c r="R42" s="16" t="s">
        <v>38</v>
      </c>
      <c r="S42" s="16" t="s">
        <v>38</v>
      </c>
      <c r="T42" s="13" t="s">
        <v>257</v>
      </c>
      <c r="U42" s="26" t="s">
        <v>110</v>
      </c>
      <c r="V42" s="20" t="s">
        <v>111</v>
      </c>
      <c r="W42" s="13"/>
      <c r="X42" s="20" t="s">
        <v>112</v>
      </c>
      <c r="Y42" s="13" t="s">
        <v>196</v>
      </c>
      <c r="Z42" s="13" t="s">
        <v>127</v>
      </c>
      <c r="AA42" s="13" t="s">
        <v>197</v>
      </c>
      <c r="AB42" s="16" t="str">
        <f t="shared" si="0"/>
        <v>Completed</v>
      </c>
      <c r="AC42" s="18">
        <v>45988</v>
      </c>
      <c r="AD42" s="18">
        <v>45989</v>
      </c>
      <c r="AE42" s="18">
        <v>45994</v>
      </c>
      <c r="AF42" s="15"/>
      <c r="AG42" s="18">
        <v>45995</v>
      </c>
      <c r="AH42" s="15"/>
      <c r="AI42" s="18">
        <v>45996</v>
      </c>
      <c r="AJ42" s="21"/>
      <c r="AK42" s="22"/>
      <c r="AL42" s="22"/>
    </row>
    <row r="43" spans="1:38" ht="18" customHeight="1">
      <c r="A43" s="13" t="s">
        <v>35</v>
      </c>
      <c r="B43" s="13" t="s">
        <v>258</v>
      </c>
      <c r="C43" s="14" t="s">
        <v>179</v>
      </c>
      <c r="D43" s="15">
        <v>235818</v>
      </c>
      <c r="E43" s="17" t="s">
        <v>76</v>
      </c>
      <c r="F43" s="17">
        <v>630028</v>
      </c>
      <c r="G43" s="16">
        <v>11</v>
      </c>
      <c r="H43" s="18">
        <v>45940</v>
      </c>
      <c r="I43" s="13" t="s">
        <v>254</v>
      </c>
      <c r="J43" s="18">
        <v>44845</v>
      </c>
      <c r="K43" s="18">
        <v>45971</v>
      </c>
      <c r="L43" s="19" t="s">
        <v>95</v>
      </c>
      <c r="M43" s="19" t="s">
        <v>108</v>
      </c>
      <c r="N43" s="13" t="s">
        <v>117</v>
      </c>
      <c r="O43" s="13" t="s">
        <v>45</v>
      </c>
      <c r="P43" s="13" t="s">
        <v>46</v>
      </c>
      <c r="Q43" s="16">
        <v>1018471</v>
      </c>
      <c r="R43" s="16" t="s">
        <v>38</v>
      </c>
      <c r="S43" s="16" t="s">
        <v>38</v>
      </c>
      <c r="T43" s="13" t="s">
        <v>259</v>
      </c>
      <c r="U43" s="26" t="s">
        <v>110</v>
      </c>
      <c r="V43" s="20" t="s">
        <v>111</v>
      </c>
      <c r="W43" s="13"/>
      <c r="X43" s="20" t="s">
        <v>112</v>
      </c>
      <c r="Y43" s="13" t="s">
        <v>196</v>
      </c>
      <c r="Z43" s="13" t="s">
        <v>127</v>
      </c>
      <c r="AA43" s="13"/>
      <c r="AB43" s="16" t="str">
        <f t="shared" si="0"/>
        <v>Completed</v>
      </c>
      <c r="AC43" s="18">
        <v>45988</v>
      </c>
      <c r="AD43" s="18">
        <v>45989</v>
      </c>
      <c r="AE43" s="18">
        <v>45994</v>
      </c>
      <c r="AF43" s="15"/>
      <c r="AG43" s="18">
        <v>45995</v>
      </c>
      <c r="AH43" s="15"/>
      <c r="AI43" s="18">
        <v>46000</v>
      </c>
      <c r="AJ43" s="21"/>
      <c r="AK43" s="22"/>
      <c r="AL43" s="22"/>
    </row>
    <row r="44" spans="1:38" ht="18" customHeight="1">
      <c r="A44" s="13" t="s">
        <v>35</v>
      </c>
      <c r="B44" s="13" t="s">
        <v>260</v>
      </c>
      <c r="C44" s="14" t="s">
        <v>179</v>
      </c>
      <c r="D44" s="15">
        <v>216309</v>
      </c>
      <c r="E44" s="16" t="s">
        <v>76</v>
      </c>
      <c r="F44" s="17">
        <v>210569</v>
      </c>
      <c r="G44" s="16">
        <v>1</v>
      </c>
      <c r="H44" s="18">
        <v>45938</v>
      </c>
      <c r="I44" s="13" t="s">
        <v>261</v>
      </c>
      <c r="J44" s="18">
        <v>45523</v>
      </c>
      <c r="K44" s="18">
        <v>46253</v>
      </c>
      <c r="L44" s="19" t="s">
        <v>95</v>
      </c>
      <c r="M44" s="19" t="s">
        <v>262</v>
      </c>
      <c r="N44" s="32" t="s">
        <v>117</v>
      </c>
      <c r="O44" s="13" t="s">
        <v>45</v>
      </c>
      <c r="P44" s="13" t="s">
        <v>46</v>
      </c>
      <c r="Q44" s="33">
        <v>1018471</v>
      </c>
      <c r="R44" s="16" t="s">
        <v>38</v>
      </c>
      <c r="S44" s="16" t="s">
        <v>38</v>
      </c>
      <c r="T44" s="13" t="s">
        <v>263</v>
      </c>
      <c r="U44" s="13" t="s">
        <v>188</v>
      </c>
      <c r="V44" s="20" t="s">
        <v>264</v>
      </c>
      <c r="W44" s="13"/>
      <c r="X44" s="13" t="s">
        <v>190</v>
      </c>
      <c r="Y44" s="20" t="s">
        <v>191</v>
      </c>
      <c r="Z44" s="13"/>
      <c r="AA44" s="13" t="s">
        <v>265</v>
      </c>
      <c r="AB44" s="16" t="str">
        <f t="shared" si="0"/>
        <v>Completed</v>
      </c>
      <c r="AC44" s="18">
        <v>45988</v>
      </c>
      <c r="AD44" s="18">
        <v>45989</v>
      </c>
      <c r="AE44" s="18">
        <v>45994</v>
      </c>
      <c r="AF44" s="15"/>
      <c r="AG44" s="18">
        <v>46000</v>
      </c>
      <c r="AH44" s="15"/>
      <c r="AI44" s="18">
        <v>46000</v>
      </c>
      <c r="AJ44" s="21"/>
      <c r="AK44" s="22"/>
      <c r="AL44" s="22"/>
    </row>
    <row r="45" spans="1:38" ht="18" customHeight="1">
      <c r="A45" s="13" t="s">
        <v>35</v>
      </c>
      <c r="B45" s="13" t="s">
        <v>266</v>
      </c>
      <c r="C45" s="14" t="s">
        <v>179</v>
      </c>
      <c r="D45" s="15" t="s">
        <v>267</v>
      </c>
      <c r="E45" s="16" t="s">
        <v>76</v>
      </c>
      <c r="F45" s="17">
        <v>241633</v>
      </c>
      <c r="G45" s="16">
        <v>0</v>
      </c>
      <c r="H45" s="18">
        <v>45972</v>
      </c>
      <c r="I45" s="13" t="s">
        <v>94</v>
      </c>
      <c r="J45" s="18">
        <v>45972</v>
      </c>
      <c r="K45" s="18">
        <v>46701</v>
      </c>
      <c r="L45" s="19" t="s">
        <v>95</v>
      </c>
      <c r="M45" s="19" t="s">
        <v>268</v>
      </c>
      <c r="N45" s="13" t="s">
        <v>94</v>
      </c>
      <c r="O45" s="13" t="s">
        <v>45</v>
      </c>
      <c r="P45" s="13" t="s">
        <v>46</v>
      </c>
      <c r="Q45" s="30">
        <v>1018471</v>
      </c>
      <c r="R45" s="28" t="s">
        <v>269</v>
      </c>
      <c r="S45" s="16" t="s">
        <v>38</v>
      </c>
      <c r="T45" s="13" t="s">
        <v>270</v>
      </c>
      <c r="U45" s="20" t="s">
        <v>271</v>
      </c>
      <c r="V45" s="20" t="s">
        <v>272</v>
      </c>
      <c r="W45" s="13"/>
      <c r="X45" s="20" t="s">
        <v>273</v>
      </c>
      <c r="Y45" s="20" t="s">
        <v>274</v>
      </c>
      <c r="Z45" s="13" t="s">
        <v>275</v>
      </c>
      <c r="AA45" s="13" t="s">
        <v>276</v>
      </c>
      <c r="AB45" s="16" t="str">
        <f t="shared" si="0"/>
        <v>Completed</v>
      </c>
      <c r="AC45" s="18">
        <v>45988</v>
      </c>
      <c r="AD45" s="18">
        <v>45989</v>
      </c>
      <c r="AE45" s="18">
        <v>45993</v>
      </c>
      <c r="AF45" s="15"/>
      <c r="AG45" s="18">
        <v>46000</v>
      </c>
      <c r="AH45" s="15"/>
      <c r="AI45" s="18">
        <v>46000</v>
      </c>
      <c r="AJ45" s="21"/>
      <c r="AK45" s="22"/>
      <c r="AL45" s="22"/>
    </row>
    <row r="46" spans="1:38" ht="18" customHeight="1">
      <c r="A46" s="13" t="s">
        <v>35</v>
      </c>
      <c r="B46" s="13" t="s">
        <v>277</v>
      </c>
      <c r="C46" s="14" t="s">
        <v>179</v>
      </c>
      <c r="D46" s="15" t="s">
        <v>278</v>
      </c>
      <c r="E46" s="16" t="s">
        <v>38</v>
      </c>
      <c r="F46" s="17" t="s">
        <v>38</v>
      </c>
      <c r="G46" s="16">
        <v>0</v>
      </c>
      <c r="H46" s="18">
        <v>44652</v>
      </c>
      <c r="I46" s="13" t="s">
        <v>279</v>
      </c>
      <c r="J46" s="18">
        <v>44652</v>
      </c>
      <c r="K46" s="18">
        <v>46477</v>
      </c>
      <c r="L46" s="34" t="s">
        <v>63</v>
      </c>
      <c r="M46" s="19" t="s">
        <v>38</v>
      </c>
      <c r="N46" s="13" t="s">
        <v>280</v>
      </c>
      <c r="O46" s="13" t="s">
        <v>45</v>
      </c>
      <c r="P46" s="13" t="s">
        <v>46</v>
      </c>
      <c r="Q46" s="30">
        <v>1018471</v>
      </c>
      <c r="R46" s="28" t="s">
        <v>281</v>
      </c>
      <c r="S46" s="16" t="s">
        <v>38</v>
      </c>
      <c r="T46" s="13" t="s">
        <v>282</v>
      </c>
      <c r="U46" s="20" t="s">
        <v>283</v>
      </c>
      <c r="V46" s="20" t="s">
        <v>284</v>
      </c>
      <c r="W46" s="13"/>
      <c r="X46" s="13" t="s">
        <v>38</v>
      </c>
      <c r="Y46" s="13" t="s">
        <v>285</v>
      </c>
      <c r="Z46" s="13"/>
      <c r="AA46" s="13"/>
      <c r="AB46" s="16" t="str">
        <f t="shared" si="0"/>
        <v>Completed</v>
      </c>
      <c r="AC46" s="18">
        <v>45988</v>
      </c>
      <c r="AD46" s="18">
        <v>45989</v>
      </c>
      <c r="AE46" s="18">
        <v>45993</v>
      </c>
      <c r="AF46" s="15"/>
      <c r="AG46" s="18">
        <v>46000</v>
      </c>
      <c r="AH46" s="15"/>
      <c r="AI46" s="18">
        <v>46000</v>
      </c>
      <c r="AJ46" s="21"/>
      <c r="AK46" s="22"/>
      <c r="AL46" s="22"/>
    </row>
    <row r="47" spans="1:38" ht="18" customHeight="1">
      <c r="A47" s="13" t="s">
        <v>35</v>
      </c>
      <c r="B47" s="13" t="s">
        <v>286</v>
      </c>
      <c r="C47" s="14" t="s">
        <v>179</v>
      </c>
      <c r="D47" s="15" t="s">
        <v>38</v>
      </c>
      <c r="E47" s="16" t="s">
        <v>38</v>
      </c>
      <c r="F47" s="17">
        <v>636291</v>
      </c>
      <c r="G47" s="16">
        <v>0</v>
      </c>
      <c r="H47" s="18">
        <v>45292</v>
      </c>
      <c r="I47" s="13" t="s">
        <v>287</v>
      </c>
      <c r="J47" s="18">
        <v>45292</v>
      </c>
      <c r="K47" s="18">
        <v>47118</v>
      </c>
      <c r="L47" s="23" t="s">
        <v>54</v>
      </c>
      <c r="M47" s="34" t="s">
        <v>288</v>
      </c>
      <c r="N47" s="13" t="s">
        <v>289</v>
      </c>
      <c r="O47" s="13" t="s">
        <v>45</v>
      </c>
      <c r="P47" s="13" t="s">
        <v>46</v>
      </c>
      <c r="Q47" s="30">
        <v>1018471</v>
      </c>
      <c r="R47" s="16" t="s">
        <v>38</v>
      </c>
      <c r="S47" s="16" t="s">
        <v>38</v>
      </c>
      <c r="T47" s="13" t="s">
        <v>290</v>
      </c>
      <c r="U47" s="20" t="s">
        <v>291</v>
      </c>
      <c r="V47" s="20" t="s">
        <v>292</v>
      </c>
      <c r="W47" s="13"/>
      <c r="X47" s="20" t="s">
        <v>293</v>
      </c>
      <c r="Y47" s="13" t="s">
        <v>38</v>
      </c>
      <c r="Z47" s="13"/>
      <c r="AA47" s="13"/>
      <c r="AB47" s="16" t="str">
        <f t="shared" si="0"/>
        <v>Completed</v>
      </c>
      <c r="AC47" s="18">
        <v>45988</v>
      </c>
      <c r="AD47" s="18">
        <v>45994</v>
      </c>
      <c r="AE47" s="18">
        <v>45994</v>
      </c>
      <c r="AF47" s="15"/>
      <c r="AG47" s="18">
        <v>46000</v>
      </c>
      <c r="AH47" s="15"/>
      <c r="AI47" s="18">
        <v>46000</v>
      </c>
      <c r="AJ47" s="21"/>
      <c r="AK47" s="22"/>
      <c r="AL47" s="22"/>
    </row>
    <row r="48" spans="1:38" ht="18" customHeight="1">
      <c r="A48" s="13" t="s">
        <v>35</v>
      </c>
      <c r="B48" s="13" t="s">
        <v>294</v>
      </c>
      <c r="C48" s="14" t="s">
        <v>179</v>
      </c>
      <c r="D48" s="15" t="s">
        <v>295</v>
      </c>
      <c r="E48" s="16" t="s">
        <v>38</v>
      </c>
      <c r="F48" s="17">
        <v>656729</v>
      </c>
      <c r="G48" s="16">
        <v>0</v>
      </c>
      <c r="H48" s="18">
        <v>45649</v>
      </c>
      <c r="I48" s="13" t="s">
        <v>287</v>
      </c>
      <c r="J48" s="18">
        <v>45649</v>
      </c>
      <c r="K48" s="18">
        <v>46743</v>
      </c>
      <c r="L48" s="19" t="s">
        <v>95</v>
      </c>
      <c r="M48" s="23" t="s">
        <v>268</v>
      </c>
      <c r="N48" s="13" t="s">
        <v>289</v>
      </c>
      <c r="O48" s="13" t="s">
        <v>45</v>
      </c>
      <c r="P48" s="13" t="s">
        <v>46</v>
      </c>
      <c r="Q48" s="30">
        <v>1018471</v>
      </c>
      <c r="R48" s="28" t="s">
        <v>296</v>
      </c>
      <c r="S48" s="16" t="s">
        <v>38</v>
      </c>
      <c r="T48" s="13" t="s">
        <v>297</v>
      </c>
      <c r="U48" s="20" t="s">
        <v>298</v>
      </c>
      <c r="V48" s="20" t="s">
        <v>299</v>
      </c>
      <c r="W48" s="13"/>
      <c r="X48" s="13" t="s">
        <v>300</v>
      </c>
      <c r="Y48" s="13" t="s">
        <v>301</v>
      </c>
      <c r="Z48" s="13"/>
      <c r="AA48" s="13"/>
      <c r="AB48" s="16" t="str">
        <f t="shared" si="0"/>
        <v>Completed</v>
      </c>
      <c r="AC48" s="18">
        <v>45988</v>
      </c>
      <c r="AD48" s="18">
        <v>45992</v>
      </c>
      <c r="AE48" s="18">
        <v>45994</v>
      </c>
      <c r="AF48" s="15"/>
      <c r="AG48" s="18">
        <v>46000</v>
      </c>
      <c r="AH48" s="15"/>
      <c r="AI48" s="18">
        <v>46001</v>
      </c>
      <c r="AJ48" s="21"/>
      <c r="AK48" s="22"/>
      <c r="AL48" s="22"/>
    </row>
    <row r="49" spans="1:38" ht="18" customHeight="1">
      <c r="A49" s="13" t="s">
        <v>35</v>
      </c>
      <c r="B49" s="13" t="s">
        <v>302</v>
      </c>
      <c r="C49" s="14" t="s">
        <v>179</v>
      </c>
      <c r="D49" s="15" t="s">
        <v>303</v>
      </c>
      <c r="E49" s="16" t="s">
        <v>38</v>
      </c>
      <c r="F49" s="17">
        <v>658958</v>
      </c>
      <c r="G49" s="16">
        <v>0</v>
      </c>
      <c r="H49" s="18">
        <v>45719</v>
      </c>
      <c r="I49" s="13" t="s">
        <v>304</v>
      </c>
      <c r="J49" s="18">
        <v>45719</v>
      </c>
      <c r="K49" s="18">
        <v>46083</v>
      </c>
      <c r="L49" s="19" t="s">
        <v>95</v>
      </c>
      <c r="M49" s="19" t="s">
        <v>305</v>
      </c>
      <c r="N49" s="13" t="s">
        <v>289</v>
      </c>
      <c r="O49" s="13" t="s">
        <v>45</v>
      </c>
      <c r="P49" s="13" t="s">
        <v>46</v>
      </c>
      <c r="Q49" s="30">
        <v>1018471</v>
      </c>
      <c r="R49" s="28" t="s">
        <v>306</v>
      </c>
      <c r="S49" s="28" t="s">
        <v>306</v>
      </c>
      <c r="T49" s="13" t="s">
        <v>307</v>
      </c>
      <c r="U49" s="20" t="s">
        <v>308</v>
      </c>
      <c r="V49" s="20" t="s">
        <v>309</v>
      </c>
      <c r="W49" s="13"/>
      <c r="X49" s="13" t="s">
        <v>38</v>
      </c>
      <c r="Y49" s="13" t="s">
        <v>38</v>
      </c>
      <c r="Z49" s="13"/>
      <c r="AA49" s="13"/>
      <c r="AB49" s="16" t="str">
        <f t="shared" si="0"/>
        <v>Completed</v>
      </c>
      <c r="AC49" s="18">
        <v>45988</v>
      </c>
      <c r="AD49" s="18">
        <v>45994</v>
      </c>
      <c r="AE49" s="18">
        <v>45994</v>
      </c>
      <c r="AF49" s="15"/>
      <c r="AG49" s="18">
        <v>46000</v>
      </c>
      <c r="AH49" s="15"/>
      <c r="AI49" s="18">
        <v>46001</v>
      </c>
      <c r="AJ49" s="21"/>
      <c r="AK49" s="22"/>
      <c r="AL49" s="22"/>
    </row>
    <row r="50" spans="1:38" ht="18" customHeight="1">
      <c r="A50" s="13" t="s">
        <v>35</v>
      </c>
      <c r="B50" s="13" t="s">
        <v>310</v>
      </c>
      <c r="C50" s="14" t="s">
        <v>179</v>
      </c>
      <c r="D50" s="15" t="s">
        <v>38</v>
      </c>
      <c r="E50" s="16" t="s">
        <v>38</v>
      </c>
      <c r="F50" s="17">
        <v>659856</v>
      </c>
      <c r="G50" s="16">
        <v>0</v>
      </c>
      <c r="H50" s="18">
        <v>45719</v>
      </c>
      <c r="I50" s="13" t="s">
        <v>311</v>
      </c>
      <c r="J50" s="18">
        <v>45744</v>
      </c>
      <c r="K50" s="18">
        <v>46108</v>
      </c>
      <c r="L50" s="19" t="s">
        <v>42</v>
      </c>
      <c r="M50" s="19" t="s">
        <v>43</v>
      </c>
      <c r="N50" s="13" t="s">
        <v>312</v>
      </c>
      <c r="O50" s="13" t="s">
        <v>45</v>
      </c>
      <c r="P50" s="13" t="s">
        <v>46</v>
      </c>
      <c r="Q50" s="30">
        <v>1018471</v>
      </c>
      <c r="R50" s="28" t="s">
        <v>313</v>
      </c>
      <c r="S50" s="28" t="s">
        <v>313</v>
      </c>
      <c r="T50" s="13" t="s">
        <v>314</v>
      </c>
      <c r="U50" s="20" t="s">
        <v>315</v>
      </c>
      <c r="V50" s="20" t="s">
        <v>316</v>
      </c>
      <c r="W50" s="13"/>
      <c r="X50" s="20" t="s">
        <v>317</v>
      </c>
      <c r="Y50" s="13" t="s">
        <v>38</v>
      </c>
      <c r="Z50" s="13"/>
      <c r="AA50" s="13" t="s">
        <v>318</v>
      </c>
      <c r="AB50" s="16" t="str">
        <f t="shared" si="0"/>
        <v>Completed</v>
      </c>
      <c r="AC50" s="18">
        <v>45988</v>
      </c>
      <c r="AD50" s="18">
        <v>45994</v>
      </c>
      <c r="AE50" s="18">
        <v>45994</v>
      </c>
      <c r="AF50" s="15"/>
      <c r="AG50" s="18">
        <v>46001</v>
      </c>
      <c r="AH50" s="15"/>
      <c r="AI50" s="18">
        <v>46001</v>
      </c>
      <c r="AJ50" s="21"/>
      <c r="AK50" s="22"/>
      <c r="AL50" s="22"/>
    </row>
    <row r="51" spans="1:38" ht="18" customHeight="1">
      <c r="A51" s="13" t="s">
        <v>35</v>
      </c>
      <c r="B51" s="13" t="s">
        <v>319</v>
      </c>
      <c r="C51" s="14" t="s">
        <v>179</v>
      </c>
      <c r="D51" s="15" t="s">
        <v>38</v>
      </c>
      <c r="E51" s="16" t="s">
        <v>38</v>
      </c>
      <c r="F51" s="17" t="s">
        <v>320</v>
      </c>
      <c r="G51" s="16">
        <v>0</v>
      </c>
      <c r="H51" s="18">
        <v>45744</v>
      </c>
      <c r="I51" s="13" t="s">
        <v>321</v>
      </c>
      <c r="J51" s="18">
        <v>45814</v>
      </c>
      <c r="K51" s="18">
        <v>46203</v>
      </c>
      <c r="L51" s="19" t="s">
        <v>322</v>
      </c>
      <c r="M51" s="19" t="s">
        <v>323</v>
      </c>
      <c r="N51" s="13" t="s">
        <v>324</v>
      </c>
      <c r="O51" s="13" t="s">
        <v>45</v>
      </c>
      <c r="P51" s="13" t="s">
        <v>46</v>
      </c>
      <c r="Q51" s="30">
        <v>1018471</v>
      </c>
      <c r="R51" s="28" t="s">
        <v>325</v>
      </c>
      <c r="S51" s="28" t="s">
        <v>325</v>
      </c>
      <c r="T51" s="13" t="s">
        <v>326</v>
      </c>
      <c r="U51" s="20" t="s">
        <v>327</v>
      </c>
      <c r="V51" s="20" t="s">
        <v>38</v>
      </c>
      <c r="W51" s="13"/>
      <c r="X51" s="20" t="s">
        <v>328</v>
      </c>
      <c r="Y51" s="13" t="s">
        <v>38</v>
      </c>
      <c r="Z51" s="13"/>
      <c r="AA51" s="13"/>
      <c r="AB51" s="16" t="str">
        <f t="shared" si="0"/>
        <v>Completed</v>
      </c>
      <c r="AC51" s="18">
        <v>45988</v>
      </c>
      <c r="AD51" s="18">
        <v>45994</v>
      </c>
      <c r="AE51" s="18">
        <v>45994</v>
      </c>
      <c r="AF51" s="15"/>
      <c r="AG51" s="18">
        <v>45995</v>
      </c>
      <c r="AH51" s="15"/>
      <c r="AI51" s="18">
        <v>46001</v>
      </c>
      <c r="AJ51" s="21"/>
      <c r="AK51" s="22"/>
      <c r="AL51" s="22"/>
    </row>
    <row r="52" spans="1:38" ht="18" customHeight="1">
      <c r="A52" s="13" t="s">
        <v>35</v>
      </c>
      <c r="B52" s="13" t="s">
        <v>329</v>
      </c>
      <c r="C52" s="14" t="s">
        <v>179</v>
      </c>
      <c r="D52" s="15" t="s">
        <v>38</v>
      </c>
      <c r="E52" s="16" t="s">
        <v>38</v>
      </c>
      <c r="F52" s="17">
        <v>25050160</v>
      </c>
      <c r="G52" s="16">
        <v>1</v>
      </c>
      <c r="H52" s="18">
        <v>45903</v>
      </c>
      <c r="I52" s="13" t="s">
        <v>330</v>
      </c>
      <c r="J52" s="18">
        <v>45814</v>
      </c>
      <c r="K52" s="18">
        <v>46203</v>
      </c>
      <c r="L52" s="19" t="s">
        <v>322</v>
      </c>
      <c r="M52" s="19" t="s">
        <v>323</v>
      </c>
      <c r="N52" s="13" t="s">
        <v>331</v>
      </c>
      <c r="O52" s="13" t="s">
        <v>45</v>
      </c>
      <c r="P52" s="13" t="s">
        <v>46</v>
      </c>
      <c r="Q52" s="30">
        <v>1018471</v>
      </c>
      <c r="R52" s="28" t="s">
        <v>38</v>
      </c>
      <c r="S52" s="28" t="s">
        <v>38</v>
      </c>
      <c r="T52" s="13" t="s">
        <v>332</v>
      </c>
      <c r="U52" s="20" t="s">
        <v>327</v>
      </c>
      <c r="V52" s="20" t="s">
        <v>38</v>
      </c>
      <c r="W52" s="13"/>
      <c r="X52" s="20" t="s">
        <v>333</v>
      </c>
      <c r="Y52" s="13" t="s">
        <v>38</v>
      </c>
      <c r="Z52" s="13" t="s">
        <v>334</v>
      </c>
      <c r="AA52" s="13"/>
      <c r="AB52" s="16" t="str">
        <f t="shared" si="0"/>
        <v>Completed</v>
      </c>
      <c r="AC52" s="18">
        <v>45988</v>
      </c>
      <c r="AD52" s="18">
        <v>45994</v>
      </c>
      <c r="AE52" s="18">
        <v>45994</v>
      </c>
      <c r="AF52" s="15"/>
      <c r="AG52" s="18">
        <v>45995</v>
      </c>
      <c r="AH52" s="15"/>
      <c r="AI52" s="18">
        <v>46001</v>
      </c>
      <c r="AJ52" s="21"/>
      <c r="AK52" s="22"/>
      <c r="AL52" s="22"/>
    </row>
    <row r="53" spans="1:38" ht="18" customHeight="1">
      <c r="A53" s="13" t="s">
        <v>35</v>
      </c>
      <c r="B53" s="13" t="s">
        <v>335</v>
      </c>
      <c r="C53" s="14" t="s">
        <v>179</v>
      </c>
      <c r="D53" s="15" t="s">
        <v>38</v>
      </c>
      <c r="E53" s="16" t="s">
        <v>38</v>
      </c>
      <c r="F53" s="17">
        <v>232451</v>
      </c>
      <c r="G53" s="16">
        <v>0</v>
      </c>
      <c r="H53" s="18">
        <v>45813</v>
      </c>
      <c r="I53" s="35" t="s">
        <v>336</v>
      </c>
      <c r="J53" s="18">
        <v>45813</v>
      </c>
      <c r="K53" s="18" t="s">
        <v>38</v>
      </c>
      <c r="L53" s="34" t="s">
        <v>54</v>
      </c>
      <c r="M53" s="19" t="s">
        <v>337</v>
      </c>
      <c r="N53" s="13" t="s">
        <v>338</v>
      </c>
      <c r="O53" s="13" t="s">
        <v>45</v>
      </c>
      <c r="P53" s="13" t="s">
        <v>46</v>
      </c>
      <c r="Q53" s="30">
        <v>1018471</v>
      </c>
      <c r="R53" s="28" t="s">
        <v>339</v>
      </c>
      <c r="S53" s="28" t="s">
        <v>339</v>
      </c>
      <c r="T53" s="36" t="s">
        <v>340</v>
      </c>
      <c r="U53" s="20" t="s">
        <v>341</v>
      </c>
      <c r="V53" s="20" t="s">
        <v>38</v>
      </c>
      <c r="W53" s="13"/>
      <c r="X53" s="13" t="s">
        <v>38</v>
      </c>
      <c r="Y53" s="13" t="s">
        <v>38</v>
      </c>
      <c r="Z53" s="13" t="s">
        <v>342</v>
      </c>
      <c r="AA53" s="13" t="s">
        <v>343</v>
      </c>
      <c r="AB53" s="16" t="str">
        <f t="shared" si="0"/>
        <v>Completed</v>
      </c>
      <c r="AC53" s="18">
        <v>45988</v>
      </c>
      <c r="AD53" s="18">
        <v>45994</v>
      </c>
      <c r="AE53" s="18">
        <v>45994</v>
      </c>
      <c r="AF53" s="15"/>
      <c r="AG53" s="18">
        <v>46001</v>
      </c>
      <c r="AH53" s="15"/>
      <c r="AI53" s="18">
        <v>46001</v>
      </c>
      <c r="AJ53" s="21"/>
      <c r="AK53" s="22"/>
      <c r="AL53" s="22"/>
    </row>
    <row r="54" spans="1:38" ht="18" customHeight="1">
      <c r="A54" s="13" t="s">
        <v>344</v>
      </c>
      <c r="B54" s="13" t="s">
        <v>345</v>
      </c>
      <c r="C54" s="14" t="s">
        <v>346</v>
      </c>
      <c r="D54" s="15" t="s">
        <v>38</v>
      </c>
      <c r="E54" s="16" t="s">
        <v>347</v>
      </c>
      <c r="F54" s="17">
        <v>22396</v>
      </c>
      <c r="G54" s="16">
        <v>0</v>
      </c>
      <c r="H54" s="18">
        <v>45131</v>
      </c>
      <c r="I54" s="13" t="s">
        <v>348</v>
      </c>
      <c r="J54" s="18">
        <v>45131</v>
      </c>
      <c r="K54" s="18">
        <v>46621</v>
      </c>
      <c r="L54" s="19" t="s">
        <v>168</v>
      </c>
      <c r="M54" s="34" t="s">
        <v>349</v>
      </c>
      <c r="N54" s="13" t="s">
        <v>44</v>
      </c>
      <c r="O54" s="13" t="s">
        <v>350</v>
      </c>
      <c r="P54" s="13" t="s">
        <v>351</v>
      </c>
      <c r="Q54" s="16">
        <v>1018845</v>
      </c>
      <c r="R54" s="16">
        <v>18236151</v>
      </c>
      <c r="S54" s="16" t="s">
        <v>38</v>
      </c>
      <c r="T54" s="13" t="s">
        <v>352</v>
      </c>
      <c r="U54" s="13" t="s">
        <v>353</v>
      </c>
      <c r="V54" s="20" t="s">
        <v>38</v>
      </c>
      <c r="W54" s="13"/>
      <c r="X54" s="13" t="s">
        <v>354</v>
      </c>
      <c r="Y54" s="13" t="s">
        <v>38</v>
      </c>
      <c r="Z54" s="13"/>
      <c r="AA54" s="13"/>
      <c r="AB54" s="16" t="str">
        <f t="shared" si="0"/>
        <v>Completed</v>
      </c>
      <c r="AC54" s="18">
        <v>45988</v>
      </c>
      <c r="AD54" s="18">
        <v>45992</v>
      </c>
      <c r="AE54" s="18">
        <v>45993</v>
      </c>
      <c r="AF54" s="15"/>
      <c r="AG54" s="18">
        <v>45993</v>
      </c>
      <c r="AH54" s="15"/>
      <c r="AI54" s="18">
        <v>45993</v>
      </c>
      <c r="AJ54" s="21"/>
      <c r="AK54" s="22"/>
      <c r="AL54" s="22"/>
    </row>
    <row r="55" spans="1:38" ht="18" customHeight="1">
      <c r="A55" s="13" t="s">
        <v>344</v>
      </c>
      <c r="B55" s="13" t="s">
        <v>355</v>
      </c>
      <c r="C55" s="14" t="s">
        <v>346</v>
      </c>
      <c r="D55" s="15" t="s">
        <v>38</v>
      </c>
      <c r="E55" s="17" t="s">
        <v>356</v>
      </c>
      <c r="F55" s="17" t="s">
        <v>356</v>
      </c>
      <c r="G55" s="16">
        <v>0</v>
      </c>
      <c r="H55" s="18">
        <v>43060</v>
      </c>
      <c r="I55" s="19" t="s">
        <v>357</v>
      </c>
      <c r="J55" s="18">
        <v>43060</v>
      </c>
      <c r="K55" s="18">
        <v>44885</v>
      </c>
      <c r="L55" s="19" t="s">
        <v>63</v>
      </c>
      <c r="M55" s="19" t="s">
        <v>38</v>
      </c>
      <c r="N55" s="13" t="s">
        <v>358</v>
      </c>
      <c r="O55" s="13" t="s">
        <v>350</v>
      </c>
      <c r="P55" s="13" t="s">
        <v>351</v>
      </c>
      <c r="Q55" s="16">
        <v>1018845</v>
      </c>
      <c r="R55" s="16" t="s">
        <v>38</v>
      </c>
      <c r="S55" s="16" t="s">
        <v>38</v>
      </c>
      <c r="T55" s="13" t="s">
        <v>359</v>
      </c>
      <c r="U55" s="13" t="s">
        <v>38</v>
      </c>
      <c r="V55" s="20" t="s">
        <v>360</v>
      </c>
      <c r="W55" s="13"/>
      <c r="X55" s="13" t="s">
        <v>38</v>
      </c>
      <c r="Y55" s="20" t="s">
        <v>361</v>
      </c>
      <c r="Z55" s="13"/>
      <c r="AA55" s="13" t="s">
        <v>362</v>
      </c>
      <c r="AB55" s="16" t="str">
        <f t="shared" si="0"/>
        <v>Completed</v>
      </c>
      <c r="AC55" s="18">
        <v>45988</v>
      </c>
      <c r="AD55" s="18">
        <v>45988</v>
      </c>
      <c r="AE55" s="18">
        <v>45993</v>
      </c>
      <c r="AF55" s="15"/>
      <c r="AG55" s="18">
        <v>45994</v>
      </c>
      <c r="AH55" s="15"/>
      <c r="AI55" s="18">
        <v>45994</v>
      </c>
      <c r="AJ55" s="21"/>
      <c r="AK55" s="22"/>
      <c r="AL55" s="22"/>
    </row>
    <row r="56" spans="1:38" ht="18" customHeight="1">
      <c r="A56" s="13" t="s">
        <v>344</v>
      </c>
      <c r="B56" s="13" t="s">
        <v>363</v>
      </c>
      <c r="C56" s="14" t="s">
        <v>346</v>
      </c>
      <c r="D56" s="15" t="s">
        <v>38</v>
      </c>
      <c r="E56" s="17" t="s">
        <v>356</v>
      </c>
      <c r="F56" s="17" t="s">
        <v>356</v>
      </c>
      <c r="G56" s="16">
        <v>1</v>
      </c>
      <c r="H56" s="18">
        <v>43556</v>
      </c>
      <c r="I56" s="13" t="s">
        <v>364</v>
      </c>
      <c r="J56" s="18">
        <v>43060</v>
      </c>
      <c r="K56" s="18">
        <v>44885</v>
      </c>
      <c r="L56" s="19" t="s">
        <v>63</v>
      </c>
      <c r="M56" s="19" t="s">
        <v>38</v>
      </c>
      <c r="N56" s="13" t="s">
        <v>365</v>
      </c>
      <c r="O56" s="13" t="s">
        <v>350</v>
      </c>
      <c r="P56" s="13" t="s">
        <v>351</v>
      </c>
      <c r="Q56" s="16">
        <v>1018845</v>
      </c>
      <c r="R56" s="16" t="s">
        <v>38</v>
      </c>
      <c r="S56" s="16" t="s">
        <v>38</v>
      </c>
      <c r="T56" s="13" t="s">
        <v>359</v>
      </c>
      <c r="U56" s="13" t="s">
        <v>38</v>
      </c>
      <c r="V56" s="20" t="s">
        <v>360</v>
      </c>
      <c r="W56" s="13"/>
      <c r="X56" s="13" t="s">
        <v>38</v>
      </c>
      <c r="Y56" s="20" t="s">
        <v>361</v>
      </c>
      <c r="Z56" s="13"/>
      <c r="AA56" s="20" t="s">
        <v>366</v>
      </c>
      <c r="AB56" s="16" t="str">
        <f t="shared" si="0"/>
        <v>Completed</v>
      </c>
      <c r="AC56" s="18">
        <v>45988</v>
      </c>
      <c r="AD56" s="18">
        <v>45988</v>
      </c>
      <c r="AE56" s="18">
        <v>45993</v>
      </c>
      <c r="AF56" s="15"/>
      <c r="AG56" s="18">
        <v>45994</v>
      </c>
      <c r="AH56" s="15"/>
      <c r="AI56" s="18">
        <v>45994</v>
      </c>
      <c r="AJ56" s="21"/>
      <c r="AK56" s="22"/>
      <c r="AL56" s="22"/>
    </row>
    <row r="57" spans="1:38" ht="18" customHeight="1">
      <c r="A57" s="13" t="s">
        <v>344</v>
      </c>
      <c r="B57" s="13" t="s">
        <v>367</v>
      </c>
      <c r="C57" s="14" t="s">
        <v>346</v>
      </c>
      <c r="D57" s="15">
        <v>101039</v>
      </c>
      <c r="E57" s="16" t="s">
        <v>356</v>
      </c>
      <c r="F57" s="17">
        <v>616874</v>
      </c>
      <c r="G57" s="16">
        <v>0</v>
      </c>
      <c r="H57" s="18">
        <v>44446</v>
      </c>
      <c r="I57" s="13" t="s">
        <v>368</v>
      </c>
      <c r="J57" s="18">
        <v>44446</v>
      </c>
      <c r="K57" s="18">
        <v>45175</v>
      </c>
      <c r="L57" s="19" t="s">
        <v>95</v>
      </c>
      <c r="M57" s="19" t="s">
        <v>369</v>
      </c>
      <c r="N57" s="13" t="s">
        <v>94</v>
      </c>
      <c r="O57" s="13" t="s">
        <v>350</v>
      </c>
      <c r="P57" s="13" t="s">
        <v>351</v>
      </c>
      <c r="Q57" s="16">
        <v>1018845</v>
      </c>
      <c r="R57" s="16" t="s">
        <v>38</v>
      </c>
      <c r="S57" s="16" t="s">
        <v>38</v>
      </c>
      <c r="T57" s="13" t="s">
        <v>370</v>
      </c>
      <c r="U57" s="20" t="s">
        <v>371</v>
      </c>
      <c r="V57" s="20" t="s">
        <v>372</v>
      </c>
      <c r="W57" s="13"/>
      <c r="X57" s="13" t="s">
        <v>373</v>
      </c>
      <c r="Y57" s="20" t="s">
        <v>374</v>
      </c>
      <c r="Z57" s="13"/>
      <c r="AA57" s="20" t="s">
        <v>375</v>
      </c>
      <c r="AB57" s="16" t="str">
        <f t="shared" si="0"/>
        <v>Completed</v>
      </c>
      <c r="AC57" s="18">
        <v>45988</v>
      </c>
      <c r="AD57" s="18">
        <v>45988</v>
      </c>
      <c r="AE57" s="18">
        <v>45993</v>
      </c>
      <c r="AF57" s="15"/>
      <c r="AG57" s="18">
        <v>45994</v>
      </c>
      <c r="AH57" s="15"/>
      <c r="AI57" s="18">
        <v>45994</v>
      </c>
      <c r="AJ57" s="21"/>
      <c r="AK57" s="22"/>
      <c r="AL57" s="22"/>
    </row>
    <row r="58" spans="1:38" ht="18" customHeight="1">
      <c r="A58" s="13" t="s">
        <v>344</v>
      </c>
      <c r="B58" s="13" t="s">
        <v>376</v>
      </c>
      <c r="C58" s="14" t="s">
        <v>346</v>
      </c>
      <c r="D58" s="15">
        <v>110354</v>
      </c>
      <c r="E58" s="16" t="s">
        <v>356</v>
      </c>
      <c r="F58" s="17">
        <v>616874</v>
      </c>
      <c r="G58" s="16">
        <v>1</v>
      </c>
      <c r="H58" s="18">
        <v>44475</v>
      </c>
      <c r="I58" s="13" t="s">
        <v>377</v>
      </c>
      <c r="J58" s="18">
        <v>44446</v>
      </c>
      <c r="K58" s="18">
        <v>45175</v>
      </c>
      <c r="L58" s="19" t="s">
        <v>95</v>
      </c>
      <c r="M58" s="19" t="s">
        <v>369</v>
      </c>
      <c r="N58" s="13" t="s">
        <v>377</v>
      </c>
      <c r="O58" s="13" t="s">
        <v>350</v>
      </c>
      <c r="P58" s="13" t="s">
        <v>351</v>
      </c>
      <c r="Q58" s="16">
        <v>1018845</v>
      </c>
      <c r="R58" s="16" t="s">
        <v>378</v>
      </c>
      <c r="S58" s="16" t="s">
        <v>378</v>
      </c>
      <c r="T58" s="13" t="s">
        <v>379</v>
      </c>
      <c r="U58" s="20" t="s">
        <v>380</v>
      </c>
      <c r="V58" s="20" t="s">
        <v>372</v>
      </c>
      <c r="W58" s="13"/>
      <c r="X58" s="13" t="s">
        <v>373</v>
      </c>
      <c r="Y58" s="20" t="s">
        <v>374</v>
      </c>
      <c r="Z58" s="13"/>
      <c r="AA58" s="13" t="s">
        <v>381</v>
      </c>
      <c r="AB58" s="16" t="str">
        <f t="shared" si="0"/>
        <v>Completed</v>
      </c>
      <c r="AC58" s="18">
        <v>45988</v>
      </c>
      <c r="AD58" s="18">
        <v>45988</v>
      </c>
      <c r="AE58" s="18">
        <v>45993</v>
      </c>
      <c r="AF58" s="15"/>
      <c r="AG58" s="18">
        <v>45994</v>
      </c>
      <c r="AH58" s="15"/>
      <c r="AI58" s="18">
        <v>45994</v>
      </c>
      <c r="AJ58" s="21"/>
      <c r="AK58" s="22"/>
      <c r="AL58" s="22"/>
    </row>
    <row r="59" spans="1:38" ht="18" customHeight="1">
      <c r="A59" s="13" t="s">
        <v>344</v>
      </c>
      <c r="B59" s="13" t="s">
        <v>382</v>
      </c>
      <c r="C59" s="14" t="s">
        <v>346</v>
      </c>
      <c r="D59" s="15" t="s">
        <v>38</v>
      </c>
      <c r="E59" s="27" t="s">
        <v>356</v>
      </c>
      <c r="F59" s="17" t="s">
        <v>356</v>
      </c>
      <c r="G59" s="16">
        <v>2</v>
      </c>
      <c r="H59" s="18">
        <v>44588</v>
      </c>
      <c r="I59" s="13" t="s">
        <v>383</v>
      </c>
      <c r="J59" s="18">
        <v>43060</v>
      </c>
      <c r="K59" s="18">
        <v>45981</v>
      </c>
      <c r="L59" s="19" t="s">
        <v>63</v>
      </c>
      <c r="M59" s="19" t="s">
        <v>38</v>
      </c>
      <c r="N59" s="13" t="s">
        <v>384</v>
      </c>
      <c r="O59" s="13" t="s">
        <v>350</v>
      </c>
      <c r="P59" s="13" t="s">
        <v>351</v>
      </c>
      <c r="Q59" s="16">
        <v>1018845</v>
      </c>
      <c r="R59" s="16" t="s">
        <v>38</v>
      </c>
      <c r="S59" s="16" t="s">
        <v>38</v>
      </c>
      <c r="T59" s="13" t="s">
        <v>385</v>
      </c>
      <c r="U59" s="13" t="s">
        <v>38</v>
      </c>
      <c r="V59" s="20" t="s">
        <v>360</v>
      </c>
      <c r="W59" s="13"/>
      <c r="X59" s="13" t="s">
        <v>38</v>
      </c>
      <c r="Y59" s="13" t="s">
        <v>361</v>
      </c>
      <c r="Z59" s="13"/>
      <c r="AA59" s="20" t="s">
        <v>386</v>
      </c>
      <c r="AB59" s="16" t="str">
        <f t="shared" si="0"/>
        <v>Completed</v>
      </c>
      <c r="AC59" s="18">
        <v>45988</v>
      </c>
      <c r="AD59" s="18">
        <v>45989</v>
      </c>
      <c r="AE59" s="18">
        <v>45993</v>
      </c>
      <c r="AF59" s="15"/>
      <c r="AG59" s="18">
        <v>45994</v>
      </c>
      <c r="AH59" s="15"/>
      <c r="AI59" s="18">
        <v>45996</v>
      </c>
      <c r="AJ59" s="21"/>
      <c r="AK59" s="22"/>
      <c r="AL59" s="22"/>
    </row>
    <row r="60" spans="1:38" ht="18" customHeight="1">
      <c r="A60" s="13" t="s">
        <v>344</v>
      </c>
      <c r="B60" s="13" t="s">
        <v>387</v>
      </c>
      <c r="C60" s="14" t="s">
        <v>346</v>
      </c>
      <c r="D60" s="15">
        <v>116032</v>
      </c>
      <c r="E60" s="16" t="s">
        <v>356</v>
      </c>
      <c r="F60" s="17">
        <v>623074</v>
      </c>
      <c r="G60" s="16">
        <v>0</v>
      </c>
      <c r="H60" s="18">
        <v>44629</v>
      </c>
      <c r="I60" s="13" t="s">
        <v>94</v>
      </c>
      <c r="J60" s="18">
        <v>44629</v>
      </c>
      <c r="K60" s="18">
        <v>46089</v>
      </c>
      <c r="L60" s="19" t="s">
        <v>95</v>
      </c>
      <c r="M60" s="19" t="s">
        <v>388</v>
      </c>
      <c r="N60" s="13" t="s">
        <v>94</v>
      </c>
      <c r="O60" s="13" t="s">
        <v>350</v>
      </c>
      <c r="P60" s="13" t="s">
        <v>351</v>
      </c>
      <c r="Q60" s="16">
        <v>1018845</v>
      </c>
      <c r="R60" s="16" t="s">
        <v>38</v>
      </c>
      <c r="S60" s="16" t="s">
        <v>38</v>
      </c>
      <c r="T60" s="13" t="s">
        <v>389</v>
      </c>
      <c r="U60" s="20" t="s">
        <v>390</v>
      </c>
      <c r="V60" s="20" t="s">
        <v>391</v>
      </c>
      <c r="W60" s="13"/>
      <c r="X60" s="20" t="s">
        <v>392</v>
      </c>
      <c r="Y60" s="13" t="s">
        <v>393</v>
      </c>
      <c r="Z60" s="13"/>
      <c r="AA60" s="13" t="s">
        <v>394</v>
      </c>
      <c r="AB60" s="16" t="str">
        <f t="shared" si="0"/>
        <v>Completed</v>
      </c>
      <c r="AC60" s="18">
        <v>45988</v>
      </c>
      <c r="AD60" s="18">
        <v>45989</v>
      </c>
      <c r="AE60" s="18">
        <v>45993</v>
      </c>
      <c r="AF60" s="15"/>
      <c r="AG60" s="18">
        <v>45995</v>
      </c>
      <c r="AH60" s="15"/>
      <c r="AI60" s="18">
        <v>45996</v>
      </c>
      <c r="AJ60" s="21"/>
      <c r="AK60" s="22"/>
      <c r="AL60" s="22"/>
    </row>
    <row r="61" spans="1:38" ht="18" customHeight="1">
      <c r="A61" s="13" t="s">
        <v>344</v>
      </c>
      <c r="B61" s="13" t="s">
        <v>395</v>
      </c>
      <c r="C61" s="14" t="s">
        <v>346</v>
      </c>
      <c r="D61" s="15">
        <v>128888</v>
      </c>
      <c r="E61" s="16" t="s">
        <v>356</v>
      </c>
      <c r="F61" s="17">
        <v>616874</v>
      </c>
      <c r="G61" s="16">
        <v>2</v>
      </c>
      <c r="H61" s="18">
        <v>44705</v>
      </c>
      <c r="I61" s="13" t="s">
        <v>377</v>
      </c>
      <c r="J61" s="18">
        <v>44446</v>
      </c>
      <c r="K61" s="18">
        <v>45175</v>
      </c>
      <c r="L61" s="19" t="s">
        <v>95</v>
      </c>
      <c r="M61" s="19" t="s">
        <v>369</v>
      </c>
      <c r="N61" s="13" t="s">
        <v>377</v>
      </c>
      <c r="O61" s="13" t="s">
        <v>350</v>
      </c>
      <c r="P61" s="13" t="s">
        <v>351</v>
      </c>
      <c r="Q61" s="16">
        <v>1018845</v>
      </c>
      <c r="R61" s="16">
        <v>1514288</v>
      </c>
      <c r="S61" s="16">
        <v>1514288</v>
      </c>
      <c r="T61" s="13" t="s">
        <v>396</v>
      </c>
      <c r="U61" s="26" t="s">
        <v>397</v>
      </c>
      <c r="V61" s="20" t="s">
        <v>372</v>
      </c>
      <c r="W61" s="13"/>
      <c r="X61" s="13" t="s">
        <v>373</v>
      </c>
      <c r="Y61" s="20" t="s">
        <v>374</v>
      </c>
      <c r="Z61" s="13"/>
      <c r="AA61" s="20" t="s">
        <v>398</v>
      </c>
      <c r="AB61" s="16" t="str">
        <f t="shared" si="0"/>
        <v>Completed</v>
      </c>
      <c r="AC61" s="18">
        <v>45988</v>
      </c>
      <c r="AD61" s="18">
        <v>45989</v>
      </c>
      <c r="AE61" s="18">
        <v>45993</v>
      </c>
      <c r="AF61" s="15"/>
      <c r="AG61" s="18">
        <v>45994</v>
      </c>
      <c r="AH61" s="15"/>
      <c r="AI61" s="18">
        <v>45994</v>
      </c>
      <c r="AJ61" s="21"/>
      <c r="AK61" s="22"/>
      <c r="AL61" s="22"/>
    </row>
    <row r="62" spans="1:38" ht="18" customHeight="1">
      <c r="A62" s="13" t="s">
        <v>344</v>
      </c>
      <c r="B62" s="13" t="s">
        <v>399</v>
      </c>
      <c r="C62" s="14" t="s">
        <v>346</v>
      </c>
      <c r="D62" s="15">
        <v>136627</v>
      </c>
      <c r="E62" s="16" t="s">
        <v>356</v>
      </c>
      <c r="F62" s="17">
        <v>623074</v>
      </c>
      <c r="G62" s="16">
        <v>1</v>
      </c>
      <c r="H62" s="18">
        <v>44827</v>
      </c>
      <c r="I62" s="13" t="s">
        <v>116</v>
      </c>
      <c r="J62" s="18">
        <v>44629</v>
      </c>
      <c r="K62" s="18">
        <v>46089</v>
      </c>
      <c r="L62" s="19" t="s">
        <v>95</v>
      </c>
      <c r="M62" s="19" t="s">
        <v>388</v>
      </c>
      <c r="N62" s="13" t="s">
        <v>117</v>
      </c>
      <c r="O62" s="13" t="s">
        <v>350</v>
      </c>
      <c r="P62" s="13" t="s">
        <v>351</v>
      </c>
      <c r="Q62" s="16">
        <v>1018845</v>
      </c>
      <c r="R62" s="16" t="s">
        <v>38</v>
      </c>
      <c r="S62" s="16" t="s">
        <v>38</v>
      </c>
      <c r="T62" s="13" t="s">
        <v>400</v>
      </c>
      <c r="U62" s="20" t="s">
        <v>390</v>
      </c>
      <c r="V62" s="20" t="s">
        <v>401</v>
      </c>
      <c r="W62" s="13"/>
      <c r="X62" s="20" t="s">
        <v>392</v>
      </c>
      <c r="Y62" s="13" t="s">
        <v>393</v>
      </c>
      <c r="Z62" s="13"/>
      <c r="AA62" s="13" t="s">
        <v>402</v>
      </c>
      <c r="AB62" s="16" t="str">
        <f t="shared" si="0"/>
        <v>Completed</v>
      </c>
      <c r="AC62" s="18">
        <v>45988</v>
      </c>
      <c r="AD62" s="18">
        <v>45992</v>
      </c>
      <c r="AE62" s="18">
        <v>45993</v>
      </c>
      <c r="AF62" s="15"/>
      <c r="AG62" s="18">
        <v>45995</v>
      </c>
      <c r="AH62" s="15"/>
      <c r="AI62" s="18">
        <v>45996</v>
      </c>
      <c r="AJ62" s="21"/>
      <c r="AK62" s="22"/>
      <c r="AL62" s="22"/>
    </row>
    <row r="63" spans="1:38" ht="18" customHeight="1">
      <c r="A63" s="13" t="s">
        <v>344</v>
      </c>
      <c r="B63" s="13" t="s">
        <v>403</v>
      </c>
      <c r="C63" s="14" t="s">
        <v>346</v>
      </c>
      <c r="D63" s="15" t="s">
        <v>38</v>
      </c>
      <c r="E63" s="16" t="s">
        <v>347</v>
      </c>
      <c r="F63" s="17">
        <v>22443</v>
      </c>
      <c r="G63" s="16">
        <v>0</v>
      </c>
      <c r="H63" s="18">
        <v>45068</v>
      </c>
      <c r="I63" s="13" t="s">
        <v>404</v>
      </c>
      <c r="J63" s="18">
        <v>45068</v>
      </c>
      <c r="K63" s="18">
        <v>46621</v>
      </c>
      <c r="L63" s="19" t="s">
        <v>168</v>
      </c>
      <c r="M63" s="19" t="s">
        <v>349</v>
      </c>
      <c r="N63" s="13" t="s">
        <v>44</v>
      </c>
      <c r="O63" s="13" t="s">
        <v>350</v>
      </c>
      <c r="P63" s="13" t="s">
        <v>351</v>
      </c>
      <c r="Q63" s="16">
        <v>1018845</v>
      </c>
      <c r="R63" s="16" t="s">
        <v>405</v>
      </c>
      <c r="S63" s="16" t="s">
        <v>405</v>
      </c>
      <c r="T63" s="13" t="s">
        <v>406</v>
      </c>
      <c r="U63" s="13" t="s">
        <v>407</v>
      </c>
      <c r="V63" s="20" t="s">
        <v>401</v>
      </c>
      <c r="W63" s="13"/>
      <c r="X63" s="13" t="s">
        <v>354</v>
      </c>
      <c r="Y63" s="13" t="s">
        <v>38</v>
      </c>
      <c r="Z63" s="13"/>
      <c r="AA63" s="13"/>
      <c r="AB63" s="16" t="str">
        <f t="shared" si="0"/>
        <v>Completed</v>
      </c>
      <c r="AC63" s="18">
        <v>45988</v>
      </c>
      <c r="AD63" s="18">
        <v>45992</v>
      </c>
      <c r="AE63" s="18">
        <v>45993</v>
      </c>
      <c r="AF63" s="15"/>
      <c r="AG63" s="18">
        <v>45996</v>
      </c>
      <c r="AH63" s="15"/>
      <c r="AI63" s="18">
        <v>45996</v>
      </c>
      <c r="AJ63" s="21"/>
      <c r="AK63" s="22"/>
      <c r="AL63" s="22"/>
    </row>
    <row r="64" spans="1:38" ht="18" customHeight="1">
      <c r="A64" s="13" t="s">
        <v>344</v>
      </c>
      <c r="B64" s="13" t="s">
        <v>408</v>
      </c>
      <c r="C64" s="14" t="s">
        <v>346</v>
      </c>
      <c r="D64" s="15">
        <v>146334</v>
      </c>
      <c r="E64" s="16" t="s">
        <v>356</v>
      </c>
      <c r="F64" s="17">
        <v>634604</v>
      </c>
      <c r="G64" s="16">
        <v>0</v>
      </c>
      <c r="H64" s="18">
        <v>44974</v>
      </c>
      <c r="I64" s="13" t="s">
        <v>94</v>
      </c>
      <c r="J64" s="18">
        <v>44974</v>
      </c>
      <c r="K64" s="18">
        <v>45338</v>
      </c>
      <c r="L64" s="19" t="s">
        <v>95</v>
      </c>
      <c r="M64" s="19" t="s">
        <v>409</v>
      </c>
      <c r="N64" s="13" t="s">
        <v>94</v>
      </c>
      <c r="O64" s="13" t="s">
        <v>350</v>
      </c>
      <c r="P64" s="13" t="s">
        <v>351</v>
      </c>
      <c r="Q64" s="16">
        <v>1018845</v>
      </c>
      <c r="R64" s="16" t="s">
        <v>38</v>
      </c>
      <c r="S64" s="16" t="s">
        <v>38</v>
      </c>
      <c r="T64" s="13" t="s">
        <v>408</v>
      </c>
      <c r="U64" s="20" t="s">
        <v>410</v>
      </c>
      <c r="V64" s="20" t="s">
        <v>243</v>
      </c>
      <c r="W64" s="13"/>
      <c r="X64" s="20" t="s">
        <v>411</v>
      </c>
      <c r="Y64" s="13" t="s">
        <v>412</v>
      </c>
      <c r="Z64" s="13"/>
      <c r="AA64" s="20" t="s">
        <v>413</v>
      </c>
      <c r="AB64" s="16" t="str">
        <f t="shared" si="0"/>
        <v>Completed</v>
      </c>
      <c r="AC64" s="18">
        <v>45988</v>
      </c>
      <c r="AD64" s="18">
        <v>45992</v>
      </c>
      <c r="AE64" s="18">
        <v>45993</v>
      </c>
      <c r="AF64" s="15"/>
      <c r="AG64" s="18">
        <v>45996</v>
      </c>
      <c r="AH64" s="15"/>
      <c r="AI64" s="18">
        <v>45996</v>
      </c>
      <c r="AJ64" s="21"/>
      <c r="AK64" s="22"/>
      <c r="AL64" s="22"/>
    </row>
    <row r="65" spans="1:38" ht="18" customHeight="1">
      <c r="A65" s="13" t="s">
        <v>344</v>
      </c>
      <c r="B65" s="13" t="s">
        <v>414</v>
      </c>
      <c r="C65" s="14" t="s">
        <v>346</v>
      </c>
      <c r="D65" s="15">
        <v>152195</v>
      </c>
      <c r="E65" s="16" t="s">
        <v>356</v>
      </c>
      <c r="F65" s="17">
        <v>623074</v>
      </c>
      <c r="G65" s="16">
        <v>2</v>
      </c>
      <c r="H65" s="18">
        <v>45014</v>
      </c>
      <c r="I65" s="13" t="s">
        <v>415</v>
      </c>
      <c r="J65" s="18">
        <v>44629</v>
      </c>
      <c r="K65" s="18">
        <v>46089</v>
      </c>
      <c r="L65" s="19" t="s">
        <v>95</v>
      </c>
      <c r="M65" s="19" t="s">
        <v>388</v>
      </c>
      <c r="N65" s="13" t="s">
        <v>117</v>
      </c>
      <c r="O65" s="13" t="s">
        <v>350</v>
      </c>
      <c r="P65" s="13" t="s">
        <v>351</v>
      </c>
      <c r="Q65" s="16">
        <v>1018845</v>
      </c>
      <c r="R65" s="16" t="s">
        <v>38</v>
      </c>
      <c r="S65" s="16" t="s">
        <v>38</v>
      </c>
      <c r="T65" s="13" t="s">
        <v>416</v>
      </c>
      <c r="U65" s="20" t="s">
        <v>390</v>
      </c>
      <c r="V65" s="20" t="s">
        <v>391</v>
      </c>
      <c r="W65" s="13"/>
      <c r="X65" s="20" t="s">
        <v>392</v>
      </c>
      <c r="Y65" s="13" t="s">
        <v>393</v>
      </c>
      <c r="Z65" s="13"/>
      <c r="AA65" s="13"/>
      <c r="AB65" s="16" t="str">
        <f t="shared" si="0"/>
        <v>Completed</v>
      </c>
      <c r="AC65" s="18">
        <v>45988</v>
      </c>
      <c r="AD65" s="18">
        <v>45992</v>
      </c>
      <c r="AE65" s="18">
        <v>45993</v>
      </c>
      <c r="AF65" s="15"/>
      <c r="AG65" s="18">
        <v>45995</v>
      </c>
      <c r="AH65" s="15"/>
      <c r="AI65" s="18">
        <v>45996</v>
      </c>
      <c r="AJ65" s="21"/>
      <c r="AK65" s="22"/>
      <c r="AL65" s="22"/>
    </row>
    <row r="66" spans="1:38" ht="18" customHeight="1">
      <c r="A66" s="13" t="s">
        <v>344</v>
      </c>
      <c r="B66" s="13" t="s">
        <v>417</v>
      </c>
      <c r="C66" s="14" t="s">
        <v>346</v>
      </c>
      <c r="D66" s="15" t="s">
        <v>38</v>
      </c>
      <c r="E66" s="16" t="s">
        <v>356</v>
      </c>
      <c r="F66" s="16" t="s">
        <v>356</v>
      </c>
      <c r="G66" s="16">
        <v>3</v>
      </c>
      <c r="H66" s="18">
        <v>45006</v>
      </c>
      <c r="I66" s="13" t="s">
        <v>67</v>
      </c>
      <c r="J66" s="18">
        <v>43060</v>
      </c>
      <c r="K66" s="18">
        <v>45981</v>
      </c>
      <c r="L66" s="19" t="s">
        <v>63</v>
      </c>
      <c r="M66" s="19" t="s">
        <v>38</v>
      </c>
      <c r="N66" s="13" t="s">
        <v>365</v>
      </c>
      <c r="O66" s="13" t="s">
        <v>350</v>
      </c>
      <c r="P66" s="13" t="s">
        <v>351</v>
      </c>
      <c r="Q66" s="16">
        <v>1018845</v>
      </c>
      <c r="R66" s="16" t="s">
        <v>38</v>
      </c>
      <c r="S66" s="16" t="s">
        <v>38</v>
      </c>
      <c r="T66" s="13" t="s">
        <v>417</v>
      </c>
      <c r="U66" s="13" t="s">
        <v>38</v>
      </c>
      <c r="V66" s="20" t="s">
        <v>360</v>
      </c>
      <c r="W66" s="13"/>
      <c r="X66" s="13" t="s">
        <v>38</v>
      </c>
      <c r="Y66" s="13" t="s">
        <v>361</v>
      </c>
      <c r="Z66" s="13"/>
      <c r="AA66" s="13"/>
      <c r="AB66" s="16" t="str">
        <f t="shared" ref="AB66:AB129" si="1">IF(NOT(ISBLANK(AD66)),IF(NOT(ISBLANK(AE66)),IF(NOT(ISBLANK(AG66)),IF(NOT(ISBLANK(AI66)),"Completed","For Final Review"),"For Peer Check"),"In Progress"),"Not Started")</f>
        <v>Completed</v>
      </c>
      <c r="AC66" s="18">
        <v>45988</v>
      </c>
      <c r="AD66" s="18">
        <v>45992</v>
      </c>
      <c r="AE66" s="18">
        <v>45993</v>
      </c>
      <c r="AF66" s="15"/>
      <c r="AG66" s="18">
        <v>45996</v>
      </c>
      <c r="AH66" s="15"/>
      <c r="AI66" s="18">
        <v>45996</v>
      </c>
      <c r="AJ66" s="21"/>
      <c r="AK66" s="22"/>
      <c r="AL66" s="22"/>
    </row>
    <row r="67" spans="1:38" ht="18" customHeight="1">
      <c r="A67" s="13" t="s">
        <v>344</v>
      </c>
      <c r="B67" s="13" t="s">
        <v>418</v>
      </c>
      <c r="C67" s="14" t="s">
        <v>346</v>
      </c>
      <c r="D67" s="15">
        <v>156648</v>
      </c>
      <c r="E67" s="16" t="s">
        <v>356</v>
      </c>
      <c r="F67" s="17">
        <v>616874</v>
      </c>
      <c r="G67" s="16">
        <v>3</v>
      </c>
      <c r="H67" s="18">
        <v>45176</v>
      </c>
      <c r="I67" s="13" t="s">
        <v>419</v>
      </c>
      <c r="J67" s="18">
        <v>44446</v>
      </c>
      <c r="K67" s="18">
        <v>45906</v>
      </c>
      <c r="L67" s="19" t="s">
        <v>95</v>
      </c>
      <c r="M67" s="19" t="s">
        <v>369</v>
      </c>
      <c r="N67" s="13" t="s">
        <v>117</v>
      </c>
      <c r="O67" s="13" t="s">
        <v>350</v>
      </c>
      <c r="P67" s="13" t="s">
        <v>351</v>
      </c>
      <c r="Q67" s="16">
        <v>1018845</v>
      </c>
      <c r="R67" s="16" t="s">
        <v>38</v>
      </c>
      <c r="S67" s="16" t="s">
        <v>38</v>
      </c>
      <c r="T67" s="13" t="s">
        <v>420</v>
      </c>
      <c r="U67" s="13" t="s">
        <v>397</v>
      </c>
      <c r="V67" s="20" t="s">
        <v>372</v>
      </c>
      <c r="W67" s="13"/>
      <c r="X67" s="13" t="s">
        <v>373</v>
      </c>
      <c r="Y67" s="20" t="s">
        <v>421</v>
      </c>
      <c r="Z67" s="13"/>
      <c r="AA67" s="13"/>
      <c r="AB67" s="16" t="str">
        <f t="shared" si="1"/>
        <v>Completed</v>
      </c>
      <c r="AC67" s="18">
        <v>45988</v>
      </c>
      <c r="AD67" s="18">
        <v>45992</v>
      </c>
      <c r="AE67" s="18">
        <v>45993</v>
      </c>
      <c r="AF67" s="15"/>
      <c r="AG67" s="18">
        <v>45994</v>
      </c>
      <c r="AH67" s="15"/>
      <c r="AI67" s="18">
        <v>45994</v>
      </c>
      <c r="AJ67" s="21"/>
      <c r="AK67" s="22"/>
      <c r="AL67" s="22"/>
    </row>
    <row r="68" spans="1:38" ht="18" customHeight="1">
      <c r="A68" s="13" t="s">
        <v>344</v>
      </c>
      <c r="B68" s="13" t="s">
        <v>422</v>
      </c>
      <c r="C68" s="14" t="s">
        <v>346</v>
      </c>
      <c r="D68" s="15">
        <v>163474</v>
      </c>
      <c r="E68" s="16" t="s">
        <v>356</v>
      </c>
      <c r="F68" s="17">
        <v>623074</v>
      </c>
      <c r="G68" s="16">
        <v>3</v>
      </c>
      <c r="H68" s="18">
        <v>44832</v>
      </c>
      <c r="I68" s="13" t="s">
        <v>423</v>
      </c>
      <c r="J68" s="18">
        <v>44629</v>
      </c>
      <c r="K68" s="18">
        <v>46089</v>
      </c>
      <c r="L68" s="19" t="s">
        <v>95</v>
      </c>
      <c r="M68" s="19" t="s">
        <v>388</v>
      </c>
      <c r="N68" s="13" t="s">
        <v>117</v>
      </c>
      <c r="O68" s="13" t="s">
        <v>350</v>
      </c>
      <c r="P68" s="13" t="s">
        <v>351</v>
      </c>
      <c r="Q68" s="16">
        <v>1018845</v>
      </c>
      <c r="R68" s="16" t="s">
        <v>38</v>
      </c>
      <c r="S68" s="16" t="s">
        <v>38</v>
      </c>
      <c r="T68" s="13" t="s">
        <v>424</v>
      </c>
      <c r="U68" s="20" t="s">
        <v>390</v>
      </c>
      <c r="V68" s="20" t="s">
        <v>391</v>
      </c>
      <c r="W68" s="13"/>
      <c r="X68" s="20" t="s">
        <v>392</v>
      </c>
      <c r="Y68" s="13" t="s">
        <v>393</v>
      </c>
      <c r="Z68" s="13"/>
      <c r="AA68" s="13"/>
      <c r="AB68" s="16" t="str">
        <f t="shared" si="1"/>
        <v>Completed</v>
      </c>
      <c r="AC68" s="18">
        <v>45988</v>
      </c>
      <c r="AD68" s="18">
        <v>45992</v>
      </c>
      <c r="AE68" s="18">
        <v>45993</v>
      </c>
      <c r="AF68" s="15"/>
      <c r="AG68" s="18">
        <v>45995</v>
      </c>
      <c r="AH68" s="15"/>
      <c r="AI68" s="18">
        <v>45996</v>
      </c>
      <c r="AJ68" s="21"/>
      <c r="AK68" s="22"/>
      <c r="AL68" s="22"/>
    </row>
    <row r="69" spans="1:38" ht="18" customHeight="1">
      <c r="A69" s="13" t="s">
        <v>344</v>
      </c>
      <c r="B69" s="13" t="s">
        <v>425</v>
      </c>
      <c r="C69" s="14" t="s">
        <v>346</v>
      </c>
      <c r="D69" s="15" t="s">
        <v>38</v>
      </c>
      <c r="E69" s="16" t="s">
        <v>356</v>
      </c>
      <c r="F69" s="17" t="s">
        <v>38</v>
      </c>
      <c r="G69" s="16">
        <v>0</v>
      </c>
      <c r="H69" s="18">
        <v>45292</v>
      </c>
      <c r="I69" s="13" t="s">
        <v>426</v>
      </c>
      <c r="J69" s="18">
        <v>45292</v>
      </c>
      <c r="K69" s="18">
        <v>46022</v>
      </c>
      <c r="L69" s="19" t="s">
        <v>54</v>
      </c>
      <c r="M69" s="19" t="s">
        <v>427</v>
      </c>
      <c r="N69" s="13" t="s">
        <v>94</v>
      </c>
      <c r="O69" s="13" t="s">
        <v>350</v>
      </c>
      <c r="P69" s="13" t="s">
        <v>351</v>
      </c>
      <c r="Q69" s="16">
        <v>1018845</v>
      </c>
      <c r="R69" s="16" t="s">
        <v>428</v>
      </c>
      <c r="S69" s="16" t="s">
        <v>428</v>
      </c>
      <c r="T69" s="13" t="s">
        <v>429</v>
      </c>
      <c r="U69" s="20" t="s">
        <v>430</v>
      </c>
      <c r="V69" s="20" t="s">
        <v>391</v>
      </c>
      <c r="W69" s="13"/>
      <c r="X69" s="13" t="s">
        <v>431</v>
      </c>
      <c r="Y69" s="20" t="s">
        <v>432</v>
      </c>
      <c r="Z69" s="13"/>
      <c r="AA69" s="13"/>
      <c r="AB69" s="16" t="str">
        <f t="shared" si="1"/>
        <v>Completed</v>
      </c>
      <c r="AC69" s="18">
        <v>45988</v>
      </c>
      <c r="AD69" s="18">
        <v>45992</v>
      </c>
      <c r="AE69" s="18">
        <v>45993</v>
      </c>
      <c r="AF69" s="15"/>
      <c r="AG69" s="18">
        <v>45995</v>
      </c>
      <c r="AH69" s="15"/>
      <c r="AI69" s="18">
        <v>46001</v>
      </c>
      <c r="AJ69" s="21"/>
      <c r="AK69" s="22"/>
      <c r="AL69" s="22"/>
    </row>
    <row r="70" spans="1:38" ht="18" customHeight="1">
      <c r="A70" s="13" t="s">
        <v>344</v>
      </c>
      <c r="B70" s="13" t="s">
        <v>433</v>
      </c>
      <c r="C70" s="14" t="s">
        <v>346</v>
      </c>
      <c r="D70" s="15">
        <v>177624</v>
      </c>
      <c r="E70" s="16" t="s">
        <v>356</v>
      </c>
      <c r="F70" s="17">
        <v>25739</v>
      </c>
      <c r="G70" s="16">
        <v>0</v>
      </c>
      <c r="H70" s="18">
        <v>45338</v>
      </c>
      <c r="I70" s="13" t="s">
        <v>434</v>
      </c>
      <c r="J70" s="18">
        <v>45338</v>
      </c>
      <c r="K70" s="18">
        <v>46434</v>
      </c>
      <c r="L70" s="19" t="s">
        <v>95</v>
      </c>
      <c r="M70" s="19" t="s">
        <v>435</v>
      </c>
      <c r="N70" s="13" t="s">
        <v>94</v>
      </c>
      <c r="O70" s="13" t="s">
        <v>350</v>
      </c>
      <c r="P70" s="13" t="s">
        <v>351</v>
      </c>
      <c r="Q70" s="16">
        <v>1018845</v>
      </c>
      <c r="R70" s="16" t="s">
        <v>436</v>
      </c>
      <c r="S70" s="16" t="s">
        <v>436</v>
      </c>
      <c r="T70" s="13" t="s">
        <v>437</v>
      </c>
      <c r="U70" s="20" t="s">
        <v>438</v>
      </c>
      <c r="V70" s="20" t="s">
        <v>391</v>
      </c>
      <c r="W70" s="13"/>
      <c r="X70" s="20" t="s">
        <v>439</v>
      </c>
      <c r="Y70" s="13" t="s">
        <v>440</v>
      </c>
      <c r="Z70" s="13"/>
      <c r="AA70" s="13"/>
      <c r="AB70" s="16" t="str">
        <f t="shared" si="1"/>
        <v>Completed</v>
      </c>
      <c r="AC70" s="18">
        <v>45988</v>
      </c>
      <c r="AD70" s="18">
        <v>45992</v>
      </c>
      <c r="AE70" s="18">
        <v>45993</v>
      </c>
      <c r="AF70" s="15"/>
      <c r="AG70" s="18">
        <v>45996</v>
      </c>
      <c r="AH70" s="15"/>
      <c r="AI70" s="18">
        <v>46001</v>
      </c>
      <c r="AJ70" s="21"/>
      <c r="AK70" s="22"/>
      <c r="AL70" s="22"/>
    </row>
    <row r="71" spans="1:38" ht="18" customHeight="1">
      <c r="A71" s="13" t="s">
        <v>344</v>
      </c>
      <c r="B71" s="13" t="s">
        <v>441</v>
      </c>
      <c r="C71" s="14" t="s">
        <v>346</v>
      </c>
      <c r="D71" s="15">
        <v>175670</v>
      </c>
      <c r="E71" s="16" t="s">
        <v>356</v>
      </c>
      <c r="F71" s="17">
        <v>634604</v>
      </c>
      <c r="G71" s="16">
        <v>1</v>
      </c>
      <c r="H71" s="18">
        <v>45338</v>
      </c>
      <c r="I71" s="13" t="s">
        <v>442</v>
      </c>
      <c r="J71" s="18">
        <v>44974</v>
      </c>
      <c r="K71" s="18">
        <v>46069</v>
      </c>
      <c r="L71" s="19" t="s">
        <v>95</v>
      </c>
      <c r="M71" s="19" t="s">
        <v>409</v>
      </c>
      <c r="N71" s="13" t="s">
        <v>117</v>
      </c>
      <c r="O71" s="13" t="s">
        <v>350</v>
      </c>
      <c r="P71" s="13" t="s">
        <v>351</v>
      </c>
      <c r="Q71" s="16">
        <v>1018845</v>
      </c>
      <c r="R71" s="16" t="s">
        <v>428</v>
      </c>
      <c r="S71" s="16" t="s">
        <v>428</v>
      </c>
      <c r="T71" s="13" t="s">
        <v>443</v>
      </c>
      <c r="U71" s="20" t="s">
        <v>410</v>
      </c>
      <c r="V71" s="20" t="s">
        <v>137</v>
      </c>
      <c r="W71" s="13"/>
      <c r="X71" s="20" t="s">
        <v>444</v>
      </c>
      <c r="Y71" s="13" t="s">
        <v>412</v>
      </c>
      <c r="Z71" s="13"/>
      <c r="AA71" s="13"/>
      <c r="AB71" s="16" t="str">
        <f t="shared" si="1"/>
        <v>Completed</v>
      </c>
      <c r="AC71" s="18">
        <v>45988</v>
      </c>
      <c r="AD71" s="18">
        <v>45992</v>
      </c>
      <c r="AE71" s="18">
        <v>45993</v>
      </c>
      <c r="AF71" s="15"/>
      <c r="AG71" s="18">
        <v>45996</v>
      </c>
      <c r="AH71" s="15"/>
      <c r="AI71" s="18">
        <v>46001</v>
      </c>
      <c r="AJ71" s="21"/>
      <c r="AK71" s="22"/>
      <c r="AL71" s="22"/>
    </row>
    <row r="72" spans="1:38" ht="18" customHeight="1">
      <c r="A72" s="13" t="s">
        <v>344</v>
      </c>
      <c r="B72" s="13" t="s">
        <v>445</v>
      </c>
      <c r="C72" s="14" t="s">
        <v>346</v>
      </c>
      <c r="D72" s="15" t="s">
        <v>446</v>
      </c>
      <c r="E72" s="16" t="s">
        <v>356</v>
      </c>
      <c r="F72" s="16">
        <v>623074</v>
      </c>
      <c r="G72" s="16">
        <v>4</v>
      </c>
      <c r="H72" s="18">
        <v>45392</v>
      </c>
      <c r="I72" s="13" t="s">
        <v>447</v>
      </c>
      <c r="J72" s="18">
        <v>44629</v>
      </c>
      <c r="K72" s="18">
        <v>46089</v>
      </c>
      <c r="L72" s="19" t="s">
        <v>95</v>
      </c>
      <c r="M72" s="19" t="s">
        <v>388</v>
      </c>
      <c r="N72" s="13" t="s">
        <v>117</v>
      </c>
      <c r="O72" s="13" t="s">
        <v>350</v>
      </c>
      <c r="P72" s="13" t="s">
        <v>351</v>
      </c>
      <c r="Q72" s="16">
        <v>1018845</v>
      </c>
      <c r="R72" s="16" t="s">
        <v>38</v>
      </c>
      <c r="S72" s="16" t="s">
        <v>38</v>
      </c>
      <c r="T72" s="13" t="s">
        <v>448</v>
      </c>
      <c r="U72" s="20" t="s">
        <v>390</v>
      </c>
      <c r="V72" s="20" t="s">
        <v>391</v>
      </c>
      <c r="W72" s="13"/>
      <c r="X72" s="20" t="s">
        <v>392</v>
      </c>
      <c r="Y72" s="13" t="s">
        <v>393</v>
      </c>
      <c r="Z72" s="13"/>
      <c r="AA72" s="13"/>
      <c r="AB72" s="16" t="str">
        <f t="shared" si="1"/>
        <v>Completed</v>
      </c>
      <c r="AC72" s="18">
        <v>45988</v>
      </c>
      <c r="AD72" s="18">
        <v>45993</v>
      </c>
      <c r="AE72" s="18">
        <v>45993</v>
      </c>
      <c r="AF72" s="15"/>
      <c r="AG72" s="18">
        <v>45995</v>
      </c>
      <c r="AH72" s="15"/>
      <c r="AI72" s="18">
        <v>45996</v>
      </c>
      <c r="AJ72" s="21"/>
      <c r="AK72" s="22"/>
      <c r="AL72" s="22"/>
    </row>
    <row r="73" spans="1:38" ht="18" customHeight="1">
      <c r="A73" s="13" t="s">
        <v>344</v>
      </c>
      <c r="B73" s="13" t="s">
        <v>449</v>
      </c>
      <c r="C73" s="14" t="s">
        <v>346</v>
      </c>
      <c r="D73" s="15" t="s">
        <v>450</v>
      </c>
      <c r="E73" s="16" t="s">
        <v>356</v>
      </c>
      <c r="F73" s="16">
        <v>623074</v>
      </c>
      <c r="G73" s="16">
        <v>5</v>
      </c>
      <c r="H73" s="18">
        <v>45530</v>
      </c>
      <c r="I73" s="13" t="s">
        <v>451</v>
      </c>
      <c r="J73" s="18">
        <v>44629</v>
      </c>
      <c r="K73" s="18">
        <v>46089</v>
      </c>
      <c r="L73" s="19" t="s">
        <v>95</v>
      </c>
      <c r="M73" s="19" t="s">
        <v>388</v>
      </c>
      <c r="N73" s="13" t="s">
        <v>117</v>
      </c>
      <c r="O73" s="13" t="s">
        <v>350</v>
      </c>
      <c r="P73" s="13" t="s">
        <v>351</v>
      </c>
      <c r="Q73" s="16">
        <v>1018845</v>
      </c>
      <c r="R73" s="16" t="s">
        <v>38</v>
      </c>
      <c r="S73" s="16" t="s">
        <v>38</v>
      </c>
      <c r="T73" s="13" t="s">
        <v>452</v>
      </c>
      <c r="U73" s="20" t="s">
        <v>390</v>
      </c>
      <c r="V73" s="20" t="s">
        <v>391</v>
      </c>
      <c r="W73" s="13"/>
      <c r="X73" s="20" t="s">
        <v>392</v>
      </c>
      <c r="Y73" s="13" t="s">
        <v>393</v>
      </c>
      <c r="Z73" s="13"/>
      <c r="AA73" s="13"/>
      <c r="AB73" s="16" t="str">
        <f t="shared" si="1"/>
        <v>Completed</v>
      </c>
      <c r="AC73" s="18">
        <v>45988</v>
      </c>
      <c r="AD73" s="18">
        <v>45993</v>
      </c>
      <c r="AE73" s="18">
        <v>45993</v>
      </c>
      <c r="AF73" s="15"/>
      <c r="AG73" s="18">
        <v>45995</v>
      </c>
      <c r="AH73" s="15"/>
      <c r="AI73" s="18">
        <v>45996</v>
      </c>
      <c r="AJ73" s="21"/>
      <c r="AK73" s="22"/>
      <c r="AL73" s="22"/>
    </row>
    <row r="74" spans="1:38" ht="18" customHeight="1">
      <c r="A74" s="13" t="s">
        <v>344</v>
      </c>
      <c r="B74" s="13" t="s">
        <v>453</v>
      </c>
      <c r="C74" s="14" t="s">
        <v>346</v>
      </c>
      <c r="D74" s="15" t="s">
        <v>454</v>
      </c>
      <c r="E74" s="16" t="s">
        <v>356</v>
      </c>
      <c r="F74" s="16">
        <v>647338</v>
      </c>
      <c r="G74" s="16">
        <v>1</v>
      </c>
      <c r="H74" s="18">
        <v>45561</v>
      </c>
      <c r="I74" s="13" t="s">
        <v>455</v>
      </c>
      <c r="J74" s="18">
        <v>45338</v>
      </c>
      <c r="K74" s="18">
        <v>46434</v>
      </c>
      <c r="L74" s="19" t="s">
        <v>95</v>
      </c>
      <c r="M74" s="19" t="s">
        <v>435</v>
      </c>
      <c r="N74" s="13" t="s">
        <v>117</v>
      </c>
      <c r="O74" s="13" t="s">
        <v>350</v>
      </c>
      <c r="P74" s="13" t="s">
        <v>351</v>
      </c>
      <c r="Q74" s="16">
        <v>1018845</v>
      </c>
      <c r="R74" s="28" t="s">
        <v>436</v>
      </c>
      <c r="S74" s="16" t="s">
        <v>436</v>
      </c>
      <c r="T74" s="13" t="s">
        <v>456</v>
      </c>
      <c r="U74" s="20" t="s">
        <v>438</v>
      </c>
      <c r="V74" s="20" t="s">
        <v>391</v>
      </c>
      <c r="W74" s="13"/>
      <c r="X74" s="20" t="s">
        <v>439</v>
      </c>
      <c r="Y74" s="13" t="s">
        <v>457</v>
      </c>
      <c r="Z74" s="13"/>
      <c r="AA74" s="13"/>
      <c r="AB74" s="16" t="str">
        <f t="shared" si="1"/>
        <v>Completed</v>
      </c>
      <c r="AC74" s="18">
        <v>45988</v>
      </c>
      <c r="AD74" s="18">
        <v>45993</v>
      </c>
      <c r="AE74" s="18">
        <v>45993</v>
      </c>
      <c r="AF74" s="15"/>
      <c r="AG74" s="18">
        <v>45995</v>
      </c>
      <c r="AH74" s="15"/>
      <c r="AI74" s="18">
        <v>46001</v>
      </c>
      <c r="AJ74" s="21"/>
      <c r="AK74" s="22"/>
      <c r="AL74" s="22"/>
    </row>
    <row r="75" spans="1:38" ht="18" customHeight="1">
      <c r="A75" s="13" t="s">
        <v>344</v>
      </c>
      <c r="B75" s="13" t="s">
        <v>458</v>
      </c>
      <c r="C75" s="14" t="s">
        <v>346</v>
      </c>
      <c r="D75" s="15" t="s">
        <v>459</v>
      </c>
      <c r="E75" s="16" t="s">
        <v>356</v>
      </c>
      <c r="F75" s="16">
        <v>623074</v>
      </c>
      <c r="G75" s="16">
        <v>6</v>
      </c>
      <c r="H75" s="18">
        <v>45561</v>
      </c>
      <c r="I75" s="13" t="s">
        <v>460</v>
      </c>
      <c r="J75" s="18">
        <v>44629</v>
      </c>
      <c r="K75" s="18">
        <v>46089</v>
      </c>
      <c r="L75" s="19" t="s">
        <v>95</v>
      </c>
      <c r="M75" s="19" t="s">
        <v>388</v>
      </c>
      <c r="N75" s="13" t="s">
        <v>117</v>
      </c>
      <c r="O75" s="13" t="s">
        <v>350</v>
      </c>
      <c r="P75" s="13" t="s">
        <v>351</v>
      </c>
      <c r="Q75" s="16">
        <v>1018845</v>
      </c>
      <c r="R75" s="16" t="s">
        <v>38</v>
      </c>
      <c r="S75" s="16" t="s">
        <v>38</v>
      </c>
      <c r="T75" s="13" t="s">
        <v>461</v>
      </c>
      <c r="U75" s="20" t="s">
        <v>390</v>
      </c>
      <c r="V75" s="20" t="s">
        <v>391</v>
      </c>
      <c r="W75" s="13"/>
      <c r="X75" s="20" t="s">
        <v>392</v>
      </c>
      <c r="Y75" s="13" t="s">
        <v>393</v>
      </c>
      <c r="Z75" s="13"/>
      <c r="AA75" s="13"/>
      <c r="AB75" s="16" t="str">
        <f t="shared" si="1"/>
        <v>Completed</v>
      </c>
      <c r="AC75" s="18">
        <v>45988</v>
      </c>
      <c r="AD75" s="18">
        <v>45993</v>
      </c>
      <c r="AE75" s="18">
        <v>45993</v>
      </c>
      <c r="AF75" s="15"/>
      <c r="AG75" s="18">
        <v>45995</v>
      </c>
      <c r="AH75" s="15"/>
      <c r="AI75" s="18">
        <v>45996</v>
      </c>
      <c r="AJ75" s="21"/>
      <c r="AK75" s="22"/>
      <c r="AL75" s="22"/>
    </row>
    <row r="76" spans="1:38" ht="18" customHeight="1">
      <c r="A76" s="13" t="s">
        <v>344</v>
      </c>
      <c r="B76" s="13" t="s">
        <v>462</v>
      </c>
      <c r="C76" s="14" t="s">
        <v>346</v>
      </c>
      <c r="D76" s="15" t="s">
        <v>463</v>
      </c>
      <c r="E76" s="16" t="s">
        <v>356</v>
      </c>
      <c r="F76" s="17">
        <v>634604</v>
      </c>
      <c r="G76" s="16">
        <v>2</v>
      </c>
      <c r="H76" s="18">
        <v>45597</v>
      </c>
      <c r="I76" s="13" t="s">
        <v>442</v>
      </c>
      <c r="J76" s="18">
        <v>44974</v>
      </c>
      <c r="K76" s="18">
        <v>45338</v>
      </c>
      <c r="L76" s="19" t="s">
        <v>95</v>
      </c>
      <c r="M76" s="19" t="s">
        <v>409</v>
      </c>
      <c r="N76" s="13" t="s">
        <v>117</v>
      </c>
      <c r="O76" s="13" t="s">
        <v>350</v>
      </c>
      <c r="P76" s="13" t="s">
        <v>351</v>
      </c>
      <c r="Q76" s="16">
        <v>1018845</v>
      </c>
      <c r="R76" s="16" t="s">
        <v>436</v>
      </c>
      <c r="S76" s="16" t="s">
        <v>436</v>
      </c>
      <c r="T76" s="13" t="s">
        <v>464</v>
      </c>
      <c r="U76" s="20" t="s">
        <v>410</v>
      </c>
      <c r="V76" s="20" t="s">
        <v>465</v>
      </c>
      <c r="W76" s="13"/>
      <c r="X76" s="20" t="s">
        <v>444</v>
      </c>
      <c r="Y76" s="13" t="s">
        <v>412</v>
      </c>
      <c r="Z76" s="13"/>
      <c r="AA76" s="13"/>
      <c r="AB76" s="16" t="str">
        <f t="shared" si="1"/>
        <v>Completed</v>
      </c>
      <c r="AC76" s="18">
        <v>45988</v>
      </c>
      <c r="AD76" s="18">
        <v>45993</v>
      </c>
      <c r="AE76" s="18">
        <v>45993</v>
      </c>
      <c r="AF76" s="15"/>
      <c r="AG76" s="18">
        <v>45996</v>
      </c>
      <c r="AH76" s="15"/>
      <c r="AI76" s="18">
        <v>45996</v>
      </c>
      <c r="AJ76" s="21"/>
      <c r="AK76" s="22"/>
      <c r="AL76" s="22"/>
    </row>
    <row r="77" spans="1:38" ht="18" customHeight="1">
      <c r="A77" s="13" t="s">
        <v>344</v>
      </c>
      <c r="B77" s="13" t="s">
        <v>466</v>
      </c>
      <c r="C77" s="14" t="s">
        <v>346</v>
      </c>
      <c r="D77" s="15" t="s">
        <v>467</v>
      </c>
      <c r="E77" s="16" t="s">
        <v>356</v>
      </c>
      <c r="F77" s="17" t="s">
        <v>38</v>
      </c>
      <c r="G77" s="16">
        <v>0</v>
      </c>
      <c r="H77" s="18">
        <v>45658</v>
      </c>
      <c r="I77" s="13" t="s">
        <v>468</v>
      </c>
      <c r="J77" s="18">
        <v>45658</v>
      </c>
      <c r="K77" s="18">
        <v>46387</v>
      </c>
      <c r="L77" s="19" t="s">
        <v>54</v>
      </c>
      <c r="M77" s="19" t="s">
        <v>469</v>
      </c>
      <c r="N77" s="13" t="s">
        <v>94</v>
      </c>
      <c r="O77" s="13" t="s">
        <v>350</v>
      </c>
      <c r="P77" s="13" t="s">
        <v>351</v>
      </c>
      <c r="Q77" s="16">
        <v>1018845</v>
      </c>
      <c r="R77" s="16" t="s">
        <v>470</v>
      </c>
      <c r="S77" s="16" t="s">
        <v>470</v>
      </c>
      <c r="T77" s="13" t="s">
        <v>471</v>
      </c>
      <c r="U77" s="20" t="s">
        <v>472</v>
      </c>
      <c r="V77" s="20" t="s">
        <v>391</v>
      </c>
      <c r="W77" s="13"/>
      <c r="X77" s="13" t="s">
        <v>473</v>
      </c>
      <c r="Y77" s="13" t="s">
        <v>474</v>
      </c>
      <c r="Z77" s="13"/>
      <c r="AA77" s="13"/>
      <c r="AB77" s="16" t="str">
        <f t="shared" si="1"/>
        <v>Completed</v>
      </c>
      <c r="AC77" s="18">
        <v>45988</v>
      </c>
      <c r="AD77" s="18">
        <v>45993</v>
      </c>
      <c r="AE77" s="18">
        <v>45993</v>
      </c>
      <c r="AF77" s="15"/>
      <c r="AG77" s="18">
        <v>45996</v>
      </c>
      <c r="AH77" s="15"/>
      <c r="AI77" s="18">
        <v>45996</v>
      </c>
      <c r="AJ77" s="21"/>
      <c r="AK77" s="22"/>
      <c r="AL77" s="22"/>
    </row>
    <row r="78" spans="1:38" ht="18" customHeight="1">
      <c r="A78" s="13" t="s">
        <v>344</v>
      </c>
      <c r="B78" s="13" t="s">
        <v>475</v>
      </c>
      <c r="C78" s="14" t="s">
        <v>346</v>
      </c>
      <c r="D78" s="15" t="s">
        <v>476</v>
      </c>
      <c r="E78" s="16" t="s">
        <v>356</v>
      </c>
      <c r="F78" s="17" t="s">
        <v>477</v>
      </c>
      <c r="G78" s="16">
        <v>0</v>
      </c>
      <c r="H78" s="18">
        <v>45701</v>
      </c>
      <c r="I78" s="13" t="s">
        <v>478</v>
      </c>
      <c r="J78" s="18">
        <v>45701</v>
      </c>
      <c r="K78" s="18">
        <v>47527</v>
      </c>
      <c r="L78" s="19" t="s">
        <v>54</v>
      </c>
      <c r="M78" s="19" t="s">
        <v>479</v>
      </c>
      <c r="N78" s="13" t="s">
        <v>94</v>
      </c>
      <c r="O78" s="13" t="s">
        <v>350</v>
      </c>
      <c r="P78" s="13" t="s">
        <v>351</v>
      </c>
      <c r="Q78" s="16">
        <v>1018845</v>
      </c>
      <c r="R78" s="16" t="s">
        <v>405</v>
      </c>
      <c r="S78" s="16" t="s">
        <v>405</v>
      </c>
      <c r="T78" s="13" t="s">
        <v>480</v>
      </c>
      <c r="U78" s="13" t="s">
        <v>481</v>
      </c>
      <c r="V78" s="20" t="s">
        <v>482</v>
      </c>
      <c r="W78" s="13"/>
      <c r="X78" s="13" t="s">
        <v>483</v>
      </c>
      <c r="Y78" s="13" t="s">
        <v>484</v>
      </c>
      <c r="Z78" s="13"/>
      <c r="AA78" s="13"/>
      <c r="AB78" s="16" t="str">
        <f t="shared" si="1"/>
        <v>Completed</v>
      </c>
      <c r="AC78" s="18">
        <v>45988</v>
      </c>
      <c r="AD78" s="18">
        <v>45993</v>
      </c>
      <c r="AE78" s="18">
        <v>45993</v>
      </c>
      <c r="AF78" s="15"/>
      <c r="AG78" s="18">
        <v>45996</v>
      </c>
      <c r="AH78" s="15"/>
      <c r="AI78" s="18">
        <v>45996</v>
      </c>
      <c r="AJ78" s="21"/>
      <c r="AK78" s="22"/>
      <c r="AL78" s="22"/>
    </row>
    <row r="79" spans="1:38" ht="18" customHeight="1">
      <c r="A79" s="13" t="s">
        <v>344</v>
      </c>
      <c r="B79" s="13" t="s">
        <v>485</v>
      </c>
      <c r="C79" s="14" t="s">
        <v>486</v>
      </c>
      <c r="D79" s="15" t="s">
        <v>487</v>
      </c>
      <c r="E79" s="16" t="s">
        <v>356</v>
      </c>
      <c r="F79" s="17" t="s">
        <v>38</v>
      </c>
      <c r="G79" s="16">
        <v>0</v>
      </c>
      <c r="H79" s="18">
        <v>45740</v>
      </c>
      <c r="I79" s="13" t="s">
        <v>488</v>
      </c>
      <c r="J79" s="18">
        <v>45740</v>
      </c>
      <c r="K79" s="18">
        <v>46469</v>
      </c>
      <c r="L79" s="37" t="s">
        <v>95</v>
      </c>
      <c r="M79" s="19" t="s">
        <v>134</v>
      </c>
      <c r="N79" s="13" t="s">
        <v>94</v>
      </c>
      <c r="O79" s="13" t="s">
        <v>350</v>
      </c>
      <c r="P79" s="13" t="s">
        <v>351</v>
      </c>
      <c r="Q79" s="16">
        <v>1018845</v>
      </c>
      <c r="R79" s="28" t="s">
        <v>489</v>
      </c>
      <c r="S79" s="28" t="s">
        <v>489</v>
      </c>
      <c r="T79" s="13" t="s">
        <v>490</v>
      </c>
      <c r="U79" s="20" t="s">
        <v>491</v>
      </c>
      <c r="V79" s="20" t="s">
        <v>137</v>
      </c>
      <c r="W79" s="13"/>
      <c r="X79" s="20" t="s">
        <v>492</v>
      </c>
      <c r="Y79" s="20" t="s">
        <v>493</v>
      </c>
      <c r="Z79" s="13"/>
      <c r="AA79" s="13" t="s">
        <v>494</v>
      </c>
      <c r="AB79" s="16" t="str">
        <f t="shared" si="1"/>
        <v>Completed</v>
      </c>
      <c r="AC79" s="18">
        <v>45988</v>
      </c>
      <c r="AD79" s="18">
        <v>45994</v>
      </c>
      <c r="AE79" s="18">
        <v>45995</v>
      </c>
      <c r="AF79" s="15"/>
      <c r="AG79" s="18">
        <v>45996</v>
      </c>
      <c r="AH79" s="15"/>
      <c r="AI79" s="18">
        <v>46001</v>
      </c>
      <c r="AJ79" s="21"/>
      <c r="AK79" s="22"/>
      <c r="AL79" s="22"/>
    </row>
    <row r="80" spans="1:38" ht="18" customHeight="1">
      <c r="A80" s="13" t="s">
        <v>344</v>
      </c>
      <c r="B80" s="13" t="s">
        <v>495</v>
      </c>
      <c r="C80" s="14" t="s">
        <v>486</v>
      </c>
      <c r="D80" s="15" t="s">
        <v>38</v>
      </c>
      <c r="E80" s="16" t="s">
        <v>356</v>
      </c>
      <c r="F80" s="17" t="s">
        <v>477</v>
      </c>
      <c r="G80" s="16">
        <v>1</v>
      </c>
      <c r="H80" s="18">
        <v>45749</v>
      </c>
      <c r="I80" s="13" t="s">
        <v>496</v>
      </c>
      <c r="J80" s="18">
        <v>45701</v>
      </c>
      <c r="K80" s="18">
        <v>47527</v>
      </c>
      <c r="L80" s="19" t="s">
        <v>54</v>
      </c>
      <c r="M80" s="37" t="s">
        <v>479</v>
      </c>
      <c r="N80" s="13" t="s">
        <v>117</v>
      </c>
      <c r="O80" s="13" t="s">
        <v>350</v>
      </c>
      <c r="P80" s="13" t="s">
        <v>351</v>
      </c>
      <c r="Q80" s="16">
        <v>1018845</v>
      </c>
      <c r="R80" s="16">
        <v>2932</v>
      </c>
      <c r="S80" s="16">
        <v>2932</v>
      </c>
      <c r="T80" s="13" t="s">
        <v>497</v>
      </c>
      <c r="U80" s="13" t="s">
        <v>481</v>
      </c>
      <c r="V80" s="20" t="s">
        <v>482</v>
      </c>
      <c r="W80" s="13"/>
      <c r="X80" s="20" t="s">
        <v>498</v>
      </c>
      <c r="Y80" s="13" t="s">
        <v>499</v>
      </c>
      <c r="Z80" s="13"/>
      <c r="AA80" s="13" t="s">
        <v>500</v>
      </c>
      <c r="AB80" s="16" t="str">
        <f t="shared" si="1"/>
        <v>Completed</v>
      </c>
      <c r="AC80" s="18">
        <v>45988</v>
      </c>
      <c r="AD80" s="18">
        <v>45994</v>
      </c>
      <c r="AE80" s="18">
        <v>45995</v>
      </c>
      <c r="AF80" s="15"/>
      <c r="AG80" s="18">
        <v>45996</v>
      </c>
      <c r="AH80" s="15"/>
      <c r="AI80" s="18">
        <v>46001</v>
      </c>
      <c r="AJ80" s="21"/>
      <c r="AK80" s="22"/>
      <c r="AL80" s="22"/>
    </row>
    <row r="81" spans="1:38" ht="18" customHeight="1">
      <c r="A81" s="13" t="s">
        <v>344</v>
      </c>
      <c r="B81" s="13" t="s">
        <v>501</v>
      </c>
      <c r="C81" s="14" t="s">
        <v>486</v>
      </c>
      <c r="D81" s="15" t="s">
        <v>502</v>
      </c>
      <c r="E81" s="16" t="s">
        <v>356</v>
      </c>
      <c r="F81" s="17">
        <v>661394</v>
      </c>
      <c r="G81" s="16">
        <v>0</v>
      </c>
      <c r="H81" s="18">
        <v>45791</v>
      </c>
      <c r="I81" s="13" t="s">
        <v>94</v>
      </c>
      <c r="J81" s="18">
        <v>45791</v>
      </c>
      <c r="K81" s="18">
        <v>46904</v>
      </c>
      <c r="L81" s="19" t="s">
        <v>54</v>
      </c>
      <c r="M81" s="19" t="s">
        <v>503</v>
      </c>
      <c r="N81" s="13" t="s">
        <v>94</v>
      </c>
      <c r="O81" s="13" t="s">
        <v>350</v>
      </c>
      <c r="P81" s="13" t="s">
        <v>351</v>
      </c>
      <c r="Q81" s="16">
        <v>1018845</v>
      </c>
      <c r="R81" s="28" t="s">
        <v>504</v>
      </c>
      <c r="S81" s="28" t="s">
        <v>504</v>
      </c>
      <c r="T81" s="13" t="s">
        <v>505</v>
      </c>
      <c r="U81" s="20" t="s">
        <v>506</v>
      </c>
      <c r="V81" s="20" t="s">
        <v>316</v>
      </c>
      <c r="W81" s="13"/>
      <c r="X81" s="20" t="s">
        <v>507</v>
      </c>
      <c r="Y81" s="20" t="s">
        <v>508</v>
      </c>
      <c r="Z81" s="13"/>
      <c r="AA81" s="13" t="s">
        <v>509</v>
      </c>
      <c r="AB81" s="16" t="str">
        <f t="shared" si="1"/>
        <v>Completed</v>
      </c>
      <c r="AC81" s="18">
        <v>45988</v>
      </c>
      <c r="AD81" s="18">
        <v>45995</v>
      </c>
      <c r="AE81" s="18">
        <v>45995</v>
      </c>
      <c r="AF81" s="15"/>
      <c r="AG81" s="18">
        <v>45996</v>
      </c>
      <c r="AH81" s="15"/>
      <c r="AI81" s="18">
        <v>46001</v>
      </c>
      <c r="AJ81" s="21"/>
      <c r="AK81" s="22"/>
      <c r="AL81" s="22"/>
    </row>
    <row r="82" spans="1:38" ht="18" customHeight="1">
      <c r="A82" s="13" t="s">
        <v>344</v>
      </c>
      <c r="B82" s="13" t="s">
        <v>510</v>
      </c>
      <c r="C82" s="14" t="s">
        <v>486</v>
      </c>
      <c r="D82" s="15" t="s">
        <v>511</v>
      </c>
      <c r="E82" s="16" t="s">
        <v>356</v>
      </c>
      <c r="F82" s="17" t="s">
        <v>38</v>
      </c>
      <c r="G82" s="16">
        <v>0</v>
      </c>
      <c r="H82" s="18">
        <v>45845</v>
      </c>
      <c r="I82" s="13" t="s">
        <v>512</v>
      </c>
      <c r="J82" s="18">
        <v>45845</v>
      </c>
      <c r="K82" s="18">
        <v>46574</v>
      </c>
      <c r="L82" s="19" t="s">
        <v>322</v>
      </c>
      <c r="M82" s="19" t="s">
        <v>513</v>
      </c>
      <c r="N82" s="13" t="s">
        <v>94</v>
      </c>
      <c r="O82" s="13" t="s">
        <v>350</v>
      </c>
      <c r="P82" s="13" t="s">
        <v>351</v>
      </c>
      <c r="Q82" s="16">
        <v>1018845</v>
      </c>
      <c r="R82" s="28" t="s">
        <v>514</v>
      </c>
      <c r="S82" s="28" t="s">
        <v>514</v>
      </c>
      <c r="T82" s="13" t="s">
        <v>515</v>
      </c>
      <c r="U82" s="20" t="s">
        <v>516</v>
      </c>
      <c r="V82" s="20" t="s">
        <v>517</v>
      </c>
      <c r="W82" s="13"/>
      <c r="X82" s="20" t="s">
        <v>518</v>
      </c>
      <c r="Y82" s="13" t="s">
        <v>519</v>
      </c>
      <c r="Z82" s="13"/>
      <c r="AA82" s="20" t="s">
        <v>520</v>
      </c>
      <c r="AB82" s="16" t="str">
        <f t="shared" si="1"/>
        <v>Completed</v>
      </c>
      <c r="AC82" s="18">
        <v>45988</v>
      </c>
      <c r="AD82" s="18">
        <v>45995</v>
      </c>
      <c r="AE82" s="18">
        <v>45995</v>
      </c>
      <c r="AF82" s="15" t="s">
        <v>179</v>
      </c>
      <c r="AG82" s="18">
        <v>46007</v>
      </c>
      <c r="AH82" s="15" t="s">
        <v>179</v>
      </c>
      <c r="AI82" s="18">
        <v>46007</v>
      </c>
      <c r="AJ82" s="21"/>
      <c r="AK82" s="22"/>
      <c r="AL82" s="22"/>
    </row>
    <row r="83" spans="1:38" ht="18" customHeight="1">
      <c r="A83" s="13" t="s">
        <v>344</v>
      </c>
      <c r="B83" s="13" t="s">
        <v>521</v>
      </c>
      <c r="C83" s="14" t="s">
        <v>486</v>
      </c>
      <c r="D83" s="15" t="s">
        <v>522</v>
      </c>
      <c r="E83" s="18" t="s">
        <v>356</v>
      </c>
      <c r="F83" s="16" t="s">
        <v>356</v>
      </c>
      <c r="G83" s="16">
        <v>4</v>
      </c>
      <c r="H83" s="18">
        <v>45852</v>
      </c>
      <c r="I83" s="20" t="s">
        <v>523</v>
      </c>
      <c r="J83" s="18">
        <v>43060</v>
      </c>
      <c r="K83" s="18">
        <v>47087</v>
      </c>
      <c r="L83" s="19" t="s">
        <v>63</v>
      </c>
      <c r="M83" s="19" t="s">
        <v>38</v>
      </c>
      <c r="N83" s="13" t="s">
        <v>524</v>
      </c>
      <c r="O83" s="13" t="s">
        <v>350</v>
      </c>
      <c r="P83" s="13" t="s">
        <v>351</v>
      </c>
      <c r="Q83" s="16">
        <v>1018845</v>
      </c>
      <c r="R83" s="16" t="s">
        <v>38</v>
      </c>
      <c r="S83" s="16" t="s">
        <v>38</v>
      </c>
      <c r="T83" s="38" t="s">
        <v>521</v>
      </c>
      <c r="U83" s="13" t="s">
        <v>525</v>
      </c>
      <c r="V83" s="20" t="s">
        <v>360</v>
      </c>
      <c r="W83" s="13"/>
      <c r="X83" s="13" t="s">
        <v>38</v>
      </c>
      <c r="Y83" s="20" t="s">
        <v>361</v>
      </c>
      <c r="Z83" s="13"/>
      <c r="AA83" s="13"/>
      <c r="AB83" s="16" t="str">
        <f t="shared" si="1"/>
        <v>Completed</v>
      </c>
      <c r="AC83" s="18">
        <v>45988</v>
      </c>
      <c r="AD83" s="18">
        <v>45995</v>
      </c>
      <c r="AE83" s="18">
        <v>45995</v>
      </c>
      <c r="AF83" s="15"/>
      <c r="AG83" s="18">
        <v>45996</v>
      </c>
      <c r="AH83" s="15"/>
      <c r="AI83" s="18">
        <v>45996</v>
      </c>
      <c r="AJ83" s="21"/>
      <c r="AK83" s="22"/>
      <c r="AL83" s="22"/>
    </row>
    <row r="84" spans="1:38" ht="18" customHeight="1">
      <c r="A84" s="13" t="s">
        <v>344</v>
      </c>
      <c r="B84" s="13" t="s">
        <v>526</v>
      </c>
      <c r="C84" s="14" t="s">
        <v>486</v>
      </c>
      <c r="D84" s="15" t="s">
        <v>527</v>
      </c>
      <c r="E84" s="16" t="s">
        <v>356</v>
      </c>
      <c r="F84" s="14" t="s">
        <v>38</v>
      </c>
      <c r="G84" s="16">
        <v>0</v>
      </c>
      <c r="H84" s="18">
        <v>45866</v>
      </c>
      <c r="I84" s="13" t="s">
        <v>94</v>
      </c>
      <c r="J84" s="18">
        <v>45866</v>
      </c>
      <c r="K84" s="18">
        <v>46965</v>
      </c>
      <c r="L84" s="19" t="s">
        <v>54</v>
      </c>
      <c r="M84" s="19" t="s">
        <v>528</v>
      </c>
      <c r="N84" s="13" t="s">
        <v>94</v>
      </c>
      <c r="O84" s="13" t="s">
        <v>350</v>
      </c>
      <c r="P84" s="13" t="s">
        <v>351</v>
      </c>
      <c r="Q84" s="16">
        <v>1018845</v>
      </c>
      <c r="R84" s="28" t="s">
        <v>529</v>
      </c>
      <c r="S84" s="28" t="s">
        <v>529</v>
      </c>
      <c r="T84" s="13" t="s">
        <v>530</v>
      </c>
      <c r="U84" s="20" t="s">
        <v>531</v>
      </c>
      <c r="V84" s="20" t="s">
        <v>532</v>
      </c>
      <c r="W84" s="13"/>
      <c r="X84" s="13"/>
      <c r="Y84" s="39" t="s">
        <v>533</v>
      </c>
      <c r="Z84" s="13"/>
      <c r="AA84" s="13" t="s">
        <v>534</v>
      </c>
      <c r="AB84" s="16" t="str">
        <f t="shared" si="1"/>
        <v>Completed</v>
      </c>
      <c r="AC84" s="18">
        <v>45988</v>
      </c>
      <c r="AD84" s="18">
        <v>45995</v>
      </c>
      <c r="AE84" s="18">
        <v>45995</v>
      </c>
      <c r="AF84" s="15"/>
      <c r="AG84" s="18">
        <v>46000</v>
      </c>
      <c r="AH84" s="15" t="s">
        <v>179</v>
      </c>
      <c r="AI84" s="18">
        <v>46006</v>
      </c>
      <c r="AJ84" s="21"/>
      <c r="AK84" s="22"/>
      <c r="AL84" s="22"/>
    </row>
    <row r="85" spans="1:38" ht="18" customHeight="1">
      <c r="A85" s="13" t="s">
        <v>344</v>
      </c>
      <c r="B85" s="13" t="s">
        <v>535</v>
      </c>
      <c r="C85" s="14" t="s">
        <v>486</v>
      </c>
      <c r="D85" s="15" t="s">
        <v>536</v>
      </c>
      <c r="E85" s="16" t="s">
        <v>356</v>
      </c>
      <c r="F85" s="17">
        <v>616874</v>
      </c>
      <c r="G85" s="16">
        <v>4</v>
      </c>
      <c r="H85" s="18">
        <v>45906</v>
      </c>
      <c r="I85" s="13" t="s">
        <v>116</v>
      </c>
      <c r="J85" s="18">
        <v>44446</v>
      </c>
      <c r="K85" s="18">
        <v>45967</v>
      </c>
      <c r="L85" s="19" t="s">
        <v>95</v>
      </c>
      <c r="M85" s="19" t="s">
        <v>369</v>
      </c>
      <c r="N85" s="13" t="s">
        <v>537</v>
      </c>
      <c r="O85" s="13" t="s">
        <v>350</v>
      </c>
      <c r="P85" s="13" t="s">
        <v>351</v>
      </c>
      <c r="Q85" s="16">
        <v>1018845</v>
      </c>
      <c r="R85" s="16" t="s">
        <v>38</v>
      </c>
      <c r="S85" s="16" t="s">
        <v>38</v>
      </c>
      <c r="T85" s="13" t="s">
        <v>538</v>
      </c>
      <c r="U85" s="20" t="s">
        <v>371</v>
      </c>
      <c r="V85" s="20" t="s">
        <v>372</v>
      </c>
      <c r="W85" s="13"/>
      <c r="X85" s="13" t="s">
        <v>373</v>
      </c>
      <c r="Y85" s="20" t="s">
        <v>374</v>
      </c>
      <c r="Z85" s="13"/>
      <c r="AA85" s="13" t="s">
        <v>539</v>
      </c>
      <c r="AB85" s="16" t="str">
        <f t="shared" si="1"/>
        <v>Completed</v>
      </c>
      <c r="AC85" s="18">
        <v>45988</v>
      </c>
      <c r="AD85" s="18">
        <v>45995</v>
      </c>
      <c r="AE85" s="18">
        <v>45996</v>
      </c>
      <c r="AF85" s="15"/>
      <c r="AG85" s="18">
        <v>46000</v>
      </c>
      <c r="AH85" s="15"/>
      <c r="AI85" s="18">
        <v>46001</v>
      </c>
      <c r="AJ85" s="21"/>
      <c r="AK85" s="22"/>
      <c r="AL85" s="22"/>
    </row>
    <row r="86" spans="1:38" ht="18" customHeight="1">
      <c r="A86" s="13" t="s">
        <v>344</v>
      </c>
      <c r="B86" s="13" t="s">
        <v>540</v>
      </c>
      <c r="C86" s="14" t="s">
        <v>486</v>
      </c>
      <c r="D86" s="15" t="s">
        <v>502</v>
      </c>
      <c r="E86" s="16" t="s">
        <v>356</v>
      </c>
      <c r="F86" s="17">
        <v>661394</v>
      </c>
      <c r="G86" s="16">
        <v>1</v>
      </c>
      <c r="H86" s="18">
        <v>45947</v>
      </c>
      <c r="I86" s="13" t="s">
        <v>116</v>
      </c>
      <c r="J86" s="18">
        <v>45791</v>
      </c>
      <c r="K86" s="18">
        <v>46904</v>
      </c>
      <c r="L86" s="19" t="s">
        <v>54</v>
      </c>
      <c r="M86" s="19" t="s">
        <v>503</v>
      </c>
      <c r="N86" s="13" t="s">
        <v>537</v>
      </c>
      <c r="O86" s="13" t="s">
        <v>350</v>
      </c>
      <c r="P86" s="13" t="s">
        <v>351</v>
      </c>
      <c r="Q86" s="16">
        <v>1018845</v>
      </c>
      <c r="R86" s="28" t="s">
        <v>504</v>
      </c>
      <c r="S86" s="28" t="s">
        <v>504</v>
      </c>
      <c r="T86" s="13" t="s">
        <v>541</v>
      </c>
      <c r="U86" s="20" t="s">
        <v>506</v>
      </c>
      <c r="V86" s="20" t="s">
        <v>542</v>
      </c>
      <c r="W86" s="13"/>
      <c r="X86" s="20" t="s">
        <v>507</v>
      </c>
      <c r="Y86" s="20" t="s">
        <v>508</v>
      </c>
      <c r="Z86" s="13"/>
      <c r="AA86" s="13"/>
      <c r="AB86" s="16" t="str">
        <f t="shared" si="1"/>
        <v>Completed</v>
      </c>
      <c r="AC86" s="18">
        <v>45988</v>
      </c>
      <c r="AD86" s="18">
        <v>45996</v>
      </c>
      <c r="AE86" s="18">
        <v>45996</v>
      </c>
      <c r="AF86" s="15"/>
      <c r="AG86" s="18">
        <v>46000</v>
      </c>
      <c r="AH86" s="15"/>
      <c r="AI86" s="18">
        <v>46001</v>
      </c>
      <c r="AJ86" s="21"/>
      <c r="AK86" s="22"/>
      <c r="AL86" s="22"/>
    </row>
    <row r="87" spans="1:38" ht="18" customHeight="1">
      <c r="A87" s="13" t="s">
        <v>344</v>
      </c>
      <c r="B87" s="13" t="s">
        <v>543</v>
      </c>
      <c r="C87" s="14" t="s">
        <v>486</v>
      </c>
      <c r="D87" s="15" t="s">
        <v>38</v>
      </c>
      <c r="E87" s="16" t="s">
        <v>356</v>
      </c>
      <c r="F87" s="40">
        <v>662781</v>
      </c>
      <c r="G87" s="16">
        <v>0</v>
      </c>
      <c r="H87" s="18">
        <v>45870</v>
      </c>
      <c r="I87" s="13" t="s">
        <v>94</v>
      </c>
      <c r="J87" s="18">
        <v>45870</v>
      </c>
      <c r="K87" s="18">
        <v>46599</v>
      </c>
      <c r="L87" s="19" t="s">
        <v>42</v>
      </c>
      <c r="M87" s="19" t="s">
        <v>544</v>
      </c>
      <c r="N87" s="13" t="s">
        <v>94</v>
      </c>
      <c r="O87" s="13" t="s">
        <v>350</v>
      </c>
      <c r="P87" s="13" t="s">
        <v>351</v>
      </c>
      <c r="Q87" s="16">
        <v>1018845</v>
      </c>
      <c r="R87" s="41" t="s">
        <v>545</v>
      </c>
      <c r="S87" s="41" t="s">
        <v>545</v>
      </c>
      <c r="T87" s="42" t="s">
        <v>546</v>
      </c>
      <c r="U87" s="20" t="s">
        <v>547</v>
      </c>
      <c r="V87" s="20" t="s">
        <v>517</v>
      </c>
      <c r="W87" s="13"/>
      <c r="X87" s="20" t="s">
        <v>548</v>
      </c>
      <c r="Y87" s="20" t="s">
        <v>549</v>
      </c>
      <c r="Z87" s="13"/>
      <c r="AA87" s="13"/>
      <c r="AB87" s="16" t="str">
        <f t="shared" si="1"/>
        <v>Completed</v>
      </c>
      <c r="AC87" s="18">
        <v>45988</v>
      </c>
      <c r="AD87" s="18">
        <v>45996</v>
      </c>
      <c r="AE87" s="18">
        <v>45996</v>
      </c>
      <c r="AF87" s="15"/>
      <c r="AG87" s="18">
        <v>46000</v>
      </c>
      <c r="AH87" s="15"/>
      <c r="AI87" s="18">
        <v>46001</v>
      </c>
      <c r="AJ87" s="21"/>
      <c r="AK87" s="22"/>
      <c r="AL87" s="22"/>
    </row>
    <row r="88" spans="1:38" ht="18" customHeight="1">
      <c r="A88" s="13" t="s">
        <v>344</v>
      </c>
      <c r="B88" s="13" t="s">
        <v>550</v>
      </c>
      <c r="C88" s="14" t="s">
        <v>486</v>
      </c>
      <c r="D88" s="17">
        <v>239413</v>
      </c>
      <c r="E88" s="16" t="s">
        <v>356</v>
      </c>
      <c r="F88" s="17">
        <v>616874</v>
      </c>
      <c r="G88" s="16">
        <v>5</v>
      </c>
      <c r="H88" s="18">
        <v>45967</v>
      </c>
      <c r="I88" s="43" t="s">
        <v>551</v>
      </c>
      <c r="J88" s="18">
        <v>44446</v>
      </c>
      <c r="K88" s="18">
        <v>46028</v>
      </c>
      <c r="L88" s="19" t="s">
        <v>95</v>
      </c>
      <c r="M88" s="19" t="s">
        <v>369</v>
      </c>
      <c r="N88" s="13" t="s">
        <v>537</v>
      </c>
      <c r="O88" s="13" t="s">
        <v>350</v>
      </c>
      <c r="P88" s="13" t="s">
        <v>351</v>
      </c>
      <c r="Q88" s="16">
        <v>1018845</v>
      </c>
      <c r="R88" s="16" t="s">
        <v>38</v>
      </c>
      <c r="S88" s="16" t="s">
        <v>38</v>
      </c>
      <c r="T88" s="13" t="s">
        <v>552</v>
      </c>
      <c r="U88" s="20" t="s">
        <v>371</v>
      </c>
      <c r="V88" s="20" t="s">
        <v>372</v>
      </c>
      <c r="W88" s="13"/>
      <c r="X88" s="13" t="s">
        <v>373</v>
      </c>
      <c r="Y88" s="20" t="s">
        <v>374</v>
      </c>
      <c r="Z88" s="13"/>
      <c r="AA88" s="13"/>
      <c r="AB88" s="16" t="str">
        <f t="shared" si="1"/>
        <v>Completed</v>
      </c>
      <c r="AC88" s="18">
        <v>45988</v>
      </c>
      <c r="AD88" s="18">
        <v>45996</v>
      </c>
      <c r="AE88" s="18">
        <v>45996</v>
      </c>
      <c r="AF88" s="15"/>
      <c r="AG88" s="18">
        <v>46000</v>
      </c>
      <c r="AH88" s="15"/>
      <c r="AI88" s="18">
        <v>46001</v>
      </c>
      <c r="AJ88" s="21"/>
      <c r="AK88" s="22"/>
      <c r="AL88" s="22"/>
    </row>
    <row r="89" spans="1:38" ht="18" customHeight="1">
      <c r="A89" s="13" t="s">
        <v>344</v>
      </c>
      <c r="B89" s="13" t="s">
        <v>553</v>
      </c>
      <c r="C89" s="14" t="s">
        <v>486</v>
      </c>
      <c r="D89" s="15" t="s">
        <v>38</v>
      </c>
      <c r="E89" s="17" t="s">
        <v>554</v>
      </c>
      <c r="F89" s="17" t="s">
        <v>554</v>
      </c>
      <c r="G89" s="16">
        <v>0</v>
      </c>
      <c r="H89" s="18">
        <v>43466</v>
      </c>
      <c r="I89" s="13" t="s">
        <v>555</v>
      </c>
      <c r="J89" s="18">
        <v>43466</v>
      </c>
      <c r="K89" s="18">
        <v>45291</v>
      </c>
      <c r="L89" s="19" t="s">
        <v>63</v>
      </c>
      <c r="M89" s="19" t="s">
        <v>38</v>
      </c>
      <c r="N89" s="13" t="s">
        <v>555</v>
      </c>
      <c r="O89" s="13" t="s">
        <v>350</v>
      </c>
      <c r="P89" s="13" t="s">
        <v>556</v>
      </c>
      <c r="Q89" s="16">
        <v>1018845</v>
      </c>
      <c r="R89" s="16" t="s">
        <v>38</v>
      </c>
      <c r="S89" s="16" t="s">
        <v>38</v>
      </c>
      <c r="T89" s="13" t="s">
        <v>553</v>
      </c>
      <c r="U89" s="20" t="s">
        <v>557</v>
      </c>
      <c r="V89" s="20" t="s">
        <v>38</v>
      </c>
      <c r="W89" s="13"/>
      <c r="X89" s="13" t="s">
        <v>558</v>
      </c>
      <c r="Y89" s="13" t="s">
        <v>38</v>
      </c>
      <c r="Z89" s="13"/>
      <c r="AA89" s="13" t="s">
        <v>559</v>
      </c>
      <c r="AB89" s="16" t="str">
        <f t="shared" si="1"/>
        <v>Completed</v>
      </c>
      <c r="AC89" s="18">
        <v>45988</v>
      </c>
      <c r="AD89" s="18">
        <v>45994</v>
      </c>
      <c r="AE89" s="18">
        <v>45994</v>
      </c>
      <c r="AF89" s="15"/>
      <c r="AG89" s="18">
        <v>46000</v>
      </c>
      <c r="AH89" s="15" t="s">
        <v>179</v>
      </c>
      <c r="AI89" s="18">
        <v>46006</v>
      </c>
      <c r="AJ89" s="21"/>
      <c r="AK89" s="22"/>
      <c r="AL89" s="22"/>
    </row>
    <row r="90" spans="1:38" ht="18" customHeight="1">
      <c r="A90" s="13" t="s">
        <v>344</v>
      </c>
      <c r="B90" s="13" t="s">
        <v>560</v>
      </c>
      <c r="C90" s="14" t="s">
        <v>486</v>
      </c>
      <c r="D90" s="15" t="s">
        <v>38</v>
      </c>
      <c r="E90" s="16" t="s">
        <v>554</v>
      </c>
      <c r="F90" s="17" t="s">
        <v>554</v>
      </c>
      <c r="G90" s="16">
        <v>0</v>
      </c>
      <c r="H90" s="18">
        <v>44439</v>
      </c>
      <c r="I90" s="20" t="s">
        <v>561</v>
      </c>
      <c r="J90" s="18">
        <v>44074</v>
      </c>
      <c r="K90" s="18">
        <v>44803</v>
      </c>
      <c r="L90" s="19" t="s">
        <v>322</v>
      </c>
      <c r="M90" s="19" t="s">
        <v>38</v>
      </c>
      <c r="N90" s="13" t="s">
        <v>562</v>
      </c>
      <c r="O90" s="13" t="s">
        <v>350</v>
      </c>
      <c r="P90" s="13" t="s">
        <v>556</v>
      </c>
      <c r="Q90" s="16">
        <v>1018845</v>
      </c>
      <c r="R90" s="16" t="s">
        <v>38</v>
      </c>
      <c r="S90" s="16" t="s">
        <v>38</v>
      </c>
      <c r="T90" s="13" t="s">
        <v>563</v>
      </c>
      <c r="U90" s="20" t="s">
        <v>564</v>
      </c>
      <c r="V90" s="20" t="s">
        <v>38</v>
      </c>
      <c r="W90" s="13"/>
      <c r="X90" s="20" t="s">
        <v>565</v>
      </c>
      <c r="Y90" s="20" t="s">
        <v>566</v>
      </c>
      <c r="Z90" s="13"/>
      <c r="AA90" s="13"/>
      <c r="AB90" s="16" t="str">
        <f t="shared" si="1"/>
        <v>Completed</v>
      </c>
      <c r="AC90" s="18">
        <v>45988</v>
      </c>
      <c r="AD90" s="18">
        <v>45994</v>
      </c>
      <c r="AE90" s="18">
        <v>45994</v>
      </c>
      <c r="AF90" s="15"/>
      <c r="AG90" s="18">
        <v>46000</v>
      </c>
      <c r="AH90" s="15"/>
      <c r="AI90" s="18">
        <v>46001</v>
      </c>
      <c r="AJ90" s="21"/>
      <c r="AK90" s="22"/>
      <c r="AL90" s="22"/>
    </row>
    <row r="91" spans="1:38" ht="18" customHeight="1">
      <c r="A91" s="13" t="s">
        <v>344</v>
      </c>
      <c r="B91" s="13" t="s">
        <v>567</v>
      </c>
      <c r="C91" s="14" t="s">
        <v>486</v>
      </c>
      <c r="D91" s="15" t="s">
        <v>38</v>
      </c>
      <c r="E91" s="16" t="s">
        <v>554</v>
      </c>
      <c r="F91" s="16" t="s">
        <v>554</v>
      </c>
      <c r="G91" s="16">
        <v>1</v>
      </c>
      <c r="H91" s="18">
        <v>45006</v>
      </c>
      <c r="I91" s="13" t="s">
        <v>67</v>
      </c>
      <c r="J91" s="18">
        <v>43466</v>
      </c>
      <c r="K91" s="18">
        <v>45291</v>
      </c>
      <c r="L91" s="19" t="s">
        <v>63</v>
      </c>
      <c r="M91" s="19" t="s">
        <v>38</v>
      </c>
      <c r="N91" s="13" t="s">
        <v>568</v>
      </c>
      <c r="O91" s="13" t="s">
        <v>350</v>
      </c>
      <c r="P91" s="13" t="s">
        <v>556</v>
      </c>
      <c r="Q91" s="16">
        <v>1018845</v>
      </c>
      <c r="R91" s="16" t="s">
        <v>38</v>
      </c>
      <c r="S91" s="16" t="s">
        <v>38</v>
      </c>
      <c r="T91" s="13" t="s">
        <v>567</v>
      </c>
      <c r="U91" s="20" t="s">
        <v>557</v>
      </c>
      <c r="V91" s="20" t="s">
        <v>38</v>
      </c>
      <c r="W91" s="13"/>
      <c r="X91" s="13" t="s">
        <v>558</v>
      </c>
      <c r="Y91" s="13" t="s">
        <v>569</v>
      </c>
      <c r="Z91" s="13"/>
      <c r="AA91" s="13"/>
      <c r="AB91" s="16" t="str">
        <f t="shared" si="1"/>
        <v>Completed</v>
      </c>
      <c r="AC91" s="18">
        <v>45988</v>
      </c>
      <c r="AD91" s="18">
        <v>45994</v>
      </c>
      <c r="AE91" s="18">
        <v>45994</v>
      </c>
      <c r="AF91" s="15"/>
      <c r="AG91" s="18">
        <v>46000</v>
      </c>
      <c r="AH91" s="15" t="s">
        <v>179</v>
      </c>
      <c r="AI91" s="18">
        <v>46006</v>
      </c>
      <c r="AJ91" s="21"/>
      <c r="AK91" s="22"/>
      <c r="AL91" s="22"/>
    </row>
    <row r="92" spans="1:38" ht="18" customHeight="1">
      <c r="A92" s="13" t="s">
        <v>344</v>
      </c>
      <c r="B92" s="13" t="s">
        <v>570</v>
      </c>
      <c r="C92" s="14" t="s">
        <v>486</v>
      </c>
      <c r="D92" s="15" t="s">
        <v>571</v>
      </c>
      <c r="E92" s="16" t="s">
        <v>554</v>
      </c>
      <c r="F92" s="17" t="s">
        <v>38</v>
      </c>
      <c r="G92" s="16">
        <v>2</v>
      </c>
      <c r="H92" s="18">
        <v>45222</v>
      </c>
      <c r="I92" s="13" t="s">
        <v>572</v>
      </c>
      <c r="J92" s="18">
        <v>43466</v>
      </c>
      <c r="K92" s="18">
        <v>46387</v>
      </c>
      <c r="L92" s="19" t="s">
        <v>63</v>
      </c>
      <c r="M92" s="19" t="s">
        <v>38</v>
      </c>
      <c r="N92" s="13" t="s">
        <v>562</v>
      </c>
      <c r="O92" s="13" t="s">
        <v>350</v>
      </c>
      <c r="P92" s="13" t="s">
        <v>556</v>
      </c>
      <c r="Q92" s="16">
        <v>1018845</v>
      </c>
      <c r="R92" s="16" t="s">
        <v>38</v>
      </c>
      <c r="S92" s="16" t="s">
        <v>38</v>
      </c>
      <c r="T92" s="13" t="s">
        <v>573</v>
      </c>
      <c r="U92" s="20" t="s">
        <v>557</v>
      </c>
      <c r="V92" s="20" t="s">
        <v>38</v>
      </c>
      <c r="W92" s="13"/>
      <c r="X92" s="13" t="s">
        <v>558</v>
      </c>
      <c r="Y92" s="13" t="s">
        <v>569</v>
      </c>
      <c r="Z92" s="13"/>
      <c r="AA92" s="13"/>
      <c r="AB92" s="16" t="str">
        <f t="shared" si="1"/>
        <v>Completed</v>
      </c>
      <c r="AC92" s="18">
        <v>45988</v>
      </c>
      <c r="AD92" s="18">
        <v>45994</v>
      </c>
      <c r="AE92" s="18">
        <v>45994</v>
      </c>
      <c r="AF92" s="15"/>
      <c r="AG92" s="18">
        <v>46000</v>
      </c>
      <c r="AH92" s="15" t="s">
        <v>179</v>
      </c>
      <c r="AI92" s="18">
        <v>46006</v>
      </c>
      <c r="AJ92" s="21"/>
      <c r="AK92" s="22"/>
      <c r="AL92" s="22"/>
    </row>
    <row r="93" spans="1:38" ht="18" customHeight="1">
      <c r="A93" s="13" t="s">
        <v>344</v>
      </c>
      <c r="B93" s="13" t="s">
        <v>574</v>
      </c>
      <c r="C93" s="14" t="s">
        <v>486</v>
      </c>
      <c r="D93" s="15" t="s">
        <v>38</v>
      </c>
      <c r="E93" s="16"/>
      <c r="F93" s="15">
        <v>20655</v>
      </c>
      <c r="G93" s="16">
        <v>0</v>
      </c>
      <c r="H93" s="18">
        <v>44228</v>
      </c>
      <c r="I93" s="13" t="s">
        <v>575</v>
      </c>
      <c r="J93" s="18">
        <v>44624</v>
      </c>
      <c r="K93" s="18">
        <v>45719</v>
      </c>
      <c r="L93" s="19" t="s">
        <v>54</v>
      </c>
      <c r="M93" s="19" t="s">
        <v>576</v>
      </c>
      <c r="N93" s="13" t="s">
        <v>577</v>
      </c>
      <c r="O93" s="13" t="s">
        <v>578</v>
      </c>
      <c r="P93" s="13" t="s">
        <v>556</v>
      </c>
      <c r="Q93" s="16">
        <v>1018845</v>
      </c>
      <c r="R93" s="16" t="s">
        <v>38</v>
      </c>
      <c r="S93" s="16" t="s">
        <v>38</v>
      </c>
      <c r="T93" s="13" t="s">
        <v>574</v>
      </c>
      <c r="U93" s="13" t="s">
        <v>579</v>
      </c>
      <c r="V93" s="20" t="s">
        <v>532</v>
      </c>
      <c r="W93" s="13"/>
      <c r="X93" s="20" t="s">
        <v>580</v>
      </c>
      <c r="Y93" s="13" t="s">
        <v>581</v>
      </c>
      <c r="Z93" s="13"/>
      <c r="AA93" s="13" t="s">
        <v>582</v>
      </c>
      <c r="AB93" s="16" t="str">
        <f t="shared" si="1"/>
        <v>Completed</v>
      </c>
      <c r="AC93" s="18">
        <v>45988</v>
      </c>
      <c r="AD93" s="18">
        <v>45993</v>
      </c>
      <c r="AE93" s="18">
        <v>45994</v>
      </c>
      <c r="AF93" s="15"/>
      <c r="AG93" s="18">
        <v>45995</v>
      </c>
      <c r="AH93" s="15" t="s">
        <v>179</v>
      </c>
      <c r="AI93" s="18">
        <v>46007</v>
      </c>
      <c r="AJ93" s="21"/>
      <c r="AK93" s="22"/>
      <c r="AL93" s="22"/>
    </row>
    <row r="94" spans="1:38" ht="18" customHeight="1">
      <c r="A94" s="13" t="s">
        <v>344</v>
      </c>
      <c r="B94" s="13" t="s">
        <v>583</v>
      </c>
      <c r="C94" s="14" t="s">
        <v>486</v>
      </c>
      <c r="D94" s="15" t="s">
        <v>38</v>
      </c>
      <c r="E94" s="16"/>
      <c r="F94" s="15">
        <v>20655</v>
      </c>
      <c r="G94" s="16">
        <v>1</v>
      </c>
      <c r="H94" s="18">
        <v>44691</v>
      </c>
      <c r="I94" s="13" t="s">
        <v>584</v>
      </c>
      <c r="J94" s="18">
        <v>44624</v>
      </c>
      <c r="K94" s="18">
        <v>45719</v>
      </c>
      <c r="L94" s="19" t="s">
        <v>54</v>
      </c>
      <c r="M94" s="19" t="s">
        <v>576</v>
      </c>
      <c r="N94" s="13" t="s">
        <v>585</v>
      </c>
      <c r="O94" s="13" t="s">
        <v>350</v>
      </c>
      <c r="P94" s="13" t="s">
        <v>556</v>
      </c>
      <c r="Q94" s="16">
        <v>1018845</v>
      </c>
      <c r="R94" s="16" t="s">
        <v>38</v>
      </c>
      <c r="S94" s="16" t="s">
        <v>38</v>
      </c>
      <c r="T94" s="13" t="s">
        <v>586</v>
      </c>
      <c r="U94" s="20" t="s">
        <v>587</v>
      </c>
      <c r="V94" s="20" t="s">
        <v>532</v>
      </c>
      <c r="W94" s="13"/>
      <c r="X94" s="20" t="s">
        <v>588</v>
      </c>
      <c r="Y94" s="13" t="s">
        <v>589</v>
      </c>
      <c r="Z94" s="13"/>
      <c r="AA94" s="13" t="s">
        <v>582</v>
      </c>
      <c r="AB94" s="16" t="str">
        <f t="shared" si="1"/>
        <v>Completed</v>
      </c>
      <c r="AC94" s="18">
        <v>45988</v>
      </c>
      <c r="AD94" s="18">
        <v>45993</v>
      </c>
      <c r="AE94" s="18">
        <v>45994</v>
      </c>
      <c r="AF94" s="15"/>
      <c r="AG94" s="18">
        <v>45995</v>
      </c>
      <c r="AH94" s="15" t="s">
        <v>179</v>
      </c>
      <c r="AI94" s="18">
        <v>46007</v>
      </c>
      <c r="AJ94" s="21"/>
      <c r="AK94" s="22"/>
      <c r="AL94" s="22"/>
    </row>
    <row r="95" spans="1:38" ht="18" customHeight="1">
      <c r="A95" s="13" t="s">
        <v>344</v>
      </c>
      <c r="B95" s="13" t="s">
        <v>590</v>
      </c>
      <c r="C95" s="14" t="s">
        <v>486</v>
      </c>
      <c r="D95" s="15" t="s">
        <v>38</v>
      </c>
      <c r="E95" s="16"/>
      <c r="F95" s="15">
        <v>20655</v>
      </c>
      <c r="G95" s="16">
        <v>2</v>
      </c>
      <c r="H95" s="18">
        <v>44818</v>
      </c>
      <c r="I95" s="13" t="s">
        <v>591</v>
      </c>
      <c r="J95" s="18">
        <v>44624</v>
      </c>
      <c r="K95" s="18">
        <v>45719</v>
      </c>
      <c r="L95" s="19" t="s">
        <v>54</v>
      </c>
      <c r="M95" s="19" t="s">
        <v>576</v>
      </c>
      <c r="N95" s="20" t="s">
        <v>592</v>
      </c>
      <c r="O95" s="13" t="s">
        <v>350</v>
      </c>
      <c r="P95" s="13" t="s">
        <v>556</v>
      </c>
      <c r="Q95" s="16">
        <v>1018845</v>
      </c>
      <c r="R95" s="16" t="s">
        <v>38</v>
      </c>
      <c r="S95" s="16" t="s">
        <v>38</v>
      </c>
      <c r="T95" s="13" t="s">
        <v>593</v>
      </c>
      <c r="U95" s="13" t="s">
        <v>587</v>
      </c>
      <c r="V95" s="20" t="s">
        <v>594</v>
      </c>
      <c r="W95" s="13"/>
      <c r="X95" s="13" t="s">
        <v>595</v>
      </c>
      <c r="Y95" s="13" t="s">
        <v>596</v>
      </c>
      <c r="Z95" s="13"/>
      <c r="AA95" s="13" t="s">
        <v>582</v>
      </c>
      <c r="AB95" s="16" t="str">
        <f t="shared" si="1"/>
        <v>Completed</v>
      </c>
      <c r="AC95" s="18">
        <v>45988</v>
      </c>
      <c r="AD95" s="18">
        <v>45993</v>
      </c>
      <c r="AE95" s="18">
        <v>45994</v>
      </c>
      <c r="AF95" s="15"/>
      <c r="AG95" s="18">
        <v>45995</v>
      </c>
      <c r="AH95" s="15" t="s">
        <v>179</v>
      </c>
      <c r="AI95" s="18">
        <v>46007</v>
      </c>
      <c r="AJ95" s="21"/>
      <c r="AK95" s="22"/>
      <c r="AL95" s="22"/>
    </row>
    <row r="96" spans="1:38" ht="18" customHeight="1">
      <c r="A96" s="13" t="s">
        <v>344</v>
      </c>
      <c r="B96" s="13" t="s">
        <v>597</v>
      </c>
      <c r="C96" s="14" t="s">
        <v>486</v>
      </c>
      <c r="D96" s="15" t="s">
        <v>38</v>
      </c>
      <c r="E96" s="16"/>
      <c r="F96" s="15">
        <v>20655</v>
      </c>
      <c r="G96" s="16">
        <v>3</v>
      </c>
      <c r="H96" s="18">
        <v>44832</v>
      </c>
      <c r="I96" s="13" t="s">
        <v>598</v>
      </c>
      <c r="J96" s="18">
        <v>44624</v>
      </c>
      <c r="K96" s="18">
        <v>45719</v>
      </c>
      <c r="L96" s="19" t="s">
        <v>54</v>
      </c>
      <c r="M96" s="19" t="s">
        <v>576</v>
      </c>
      <c r="N96" s="20" t="s">
        <v>592</v>
      </c>
      <c r="O96" s="13" t="s">
        <v>350</v>
      </c>
      <c r="P96" s="13" t="s">
        <v>556</v>
      </c>
      <c r="Q96" s="16">
        <v>1018845</v>
      </c>
      <c r="R96" s="16" t="s">
        <v>38</v>
      </c>
      <c r="S96" s="16" t="s">
        <v>38</v>
      </c>
      <c r="T96" s="13" t="s">
        <v>599</v>
      </c>
      <c r="U96" s="13" t="s">
        <v>587</v>
      </c>
      <c r="V96" s="20" t="s">
        <v>600</v>
      </c>
      <c r="W96" s="13"/>
      <c r="X96" s="13" t="s">
        <v>595</v>
      </c>
      <c r="Y96" s="13" t="s">
        <v>596</v>
      </c>
      <c r="Z96" s="13"/>
      <c r="AA96" s="13" t="s">
        <v>582</v>
      </c>
      <c r="AB96" s="16" t="str">
        <f t="shared" si="1"/>
        <v>Completed</v>
      </c>
      <c r="AC96" s="18">
        <v>45988</v>
      </c>
      <c r="AD96" s="18">
        <v>45993</v>
      </c>
      <c r="AE96" s="18">
        <v>45994</v>
      </c>
      <c r="AF96" s="15"/>
      <c r="AG96" s="18">
        <v>45995</v>
      </c>
      <c r="AH96" s="15" t="s">
        <v>179</v>
      </c>
      <c r="AI96" s="18">
        <v>46007</v>
      </c>
      <c r="AJ96" s="21"/>
      <c r="AK96" s="22"/>
      <c r="AL96" s="22"/>
    </row>
    <row r="97" spans="1:38" ht="18" customHeight="1">
      <c r="A97" s="13" t="s">
        <v>344</v>
      </c>
      <c r="B97" s="13" t="s">
        <v>601</v>
      </c>
      <c r="C97" s="14" t="s">
        <v>486</v>
      </c>
      <c r="D97" s="15" t="s">
        <v>38</v>
      </c>
      <c r="E97" s="16"/>
      <c r="F97" s="15">
        <v>20655</v>
      </c>
      <c r="G97" s="16">
        <v>4</v>
      </c>
      <c r="H97" s="18">
        <v>45189</v>
      </c>
      <c r="I97" s="13" t="s">
        <v>602</v>
      </c>
      <c r="J97" s="18">
        <v>44624</v>
      </c>
      <c r="K97" s="18">
        <v>45719</v>
      </c>
      <c r="L97" s="19" t="s">
        <v>54</v>
      </c>
      <c r="M97" s="19" t="s">
        <v>576</v>
      </c>
      <c r="N97" s="20" t="s">
        <v>592</v>
      </c>
      <c r="O97" s="13" t="s">
        <v>350</v>
      </c>
      <c r="P97" s="13" t="s">
        <v>556</v>
      </c>
      <c r="Q97" s="16">
        <v>1018845</v>
      </c>
      <c r="R97" s="16" t="s">
        <v>38</v>
      </c>
      <c r="S97" s="16" t="s">
        <v>38</v>
      </c>
      <c r="T97" s="13" t="s">
        <v>603</v>
      </c>
      <c r="U97" s="13" t="s">
        <v>587</v>
      </c>
      <c r="V97" s="20" t="s">
        <v>594</v>
      </c>
      <c r="W97" s="13"/>
      <c r="X97" s="13" t="s">
        <v>595</v>
      </c>
      <c r="Y97" s="13" t="s">
        <v>596</v>
      </c>
      <c r="Z97" s="13"/>
      <c r="AA97" s="13" t="s">
        <v>582</v>
      </c>
      <c r="AB97" s="16" t="str">
        <f t="shared" si="1"/>
        <v>Completed</v>
      </c>
      <c r="AC97" s="18">
        <v>45988</v>
      </c>
      <c r="AD97" s="18">
        <v>45993</v>
      </c>
      <c r="AE97" s="18">
        <v>45994</v>
      </c>
      <c r="AF97" s="15"/>
      <c r="AG97" s="18">
        <v>45995</v>
      </c>
      <c r="AH97" s="15" t="s">
        <v>179</v>
      </c>
      <c r="AI97" s="18">
        <v>46007</v>
      </c>
      <c r="AJ97" s="21"/>
      <c r="AK97" s="22"/>
      <c r="AL97" s="22"/>
    </row>
    <row r="98" spans="1:38" ht="18" customHeight="1">
      <c r="A98" s="13" t="s">
        <v>344</v>
      </c>
      <c r="B98" s="13" t="s">
        <v>604</v>
      </c>
      <c r="C98" s="14" t="s">
        <v>486</v>
      </c>
      <c r="D98" s="15" t="s">
        <v>38</v>
      </c>
      <c r="E98" s="16"/>
      <c r="F98" s="15">
        <v>20655</v>
      </c>
      <c r="G98" s="16">
        <v>5</v>
      </c>
      <c r="H98" s="18">
        <v>45395</v>
      </c>
      <c r="I98" s="13" t="s">
        <v>605</v>
      </c>
      <c r="J98" s="18">
        <v>44624</v>
      </c>
      <c r="K98" s="18">
        <v>45774</v>
      </c>
      <c r="L98" s="19" t="s">
        <v>54</v>
      </c>
      <c r="M98" s="19" t="s">
        <v>576</v>
      </c>
      <c r="N98" s="20" t="s">
        <v>592</v>
      </c>
      <c r="O98" s="13" t="s">
        <v>350</v>
      </c>
      <c r="P98" s="13" t="s">
        <v>556</v>
      </c>
      <c r="Q98" s="16">
        <v>1018845</v>
      </c>
      <c r="R98" s="16" t="s">
        <v>38</v>
      </c>
      <c r="S98" s="16" t="s">
        <v>38</v>
      </c>
      <c r="T98" s="13" t="s">
        <v>606</v>
      </c>
      <c r="U98" s="13" t="s">
        <v>587</v>
      </c>
      <c r="V98" s="20" t="s">
        <v>594</v>
      </c>
      <c r="W98" s="13"/>
      <c r="X98" s="13" t="s">
        <v>595</v>
      </c>
      <c r="Y98" s="13" t="s">
        <v>596</v>
      </c>
      <c r="Z98" s="13"/>
      <c r="AA98" s="13" t="s">
        <v>582</v>
      </c>
      <c r="AB98" s="16" t="str">
        <f t="shared" si="1"/>
        <v>Completed</v>
      </c>
      <c r="AC98" s="18">
        <v>45988</v>
      </c>
      <c r="AD98" s="18">
        <v>45993</v>
      </c>
      <c r="AE98" s="18">
        <v>45994</v>
      </c>
      <c r="AF98" s="15"/>
      <c r="AG98" s="18">
        <v>45995</v>
      </c>
      <c r="AH98" s="15" t="s">
        <v>179</v>
      </c>
      <c r="AI98" s="18">
        <v>46007</v>
      </c>
      <c r="AJ98" s="21"/>
      <c r="AK98" s="22"/>
      <c r="AL98" s="22"/>
    </row>
    <row r="99" spans="1:38" ht="18" customHeight="1">
      <c r="A99" s="13" t="s">
        <v>344</v>
      </c>
      <c r="B99" s="13" t="s">
        <v>607</v>
      </c>
      <c r="C99" s="14" t="s">
        <v>486</v>
      </c>
      <c r="D99" s="15" t="s">
        <v>38</v>
      </c>
      <c r="E99" s="16"/>
      <c r="F99" s="15">
        <v>20655</v>
      </c>
      <c r="G99" s="16">
        <v>6</v>
      </c>
      <c r="H99" s="18">
        <v>45694</v>
      </c>
      <c r="I99" s="13" t="s">
        <v>608</v>
      </c>
      <c r="J99" s="18">
        <v>44624</v>
      </c>
      <c r="K99" s="18">
        <v>46873</v>
      </c>
      <c r="L99" s="19" t="s">
        <v>54</v>
      </c>
      <c r="M99" s="19" t="s">
        <v>576</v>
      </c>
      <c r="N99" s="13" t="s">
        <v>585</v>
      </c>
      <c r="O99" s="13" t="s">
        <v>350</v>
      </c>
      <c r="P99" s="13" t="s">
        <v>556</v>
      </c>
      <c r="Q99" s="16">
        <v>1018845</v>
      </c>
      <c r="R99" s="16" t="s">
        <v>38</v>
      </c>
      <c r="S99" s="16" t="s">
        <v>38</v>
      </c>
      <c r="T99" s="13" t="s">
        <v>609</v>
      </c>
      <c r="U99" s="13" t="s">
        <v>587</v>
      </c>
      <c r="V99" s="20" t="s">
        <v>610</v>
      </c>
      <c r="W99" s="13"/>
      <c r="X99" s="20" t="s">
        <v>611</v>
      </c>
      <c r="Y99" s="13" t="s">
        <v>612</v>
      </c>
      <c r="Z99" s="13"/>
      <c r="AA99" s="13" t="s">
        <v>582</v>
      </c>
      <c r="AB99" s="16" t="str">
        <f t="shared" si="1"/>
        <v>Completed</v>
      </c>
      <c r="AC99" s="18">
        <v>45988</v>
      </c>
      <c r="AD99" s="18">
        <v>45993</v>
      </c>
      <c r="AE99" s="18">
        <v>45994</v>
      </c>
      <c r="AF99" s="15"/>
      <c r="AG99" s="18">
        <v>45995</v>
      </c>
      <c r="AH99" s="15" t="s">
        <v>179</v>
      </c>
      <c r="AI99" s="18">
        <v>46007</v>
      </c>
      <c r="AJ99" s="21"/>
      <c r="AK99" s="22"/>
      <c r="AL99" s="22"/>
    </row>
    <row r="100" spans="1:38" ht="18" customHeight="1">
      <c r="A100" s="13" t="s">
        <v>344</v>
      </c>
      <c r="B100" s="13" t="s">
        <v>613</v>
      </c>
      <c r="C100" s="14" t="s">
        <v>486</v>
      </c>
      <c r="D100" s="15" t="s">
        <v>38</v>
      </c>
      <c r="E100" s="17" t="s">
        <v>614</v>
      </c>
      <c r="F100" s="17" t="s">
        <v>614</v>
      </c>
      <c r="G100" s="16">
        <v>0</v>
      </c>
      <c r="H100" s="18">
        <v>44796</v>
      </c>
      <c r="I100" s="13" t="s">
        <v>62</v>
      </c>
      <c r="J100" s="18">
        <v>44796</v>
      </c>
      <c r="K100" s="18">
        <v>46621</v>
      </c>
      <c r="L100" s="34" t="s">
        <v>63</v>
      </c>
      <c r="M100" s="19" t="s">
        <v>38</v>
      </c>
      <c r="N100" s="13" t="s">
        <v>62</v>
      </c>
      <c r="O100" s="13" t="s">
        <v>350</v>
      </c>
      <c r="P100" s="13" t="s">
        <v>556</v>
      </c>
      <c r="Q100" s="16">
        <v>1018845</v>
      </c>
      <c r="R100" s="16" t="s">
        <v>38</v>
      </c>
      <c r="S100" s="16" t="s">
        <v>38</v>
      </c>
      <c r="T100" s="13" t="s">
        <v>615</v>
      </c>
      <c r="U100" s="13" t="s">
        <v>350</v>
      </c>
      <c r="V100" s="20" t="s">
        <v>38</v>
      </c>
      <c r="W100" s="13"/>
      <c r="X100" s="13" t="s">
        <v>38</v>
      </c>
      <c r="Y100" s="13" t="s">
        <v>38</v>
      </c>
      <c r="Z100" s="13"/>
      <c r="AA100" s="13" t="s">
        <v>616</v>
      </c>
      <c r="AB100" s="16" t="str">
        <f t="shared" si="1"/>
        <v>Completed</v>
      </c>
      <c r="AC100" s="18">
        <v>45988</v>
      </c>
      <c r="AD100" s="18">
        <v>45993</v>
      </c>
      <c r="AE100" s="18">
        <v>45994</v>
      </c>
      <c r="AF100" s="15"/>
      <c r="AG100" s="18">
        <v>45995</v>
      </c>
      <c r="AH100" s="15" t="s">
        <v>179</v>
      </c>
      <c r="AI100" s="18">
        <v>46007</v>
      </c>
      <c r="AJ100" s="21"/>
      <c r="AK100" s="22"/>
      <c r="AL100" s="22"/>
    </row>
    <row r="101" spans="1:38" ht="18" customHeight="1">
      <c r="A101" s="13" t="s">
        <v>344</v>
      </c>
      <c r="B101" s="13" t="s">
        <v>617</v>
      </c>
      <c r="C101" s="14" t="s">
        <v>486</v>
      </c>
      <c r="D101" s="15" t="s">
        <v>38</v>
      </c>
      <c r="E101" s="17" t="s">
        <v>614</v>
      </c>
      <c r="F101" s="17" t="s">
        <v>614</v>
      </c>
      <c r="G101" s="16">
        <v>1</v>
      </c>
      <c r="H101" s="18">
        <v>45006</v>
      </c>
      <c r="I101" s="13" t="s">
        <v>618</v>
      </c>
      <c r="J101" s="18">
        <v>44796</v>
      </c>
      <c r="K101" s="18">
        <v>46621</v>
      </c>
      <c r="L101" s="34" t="s">
        <v>63</v>
      </c>
      <c r="M101" s="34" t="s">
        <v>38</v>
      </c>
      <c r="N101" s="13" t="s">
        <v>619</v>
      </c>
      <c r="O101" s="13" t="s">
        <v>350</v>
      </c>
      <c r="P101" s="13" t="s">
        <v>556</v>
      </c>
      <c r="Q101" s="16">
        <v>1018845</v>
      </c>
      <c r="R101" s="16" t="s">
        <v>38</v>
      </c>
      <c r="S101" s="16" t="s">
        <v>38</v>
      </c>
      <c r="T101" s="13" t="s">
        <v>617</v>
      </c>
      <c r="U101" s="13" t="s">
        <v>350</v>
      </c>
      <c r="V101" s="20" t="s">
        <v>38</v>
      </c>
      <c r="W101" s="13"/>
      <c r="X101" s="13" t="s">
        <v>38</v>
      </c>
      <c r="Y101" s="13" t="s">
        <v>38</v>
      </c>
      <c r="Z101" s="13"/>
      <c r="AA101" s="13" t="s">
        <v>616</v>
      </c>
      <c r="AB101" s="16" t="str">
        <f t="shared" si="1"/>
        <v>Completed</v>
      </c>
      <c r="AC101" s="18">
        <v>45988</v>
      </c>
      <c r="AD101" s="18">
        <v>45993</v>
      </c>
      <c r="AE101" s="18">
        <v>45994</v>
      </c>
      <c r="AF101" s="15"/>
      <c r="AG101" s="18">
        <v>45995</v>
      </c>
      <c r="AH101" s="15" t="s">
        <v>179</v>
      </c>
      <c r="AI101" s="18">
        <v>46007</v>
      </c>
      <c r="AJ101" s="21"/>
      <c r="AK101" s="22"/>
      <c r="AL101" s="22"/>
    </row>
    <row r="102" spans="1:38" ht="18" customHeight="1">
      <c r="A102" s="13" t="s">
        <v>344</v>
      </c>
      <c r="B102" s="13" t="s">
        <v>620</v>
      </c>
      <c r="C102" s="14" t="s">
        <v>486</v>
      </c>
      <c r="D102" s="15">
        <v>190395</v>
      </c>
      <c r="E102" s="16"/>
      <c r="F102" s="17">
        <v>650868</v>
      </c>
      <c r="G102" s="16">
        <v>0</v>
      </c>
      <c r="H102" s="18">
        <v>45494</v>
      </c>
      <c r="I102" s="13" t="s">
        <v>621</v>
      </c>
      <c r="J102" s="18">
        <v>45494</v>
      </c>
      <c r="K102" s="18">
        <v>45930</v>
      </c>
      <c r="L102" s="19" t="s">
        <v>95</v>
      </c>
      <c r="M102" s="34" t="s">
        <v>157</v>
      </c>
      <c r="N102" s="13" t="s">
        <v>289</v>
      </c>
      <c r="O102" s="13" t="s">
        <v>350</v>
      </c>
      <c r="P102" s="13" t="s">
        <v>556</v>
      </c>
      <c r="Q102" s="16">
        <v>1018845</v>
      </c>
      <c r="R102" s="28" t="s">
        <v>622</v>
      </c>
      <c r="S102" s="28" t="s">
        <v>622</v>
      </c>
      <c r="T102" s="13" t="s">
        <v>623</v>
      </c>
      <c r="U102" s="20" t="s">
        <v>624</v>
      </c>
      <c r="V102" s="20" t="s">
        <v>625</v>
      </c>
      <c r="W102" s="13"/>
      <c r="X102" s="20" t="s">
        <v>626</v>
      </c>
      <c r="Y102" s="13" t="s">
        <v>627</v>
      </c>
      <c r="Z102" s="13"/>
      <c r="AA102" s="13"/>
      <c r="AB102" s="16" t="str">
        <f t="shared" si="1"/>
        <v>Completed</v>
      </c>
      <c r="AC102" s="18">
        <v>45988</v>
      </c>
      <c r="AD102" s="18">
        <v>45993</v>
      </c>
      <c r="AE102" s="18">
        <v>45994</v>
      </c>
      <c r="AF102" s="15"/>
      <c r="AG102" s="18">
        <v>45994</v>
      </c>
      <c r="AH102" s="15" t="s">
        <v>179</v>
      </c>
      <c r="AI102" s="18">
        <v>46007</v>
      </c>
      <c r="AJ102" s="21"/>
      <c r="AK102" s="22"/>
      <c r="AL102" s="22"/>
    </row>
    <row r="103" spans="1:38" ht="18" customHeight="1">
      <c r="A103" s="13" t="s">
        <v>344</v>
      </c>
      <c r="B103" s="13" t="s">
        <v>628</v>
      </c>
      <c r="C103" s="14" t="s">
        <v>486</v>
      </c>
      <c r="D103" s="15">
        <v>228240</v>
      </c>
      <c r="E103" s="16"/>
      <c r="F103" s="17" t="s">
        <v>629</v>
      </c>
      <c r="G103" s="16">
        <v>1</v>
      </c>
      <c r="H103" s="18">
        <v>45930</v>
      </c>
      <c r="I103" s="13" t="s">
        <v>630</v>
      </c>
      <c r="J103" s="18">
        <v>45494</v>
      </c>
      <c r="K103" s="18">
        <v>46295</v>
      </c>
      <c r="L103" s="19" t="s">
        <v>95</v>
      </c>
      <c r="M103" s="19" t="s">
        <v>631</v>
      </c>
      <c r="N103" s="13" t="s">
        <v>632</v>
      </c>
      <c r="O103" s="13" t="s">
        <v>350</v>
      </c>
      <c r="P103" s="13" t="s">
        <v>556</v>
      </c>
      <c r="Q103" s="16">
        <v>1018845</v>
      </c>
      <c r="R103" s="28" t="s">
        <v>622</v>
      </c>
      <c r="S103" s="28" t="s">
        <v>622</v>
      </c>
      <c r="T103" s="13" t="s">
        <v>633</v>
      </c>
      <c r="U103" s="13" t="s">
        <v>624</v>
      </c>
      <c r="V103" s="20" t="s">
        <v>625</v>
      </c>
      <c r="W103" s="13"/>
      <c r="X103" s="13" t="s">
        <v>634</v>
      </c>
      <c r="Y103" s="13" t="s">
        <v>627</v>
      </c>
      <c r="Z103" s="13"/>
      <c r="AA103" s="20" t="s">
        <v>635</v>
      </c>
      <c r="AB103" s="16" t="str">
        <f t="shared" si="1"/>
        <v>Completed</v>
      </c>
      <c r="AC103" s="18">
        <v>45988</v>
      </c>
      <c r="AD103" s="18">
        <v>45994</v>
      </c>
      <c r="AE103" s="18">
        <v>45994</v>
      </c>
      <c r="AF103" s="15"/>
      <c r="AG103" s="18">
        <v>45995</v>
      </c>
      <c r="AH103" s="15" t="s">
        <v>179</v>
      </c>
      <c r="AI103" s="18">
        <v>46007</v>
      </c>
      <c r="AJ103" s="21"/>
      <c r="AK103" s="22"/>
      <c r="AL103" s="22"/>
    </row>
    <row r="104" spans="1:38" ht="18" customHeight="1">
      <c r="A104" s="13" t="s">
        <v>344</v>
      </c>
      <c r="B104" s="13" t="s">
        <v>636</v>
      </c>
      <c r="C104" s="14" t="s">
        <v>486</v>
      </c>
      <c r="D104" s="15">
        <v>197138</v>
      </c>
      <c r="E104" s="16"/>
      <c r="F104" s="16" t="s">
        <v>637</v>
      </c>
      <c r="G104" s="16">
        <v>0</v>
      </c>
      <c r="H104" s="18">
        <v>45658</v>
      </c>
      <c r="I104" s="13" t="s">
        <v>638</v>
      </c>
      <c r="J104" s="18">
        <v>45658</v>
      </c>
      <c r="K104" s="18">
        <v>46752</v>
      </c>
      <c r="L104" s="19" t="s">
        <v>54</v>
      </c>
      <c r="M104" s="19" t="s">
        <v>639</v>
      </c>
      <c r="N104" s="13" t="s">
        <v>640</v>
      </c>
      <c r="O104" s="13" t="s">
        <v>350</v>
      </c>
      <c r="P104" s="13" t="s">
        <v>556</v>
      </c>
      <c r="Q104" s="16">
        <v>1018845</v>
      </c>
      <c r="R104" s="28" t="s">
        <v>641</v>
      </c>
      <c r="S104" s="28" t="s">
        <v>641</v>
      </c>
      <c r="T104" s="13" t="s">
        <v>642</v>
      </c>
      <c r="U104" s="20" t="s">
        <v>643</v>
      </c>
      <c r="V104" s="20" t="s">
        <v>532</v>
      </c>
      <c r="W104" s="13"/>
      <c r="X104" s="20" t="s">
        <v>644</v>
      </c>
      <c r="Y104" s="13" t="s">
        <v>645</v>
      </c>
      <c r="Z104" s="13"/>
      <c r="AA104" s="20" t="s">
        <v>646</v>
      </c>
      <c r="AB104" s="16" t="str">
        <f t="shared" si="1"/>
        <v>Completed</v>
      </c>
      <c r="AC104" s="18">
        <v>45988</v>
      </c>
      <c r="AD104" s="18">
        <v>45993</v>
      </c>
      <c r="AE104" s="18">
        <v>45994</v>
      </c>
      <c r="AF104" s="15"/>
      <c r="AG104" s="18">
        <v>45995</v>
      </c>
      <c r="AH104" s="15" t="s">
        <v>179</v>
      </c>
      <c r="AI104" s="18">
        <v>46007</v>
      </c>
      <c r="AJ104" s="21"/>
      <c r="AK104" s="22"/>
      <c r="AL104" s="22"/>
    </row>
    <row r="105" spans="1:38" ht="18" customHeight="1">
      <c r="A105" s="13" t="s">
        <v>344</v>
      </c>
      <c r="B105" s="13" t="s">
        <v>647</v>
      </c>
      <c r="C105" s="14" t="s">
        <v>486</v>
      </c>
      <c r="D105" s="15" t="s">
        <v>648</v>
      </c>
      <c r="E105" s="16"/>
      <c r="F105" s="17">
        <v>659734</v>
      </c>
      <c r="G105" s="16">
        <v>0</v>
      </c>
      <c r="H105" s="18">
        <v>45743</v>
      </c>
      <c r="I105" s="13" t="s">
        <v>649</v>
      </c>
      <c r="J105" s="18">
        <v>45743</v>
      </c>
      <c r="K105" s="18">
        <v>46107</v>
      </c>
      <c r="L105" s="19" t="s">
        <v>95</v>
      </c>
      <c r="M105" s="19" t="s">
        <v>369</v>
      </c>
      <c r="N105" s="13" t="s">
        <v>289</v>
      </c>
      <c r="O105" s="13" t="s">
        <v>350</v>
      </c>
      <c r="P105" s="13" t="s">
        <v>556</v>
      </c>
      <c r="Q105" s="16">
        <v>1018845</v>
      </c>
      <c r="R105" s="28" t="s">
        <v>650</v>
      </c>
      <c r="S105" s="28" t="s">
        <v>650</v>
      </c>
      <c r="T105" s="13" t="s">
        <v>651</v>
      </c>
      <c r="U105" s="20" t="s">
        <v>652</v>
      </c>
      <c r="V105" s="20" t="s">
        <v>653</v>
      </c>
      <c r="W105" s="13"/>
      <c r="X105" s="13" t="s">
        <v>654</v>
      </c>
      <c r="Y105" s="13" t="s">
        <v>655</v>
      </c>
      <c r="Z105" s="13"/>
      <c r="AA105" s="13" t="s">
        <v>656</v>
      </c>
      <c r="AB105" s="16" t="str">
        <f t="shared" si="1"/>
        <v>Completed</v>
      </c>
      <c r="AC105" s="18">
        <v>45988</v>
      </c>
      <c r="AD105" s="18">
        <v>45993</v>
      </c>
      <c r="AE105" s="18">
        <v>45994</v>
      </c>
      <c r="AF105" s="15"/>
      <c r="AG105" s="18">
        <v>45995</v>
      </c>
      <c r="AH105" s="15" t="s">
        <v>179</v>
      </c>
      <c r="AI105" s="18">
        <v>46007</v>
      </c>
      <c r="AJ105" s="21"/>
      <c r="AK105" s="22"/>
      <c r="AL105" s="22"/>
    </row>
    <row r="106" spans="1:38" ht="18" customHeight="1">
      <c r="A106" s="13" t="s">
        <v>344</v>
      </c>
      <c r="B106" s="13" t="s">
        <v>657</v>
      </c>
      <c r="C106" s="14" t="s">
        <v>486</v>
      </c>
      <c r="D106" s="15">
        <v>221018</v>
      </c>
      <c r="E106" s="16"/>
      <c r="F106" s="17">
        <v>660389</v>
      </c>
      <c r="G106" s="16">
        <v>0</v>
      </c>
      <c r="H106" s="18">
        <v>45759</v>
      </c>
      <c r="I106" s="13" t="s">
        <v>658</v>
      </c>
      <c r="J106" s="18">
        <v>45759</v>
      </c>
      <c r="K106" s="18">
        <v>46123</v>
      </c>
      <c r="L106" s="19" t="s">
        <v>54</v>
      </c>
      <c r="M106" s="19" t="s">
        <v>503</v>
      </c>
      <c r="N106" s="13" t="s">
        <v>289</v>
      </c>
      <c r="O106" s="13" t="s">
        <v>350</v>
      </c>
      <c r="P106" s="13" t="s">
        <v>556</v>
      </c>
      <c r="Q106" s="16">
        <v>1018845</v>
      </c>
      <c r="R106" s="28" t="s">
        <v>659</v>
      </c>
      <c r="S106" s="28" t="s">
        <v>659</v>
      </c>
      <c r="T106" s="13" t="s">
        <v>660</v>
      </c>
      <c r="U106" s="20" t="s">
        <v>661</v>
      </c>
      <c r="V106" s="20" t="s">
        <v>38</v>
      </c>
      <c r="W106" s="13"/>
      <c r="X106" s="13" t="s">
        <v>662</v>
      </c>
      <c r="Y106" s="13" t="s">
        <v>663</v>
      </c>
      <c r="Z106" s="13"/>
      <c r="AA106" s="13" t="s">
        <v>664</v>
      </c>
      <c r="AB106" s="16" t="str">
        <f t="shared" si="1"/>
        <v>Completed</v>
      </c>
      <c r="AC106" s="18">
        <v>45988</v>
      </c>
      <c r="AD106" s="18">
        <v>45993</v>
      </c>
      <c r="AE106" s="18">
        <v>45994</v>
      </c>
      <c r="AF106" s="15"/>
      <c r="AG106" s="18">
        <v>45995</v>
      </c>
      <c r="AH106" s="15" t="s">
        <v>179</v>
      </c>
      <c r="AI106" s="18">
        <v>46007</v>
      </c>
      <c r="AJ106" s="21"/>
      <c r="AK106" s="22"/>
      <c r="AL106" s="22"/>
    </row>
    <row r="107" spans="1:38" ht="18" customHeight="1">
      <c r="A107" s="13" t="s">
        <v>344</v>
      </c>
      <c r="B107" s="13" t="s">
        <v>665</v>
      </c>
      <c r="C107" s="14" t="s">
        <v>486</v>
      </c>
      <c r="D107" s="15">
        <v>221578</v>
      </c>
      <c r="E107" s="16" t="s">
        <v>666</v>
      </c>
      <c r="F107" s="17" t="s">
        <v>38</v>
      </c>
      <c r="G107" s="16">
        <v>0</v>
      </c>
      <c r="H107" s="18">
        <v>45859</v>
      </c>
      <c r="I107" s="13" t="s">
        <v>638</v>
      </c>
      <c r="J107" s="18">
        <v>45859</v>
      </c>
      <c r="K107" s="18">
        <v>46965</v>
      </c>
      <c r="L107" s="19" t="s">
        <v>54</v>
      </c>
      <c r="M107" s="19" t="s">
        <v>667</v>
      </c>
      <c r="N107" s="13" t="s">
        <v>640</v>
      </c>
      <c r="O107" s="13" t="s">
        <v>350</v>
      </c>
      <c r="P107" s="13" t="s">
        <v>556</v>
      </c>
      <c r="Q107" s="16">
        <v>1018845</v>
      </c>
      <c r="R107" s="28" t="s">
        <v>668</v>
      </c>
      <c r="S107" s="28" t="s">
        <v>668</v>
      </c>
      <c r="T107" s="13" t="s">
        <v>669</v>
      </c>
      <c r="U107" s="20" t="s">
        <v>670</v>
      </c>
      <c r="V107" s="20" t="s">
        <v>671</v>
      </c>
      <c r="W107" s="13"/>
      <c r="X107" s="13" t="s">
        <v>672</v>
      </c>
      <c r="Y107" s="13" t="s">
        <v>673</v>
      </c>
      <c r="Z107" s="13"/>
      <c r="AA107" s="13" t="s">
        <v>674</v>
      </c>
      <c r="AB107" s="16" t="str">
        <f t="shared" si="1"/>
        <v>Completed</v>
      </c>
      <c r="AC107" s="18">
        <v>45988</v>
      </c>
      <c r="AD107" s="18">
        <v>45993</v>
      </c>
      <c r="AE107" s="18">
        <v>45994</v>
      </c>
      <c r="AF107" s="15"/>
      <c r="AG107" s="18">
        <v>45995</v>
      </c>
      <c r="AH107" s="15" t="s">
        <v>179</v>
      </c>
      <c r="AI107" s="18">
        <v>46007</v>
      </c>
      <c r="AJ107" s="21"/>
      <c r="AK107" s="22"/>
      <c r="AL107" s="22"/>
    </row>
    <row r="108" spans="1:38" ht="18" customHeight="1">
      <c r="A108" s="13" t="s">
        <v>344</v>
      </c>
      <c r="B108" s="13" t="s">
        <v>675</v>
      </c>
      <c r="C108" s="14" t="s">
        <v>486</v>
      </c>
      <c r="D108" s="15" t="s">
        <v>38</v>
      </c>
      <c r="E108" s="16" t="s">
        <v>676</v>
      </c>
      <c r="F108" s="17">
        <v>24350</v>
      </c>
      <c r="G108" s="16">
        <v>0</v>
      </c>
      <c r="H108" s="18">
        <v>45170</v>
      </c>
      <c r="I108" s="13" t="s">
        <v>677</v>
      </c>
      <c r="J108" s="18">
        <v>45170</v>
      </c>
      <c r="K108" s="18">
        <v>46265</v>
      </c>
      <c r="L108" s="19" t="s">
        <v>54</v>
      </c>
      <c r="M108" s="19" t="s">
        <v>678</v>
      </c>
      <c r="N108" s="13" t="s">
        <v>358</v>
      </c>
      <c r="O108" s="13" t="s">
        <v>350</v>
      </c>
      <c r="P108" s="13" t="s">
        <v>556</v>
      </c>
      <c r="Q108" s="16">
        <v>1018845</v>
      </c>
      <c r="R108" s="16">
        <v>1348293</v>
      </c>
      <c r="S108" s="16">
        <v>1348293</v>
      </c>
      <c r="T108" s="13" t="s">
        <v>679</v>
      </c>
      <c r="U108" s="13" t="s">
        <v>350</v>
      </c>
      <c r="V108" s="20" t="s">
        <v>680</v>
      </c>
      <c r="W108" s="13"/>
      <c r="X108" s="13" t="s">
        <v>681</v>
      </c>
      <c r="Y108" s="13" t="s">
        <v>682</v>
      </c>
      <c r="Z108" s="13"/>
      <c r="AA108" s="13"/>
      <c r="AB108" s="16" t="str">
        <f t="shared" si="1"/>
        <v>Completed</v>
      </c>
      <c r="AC108" s="18">
        <v>45988</v>
      </c>
      <c r="AD108" s="18">
        <v>45992</v>
      </c>
      <c r="AE108" s="18">
        <v>45992</v>
      </c>
      <c r="AF108" s="15"/>
      <c r="AG108" s="18">
        <v>45992</v>
      </c>
      <c r="AH108" s="15"/>
      <c r="AI108" s="18">
        <v>45993</v>
      </c>
      <c r="AJ108" s="21"/>
      <c r="AK108" s="22"/>
      <c r="AL108" s="22"/>
    </row>
    <row r="109" spans="1:38" ht="18" customHeight="1">
      <c r="A109" s="13" t="s">
        <v>344</v>
      </c>
      <c r="B109" s="13" t="s">
        <v>683</v>
      </c>
      <c r="C109" s="14" t="s">
        <v>486</v>
      </c>
      <c r="D109" s="15">
        <v>194215</v>
      </c>
      <c r="E109" s="16"/>
      <c r="F109" s="17" t="s">
        <v>38</v>
      </c>
      <c r="G109" s="16">
        <v>0</v>
      </c>
      <c r="H109" s="18">
        <v>45539</v>
      </c>
      <c r="I109" s="13" t="s">
        <v>684</v>
      </c>
      <c r="J109" s="18">
        <v>45539</v>
      </c>
      <c r="K109" s="18">
        <v>46426</v>
      </c>
      <c r="L109" s="19" t="s">
        <v>95</v>
      </c>
      <c r="M109" s="19" t="s">
        <v>685</v>
      </c>
      <c r="N109" s="13" t="s">
        <v>686</v>
      </c>
      <c r="O109" s="20" t="s">
        <v>687</v>
      </c>
      <c r="P109" s="13" t="s">
        <v>556</v>
      </c>
      <c r="Q109" s="16">
        <v>1018845</v>
      </c>
      <c r="R109" s="16">
        <v>1550436</v>
      </c>
      <c r="S109" s="16">
        <v>1550436</v>
      </c>
      <c r="T109" s="13" t="s">
        <v>688</v>
      </c>
      <c r="U109" s="13" t="s">
        <v>689</v>
      </c>
      <c r="V109" s="20" t="s">
        <v>690</v>
      </c>
      <c r="W109" s="13"/>
      <c r="X109" s="13" t="s">
        <v>691</v>
      </c>
      <c r="Y109" s="13" t="s">
        <v>692</v>
      </c>
      <c r="Z109" s="13"/>
      <c r="AA109" s="13"/>
      <c r="AB109" s="16" t="str">
        <f t="shared" si="1"/>
        <v>Completed</v>
      </c>
      <c r="AC109" s="18">
        <v>45988</v>
      </c>
      <c r="AD109" s="18">
        <v>45992</v>
      </c>
      <c r="AE109" s="18">
        <v>45992</v>
      </c>
      <c r="AF109" s="15"/>
      <c r="AG109" s="18">
        <v>45992</v>
      </c>
      <c r="AH109" s="15"/>
      <c r="AI109" s="18">
        <v>45993</v>
      </c>
      <c r="AJ109" s="21"/>
      <c r="AK109" s="22"/>
      <c r="AL109" s="22"/>
    </row>
    <row r="110" spans="1:38" ht="18" customHeight="1">
      <c r="A110" s="13" t="s">
        <v>693</v>
      </c>
      <c r="B110" s="13" t="s">
        <v>694</v>
      </c>
      <c r="C110" s="14" t="s">
        <v>695</v>
      </c>
      <c r="D110" s="15" t="s">
        <v>38</v>
      </c>
      <c r="E110" s="16" t="s">
        <v>696</v>
      </c>
      <c r="F110" s="17">
        <v>595588</v>
      </c>
      <c r="G110" s="16">
        <v>0</v>
      </c>
      <c r="H110" s="18">
        <v>43875</v>
      </c>
      <c r="I110" s="13" t="s">
        <v>434</v>
      </c>
      <c r="J110" s="18">
        <v>43875</v>
      </c>
      <c r="K110" s="18">
        <v>44605</v>
      </c>
      <c r="L110" s="19" t="s">
        <v>95</v>
      </c>
      <c r="M110" s="19" t="s">
        <v>697</v>
      </c>
      <c r="N110" s="13" t="s">
        <v>94</v>
      </c>
      <c r="O110" s="13" t="s">
        <v>698</v>
      </c>
      <c r="P110" s="13" t="s">
        <v>699</v>
      </c>
      <c r="Q110" s="16">
        <v>1030242</v>
      </c>
      <c r="R110" s="16"/>
      <c r="S110" s="16"/>
      <c r="T110" s="13" t="s">
        <v>700</v>
      </c>
      <c r="U110" s="13" t="s">
        <v>701</v>
      </c>
      <c r="V110" s="20" t="s">
        <v>625</v>
      </c>
      <c r="W110" s="13"/>
      <c r="X110" s="13" t="s">
        <v>702</v>
      </c>
      <c r="Y110" s="13" t="s">
        <v>703</v>
      </c>
      <c r="Z110" s="13" t="s">
        <v>704</v>
      </c>
      <c r="AA110" s="13" t="s">
        <v>705</v>
      </c>
      <c r="AB110" s="16" t="str">
        <f t="shared" si="1"/>
        <v>Completed</v>
      </c>
      <c r="AC110" s="18">
        <v>45988</v>
      </c>
      <c r="AD110" s="18">
        <v>46005</v>
      </c>
      <c r="AE110" s="18">
        <v>45992</v>
      </c>
      <c r="AF110" s="15"/>
      <c r="AG110" s="18">
        <v>46001</v>
      </c>
      <c r="AH110" s="15"/>
      <c r="AI110" s="18">
        <v>45992</v>
      </c>
      <c r="AJ110" s="21"/>
      <c r="AK110" s="22"/>
      <c r="AL110" s="22"/>
    </row>
    <row r="111" spans="1:38" ht="18" customHeight="1">
      <c r="A111" s="13" t="s">
        <v>693</v>
      </c>
      <c r="B111" s="13" t="s">
        <v>706</v>
      </c>
      <c r="C111" s="14" t="s">
        <v>695</v>
      </c>
      <c r="D111" s="15">
        <v>60857</v>
      </c>
      <c r="E111" s="16" t="s">
        <v>696</v>
      </c>
      <c r="F111" s="17">
        <v>595588</v>
      </c>
      <c r="G111" s="16">
        <v>1</v>
      </c>
      <c r="H111" s="18">
        <v>44029</v>
      </c>
      <c r="I111" s="13" t="s">
        <v>707</v>
      </c>
      <c r="J111" s="18">
        <v>43875</v>
      </c>
      <c r="K111" s="18">
        <v>44605</v>
      </c>
      <c r="L111" s="19" t="s">
        <v>95</v>
      </c>
      <c r="M111" s="19" t="s">
        <v>697</v>
      </c>
      <c r="N111" s="13" t="s">
        <v>117</v>
      </c>
      <c r="O111" s="13" t="s">
        <v>698</v>
      </c>
      <c r="P111" s="13" t="s">
        <v>699</v>
      </c>
      <c r="Q111" s="16">
        <v>1030242</v>
      </c>
      <c r="R111" s="16"/>
      <c r="S111" s="16"/>
      <c r="T111" s="13" t="s">
        <v>708</v>
      </c>
      <c r="U111" s="13" t="s">
        <v>701</v>
      </c>
      <c r="V111" s="20" t="s">
        <v>625</v>
      </c>
      <c r="W111" s="13"/>
      <c r="X111" s="13" t="s">
        <v>709</v>
      </c>
      <c r="Y111" s="13" t="s">
        <v>703</v>
      </c>
      <c r="Z111" s="13"/>
      <c r="AA111" s="13"/>
      <c r="AB111" s="16" t="str">
        <f t="shared" si="1"/>
        <v>Completed</v>
      </c>
      <c r="AC111" s="18">
        <v>45988</v>
      </c>
      <c r="AD111" s="18">
        <v>46005</v>
      </c>
      <c r="AE111" s="18">
        <v>45992</v>
      </c>
      <c r="AF111" s="15"/>
      <c r="AG111" s="18">
        <v>45992</v>
      </c>
      <c r="AH111" s="15"/>
      <c r="AI111" s="18">
        <v>45992</v>
      </c>
      <c r="AJ111" s="21"/>
      <c r="AK111" s="22"/>
      <c r="AL111" s="22"/>
    </row>
    <row r="112" spans="1:38" ht="18" customHeight="1">
      <c r="A112" s="13" t="s">
        <v>693</v>
      </c>
      <c r="B112" s="13" t="s">
        <v>710</v>
      </c>
      <c r="C112" s="14" t="s">
        <v>695</v>
      </c>
      <c r="D112" s="15">
        <v>56048</v>
      </c>
      <c r="E112" s="16"/>
      <c r="F112" s="17">
        <v>601716</v>
      </c>
      <c r="G112" s="16">
        <v>0</v>
      </c>
      <c r="H112" s="18">
        <v>44053</v>
      </c>
      <c r="I112" s="13" t="s">
        <v>711</v>
      </c>
      <c r="J112" s="18">
        <v>44053</v>
      </c>
      <c r="K112" s="18">
        <v>45147</v>
      </c>
      <c r="L112" s="19" t="s">
        <v>95</v>
      </c>
      <c r="M112" s="19" t="s">
        <v>96</v>
      </c>
      <c r="N112" s="13" t="s">
        <v>94</v>
      </c>
      <c r="O112" s="13" t="s">
        <v>698</v>
      </c>
      <c r="P112" s="13" t="s">
        <v>699</v>
      </c>
      <c r="Q112" s="16">
        <v>1030242</v>
      </c>
      <c r="R112" s="16"/>
      <c r="S112" s="16"/>
      <c r="T112" s="13" t="s">
        <v>712</v>
      </c>
      <c r="U112" s="13" t="s">
        <v>713</v>
      </c>
      <c r="V112" s="20" t="s">
        <v>532</v>
      </c>
      <c r="W112" s="13"/>
      <c r="X112" s="13" t="s">
        <v>714</v>
      </c>
      <c r="Y112" s="13" t="s">
        <v>715</v>
      </c>
      <c r="Z112" s="13"/>
      <c r="AA112" s="13"/>
      <c r="AB112" s="16" t="str">
        <f t="shared" si="1"/>
        <v>Completed</v>
      </c>
      <c r="AC112" s="18">
        <v>45988</v>
      </c>
      <c r="AD112" s="18">
        <v>46005</v>
      </c>
      <c r="AE112" s="18">
        <v>45992</v>
      </c>
      <c r="AF112" s="15"/>
      <c r="AG112" s="18">
        <v>45992</v>
      </c>
      <c r="AH112" s="15"/>
      <c r="AI112" s="18">
        <v>45992</v>
      </c>
      <c r="AJ112" s="21"/>
      <c r="AK112" s="22"/>
      <c r="AL112" s="22"/>
    </row>
    <row r="113" spans="1:38" ht="18" customHeight="1">
      <c r="A113" s="13" t="s">
        <v>693</v>
      </c>
      <c r="B113" s="13" t="s">
        <v>716</v>
      </c>
      <c r="C113" s="14" t="s">
        <v>695</v>
      </c>
      <c r="D113" s="15">
        <v>19975</v>
      </c>
      <c r="E113" s="16" t="s">
        <v>696</v>
      </c>
      <c r="F113" s="17">
        <v>606128</v>
      </c>
      <c r="G113" s="16">
        <v>0</v>
      </c>
      <c r="H113" s="18">
        <v>44136</v>
      </c>
      <c r="I113" s="13" t="s">
        <v>717</v>
      </c>
      <c r="J113" s="18">
        <v>44136</v>
      </c>
      <c r="K113" s="18">
        <v>45961</v>
      </c>
      <c r="L113" s="19" t="s">
        <v>95</v>
      </c>
      <c r="M113" s="19" t="s">
        <v>718</v>
      </c>
      <c r="N113" s="13" t="s">
        <v>94</v>
      </c>
      <c r="O113" s="13" t="s">
        <v>698</v>
      </c>
      <c r="P113" s="13" t="s">
        <v>699</v>
      </c>
      <c r="Q113" s="16">
        <v>1030242</v>
      </c>
      <c r="R113" s="16"/>
      <c r="S113" s="16"/>
      <c r="T113" s="13" t="s">
        <v>719</v>
      </c>
      <c r="U113" s="20" t="s">
        <v>720</v>
      </c>
      <c r="V113" s="20" t="s">
        <v>299</v>
      </c>
      <c r="W113" s="13"/>
      <c r="X113" s="13" t="s">
        <v>721</v>
      </c>
      <c r="Y113" s="13" t="s">
        <v>722</v>
      </c>
      <c r="Z113" s="13" t="s">
        <v>723</v>
      </c>
      <c r="AA113" s="13"/>
      <c r="AB113" s="16" t="str">
        <f t="shared" si="1"/>
        <v>Completed</v>
      </c>
      <c r="AC113" s="18">
        <v>45988</v>
      </c>
      <c r="AD113" s="18">
        <v>46005</v>
      </c>
      <c r="AE113" s="18">
        <v>45992</v>
      </c>
      <c r="AF113" s="15"/>
      <c r="AG113" s="18">
        <v>45992</v>
      </c>
      <c r="AH113" s="15"/>
      <c r="AI113" s="18">
        <v>45992</v>
      </c>
      <c r="AJ113" s="21"/>
      <c r="AK113" s="22"/>
      <c r="AL113" s="22"/>
    </row>
    <row r="114" spans="1:38" ht="18" customHeight="1">
      <c r="A114" s="13" t="s">
        <v>693</v>
      </c>
      <c r="B114" s="13" t="s">
        <v>724</v>
      </c>
      <c r="C114" s="14" t="s">
        <v>695</v>
      </c>
      <c r="D114" s="15">
        <v>78169</v>
      </c>
      <c r="E114" s="16"/>
      <c r="F114" s="17">
        <v>601716</v>
      </c>
      <c r="G114" s="16">
        <v>1</v>
      </c>
      <c r="H114" s="18">
        <v>44137</v>
      </c>
      <c r="I114" s="13" t="s">
        <v>551</v>
      </c>
      <c r="J114" s="18">
        <v>44053</v>
      </c>
      <c r="K114" s="18">
        <v>45147</v>
      </c>
      <c r="L114" s="19" t="s">
        <v>95</v>
      </c>
      <c r="M114" s="19" t="s">
        <v>96</v>
      </c>
      <c r="N114" s="13" t="s">
        <v>94</v>
      </c>
      <c r="O114" s="13" t="s">
        <v>698</v>
      </c>
      <c r="P114" s="13" t="s">
        <v>699</v>
      </c>
      <c r="Q114" s="16">
        <v>1030242</v>
      </c>
      <c r="R114" s="16"/>
      <c r="S114" s="16"/>
      <c r="T114" s="20" t="s">
        <v>725</v>
      </c>
      <c r="U114" s="13" t="s">
        <v>713</v>
      </c>
      <c r="V114" s="20" t="s">
        <v>532</v>
      </c>
      <c r="W114" s="13"/>
      <c r="X114" s="13" t="s">
        <v>726</v>
      </c>
      <c r="Y114" s="13" t="s">
        <v>715</v>
      </c>
      <c r="Z114" s="13"/>
      <c r="AA114" s="13"/>
      <c r="AB114" s="16" t="str">
        <f t="shared" si="1"/>
        <v>Completed</v>
      </c>
      <c r="AC114" s="18">
        <v>45988</v>
      </c>
      <c r="AD114" s="18">
        <v>46005</v>
      </c>
      <c r="AE114" s="18">
        <v>45992</v>
      </c>
      <c r="AF114" s="15"/>
      <c r="AG114" s="18">
        <v>45992</v>
      </c>
      <c r="AH114" s="15"/>
      <c r="AI114" s="18">
        <v>45992</v>
      </c>
      <c r="AJ114" s="21"/>
      <c r="AK114" s="22"/>
      <c r="AL114" s="22"/>
    </row>
    <row r="115" spans="1:38" ht="18" customHeight="1">
      <c r="A115" s="13" t="s">
        <v>693</v>
      </c>
      <c r="B115" s="13" t="s">
        <v>727</v>
      </c>
      <c r="C115" s="14" t="s">
        <v>695</v>
      </c>
      <c r="D115" s="15">
        <v>81099</v>
      </c>
      <c r="E115" s="16" t="s">
        <v>696</v>
      </c>
      <c r="F115" s="17">
        <v>606128</v>
      </c>
      <c r="G115" s="16">
        <v>1</v>
      </c>
      <c r="H115" s="18">
        <v>44176</v>
      </c>
      <c r="I115" s="13" t="s">
        <v>728</v>
      </c>
      <c r="J115" s="18">
        <v>44136</v>
      </c>
      <c r="K115" s="18">
        <v>45961</v>
      </c>
      <c r="L115" s="19" t="s">
        <v>95</v>
      </c>
      <c r="M115" s="19" t="s">
        <v>718</v>
      </c>
      <c r="N115" s="13" t="s">
        <v>117</v>
      </c>
      <c r="O115" s="13" t="s">
        <v>698</v>
      </c>
      <c r="P115" s="13" t="s">
        <v>699</v>
      </c>
      <c r="Q115" s="16">
        <v>1030242</v>
      </c>
      <c r="R115" s="16"/>
      <c r="S115" s="16"/>
      <c r="T115" s="13" t="s">
        <v>729</v>
      </c>
      <c r="U115" s="13" t="s">
        <v>720</v>
      </c>
      <c r="V115" s="20" t="s">
        <v>299</v>
      </c>
      <c r="W115" s="13"/>
      <c r="X115" s="13" t="s">
        <v>730</v>
      </c>
      <c r="Y115" s="13" t="s">
        <v>731</v>
      </c>
      <c r="Z115" s="13"/>
      <c r="AA115" s="13"/>
      <c r="AB115" s="16" t="str">
        <f t="shared" si="1"/>
        <v>Completed</v>
      </c>
      <c r="AC115" s="18">
        <v>45988</v>
      </c>
      <c r="AD115" s="18">
        <v>46005</v>
      </c>
      <c r="AE115" s="18">
        <v>45992</v>
      </c>
      <c r="AF115" s="15"/>
      <c r="AG115" s="18">
        <v>45992</v>
      </c>
      <c r="AH115" s="15"/>
      <c r="AI115" s="18">
        <v>45992</v>
      </c>
      <c r="AJ115" s="21"/>
      <c r="AK115" s="22"/>
      <c r="AL115" s="22"/>
    </row>
    <row r="116" spans="1:38" ht="18" customHeight="1">
      <c r="A116" s="13" t="s">
        <v>693</v>
      </c>
      <c r="B116" s="13" t="s">
        <v>732</v>
      </c>
      <c r="C116" s="14" t="s">
        <v>695</v>
      </c>
      <c r="D116" s="15">
        <v>85611</v>
      </c>
      <c r="E116" s="16" t="s">
        <v>696</v>
      </c>
      <c r="F116" s="17">
        <v>595588</v>
      </c>
      <c r="G116" s="16">
        <v>2</v>
      </c>
      <c r="H116" s="18">
        <v>44197</v>
      </c>
      <c r="I116" s="13" t="s">
        <v>733</v>
      </c>
      <c r="J116" s="18">
        <v>43875</v>
      </c>
      <c r="K116" s="18">
        <v>44605</v>
      </c>
      <c r="L116" s="19" t="s">
        <v>95</v>
      </c>
      <c r="M116" s="19" t="s">
        <v>697</v>
      </c>
      <c r="N116" s="44" t="s">
        <v>94</v>
      </c>
      <c r="O116" s="13" t="s">
        <v>698</v>
      </c>
      <c r="P116" s="13" t="s">
        <v>699</v>
      </c>
      <c r="Q116" s="16">
        <v>1030242</v>
      </c>
      <c r="R116" s="16"/>
      <c r="S116" s="16"/>
      <c r="T116" s="13" t="s">
        <v>734</v>
      </c>
      <c r="U116" s="13" t="s">
        <v>735</v>
      </c>
      <c r="V116" s="20" t="s">
        <v>625</v>
      </c>
      <c r="W116" s="13"/>
      <c r="X116" s="13" t="s">
        <v>709</v>
      </c>
      <c r="Y116" s="13" t="s">
        <v>703</v>
      </c>
      <c r="Z116" s="13"/>
      <c r="AA116" s="13"/>
      <c r="AB116" s="16" t="str">
        <f t="shared" si="1"/>
        <v>Completed</v>
      </c>
      <c r="AC116" s="18">
        <v>45988</v>
      </c>
      <c r="AD116" s="18">
        <v>46005</v>
      </c>
      <c r="AE116" s="18">
        <v>45992</v>
      </c>
      <c r="AF116" s="15"/>
      <c r="AG116" s="18">
        <v>45992</v>
      </c>
      <c r="AH116" s="15"/>
      <c r="AI116" s="18">
        <v>45992</v>
      </c>
      <c r="AJ116" s="21"/>
      <c r="AK116" s="22"/>
      <c r="AL116" s="22"/>
    </row>
    <row r="117" spans="1:38" ht="18" customHeight="1">
      <c r="A117" s="13" t="s">
        <v>693</v>
      </c>
      <c r="B117" s="13" t="s">
        <v>736</v>
      </c>
      <c r="C117" s="14" t="s">
        <v>695</v>
      </c>
      <c r="D117" s="15">
        <v>92617</v>
      </c>
      <c r="E117" s="16" t="s">
        <v>696</v>
      </c>
      <c r="F117" s="17">
        <v>602716</v>
      </c>
      <c r="G117" s="16">
        <v>1</v>
      </c>
      <c r="H117" s="18">
        <v>44300</v>
      </c>
      <c r="I117" s="13" t="s">
        <v>737</v>
      </c>
      <c r="J117" s="18">
        <v>44053</v>
      </c>
      <c r="K117" s="18">
        <v>45147</v>
      </c>
      <c r="L117" s="19" t="s">
        <v>95</v>
      </c>
      <c r="M117" s="19" t="s">
        <v>96</v>
      </c>
      <c r="N117" s="13" t="s">
        <v>94</v>
      </c>
      <c r="O117" s="13" t="s">
        <v>698</v>
      </c>
      <c r="P117" s="13" t="s">
        <v>699</v>
      </c>
      <c r="Q117" s="16">
        <v>1030242</v>
      </c>
      <c r="R117" s="16">
        <v>1030242</v>
      </c>
      <c r="S117" s="16" t="s">
        <v>38</v>
      </c>
      <c r="T117" s="13" t="s">
        <v>738</v>
      </c>
      <c r="U117" s="13" t="s">
        <v>739</v>
      </c>
      <c r="V117" s="20" t="s">
        <v>532</v>
      </c>
      <c r="W117" s="13"/>
      <c r="X117" s="13" t="s">
        <v>740</v>
      </c>
      <c r="Y117" s="13" t="s">
        <v>715</v>
      </c>
      <c r="Z117" s="13" t="s">
        <v>741</v>
      </c>
      <c r="AA117" s="13"/>
      <c r="AB117" s="16" t="str">
        <f t="shared" si="1"/>
        <v>Completed</v>
      </c>
      <c r="AC117" s="18">
        <v>45988</v>
      </c>
      <c r="AD117" s="18">
        <v>46005</v>
      </c>
      <c r="AE117" s="18">
        <v>45992</v>
      </c>
      <c r="AF117" s="15"/>
      <c r="AG117" s="18">
        <v>45992</v>
      </c>
      <c r="AH117" s="15"/>
      <c r="AI117" s="18">
        <v>45992</v>
      </c>
      <c r="AJ117" s="21"/>
      <c r="AK117" s="22"/>
      <c r="AL117" s="22"/>
    </row>
    <row r="118" spans="1:38" ht="18" customHeight="1">
      <c r="A118" s="13" t="s">
        <v>693</v>
      </c>
      <c r="B118" s="13" t="s">
        <v>742</v>
      </c>
      <c r="C118" s="14" t="s">
        <v>695</v>
      </c>
      <c r="D118" s="15">
        <v>102657</v>
      </c>
      <c r="E118" s="16" t="s">
        <v>696</v>
      </c>
      <c r="F118" s="17">
        <v>595588</v>
      </c>
      <c r="G118" s="16">
        <v>3</v>
      </c>
      <c r="H118" s="18">
        <v>44403</v>
      </c>
      <c r="I118" s="13" t="s">
        <v>707</v>
      </c>
      <c r="J118" s="18">
        <v>43875</v>
      </c>
      <c r="K118" s="18">
        <v>44605</v>
      </c>
      <c r="L118" s="19" t="s">
        <v>95</v>
      </c>
      <c r="M118" s="19" t="s">
        <v>697</v>
      </c>
      <c r="N118" s="13" t="s">
        <v>117</v>
      </c>
      <c r="O118" s="13" t="s">
        <v>698</v>
      </c>
      <c r="P118" s="13" t="s">
        <v>699</v>
      </c>
      <c r="Q118" s="16">
        <v>1030242</v>
      </c>
      <c r="R118" s="16"/>
      <c r="S118" s="16"/>
      <c r="T118" s="13" t="s">
        <v>743</v>
      </c>
      <c r="U118" s="13" t="s">
        <v>735</v>
      </c>
      <c r="V118" s="20" t="s">
        <v>625</v>
      </c>
      <c r="W118" s="13"/>
      <c r="X118" s="13" t="s">
        <v>744</v>
      </c>
      <c r="Y118" s="13" t="s">
        <v>703</v>
      </c>
      <c r="Z118" s="13"/>
      <c r="AA118" s="13"/>
      <c r="AB118" s="16" t="str">
        <f t="shared" si="1"/>
        <v>Completed</v>
      </c>
      <c r="AC118" s="18">
        <v>45988</v>
      </c>
      <c r="AD118" s="18">
        <v>46005</v>
      </c>
      <c r="AE118" s="18">
        <v>45992</v>
      </c>
      <c r="AF118" s="15"/>
      <c r="AG118" s="18">
        <v>45992</v>
      </c>
      <c r="AH118" s="15"/>
      <c r="AI118" s="18">
        <v>45992</v>
      </c>
      <c r="AJ118" s="21"/>
      <c r="AK118" s="22"/>
      <c r="AL118" s="22"/>
    </row>
    <row r="119" spans="1:38" ht="18" customHeight="1">
      <c r="A119" s="13" t="s">
        <v>693</v>
      </c>
      <c r="B119" s="13" t="s">
        <v>745</v>
      </c>
      <c r="C119" s="14" t="s">
        <v>695</v>
      </c>
      <c r="D119" s="15">
        <v>93138</v>
      </c>
      <c r="E119" s="16" t="s">
        <v>696</v>
      </c>
      <c r="F119" s="17">
        <v>606128</v>
      </c>
      <c r="G119" s="16">
        <v>2</v>
      </c>
      <c r="H119" s="18">
        <v>44435</v>
      </c>
      <c r="I119" s="13" t="s">
        <v>728</v>
      </c>
      <c r="J119" s="18">
        <v>44136</v>
      </c>
      <c r="K119" s="18">
        <v>45961</v>
      </c>
      <c r="L119" s="19" t="s">
        <v>95</v>
      </c>
      <c r="M119" s="19" t="s">
        <v>718</v>
      </c>
      <c r="N119" s="13" t="s">
        <v>117</v>
      </c>
      <c r="O119" s="13" t="s">
        <v>698</v>
      </c>
      <c r="P119" s="13" t="s">
        <v>699</v>
      </c>
      <c r="Q119" s="16">
        <v>1030242</v>
      </c>
      <c r="R119" s="16"/>
      <c r="S119" s="16"/>
      <c r="T119" s="13" t="s">
        <v>746</v>
      </c>
      <c r="U119" s="13" t="s">
        <v>720</v>
      </c>
      <c r="V119" s="20" t="s">
        <v>299</v>
      </c>
      <c r="W119" s="13"/>
      <c r="X119" s="13" t="s">
        <v>747</v>
      </c>
      <c r="Y119" s="13" t="s">
        <v>731</v>
      </c>
      <c r="Z119" s="13"/>
      <c r="AA119" s="13"/>
      <c r="AB119" s="16" t="str">
        <f t="shared" si="1"/>
        <v>Completed</v>
      </c>
      <c r="AC119" s="18">
        <v>45988</v>
      </c>
      <c r="AD119" s="18">
        <v>46005</v>
      </c>
      <c r="AE119" s="18">
        <v>45992</v>
      </c>
      <c r="AF119" s="15"/>
      <c r="AG119" s="18">
        <v>45992</v>
      </c>
      <c r="AH119" s="15"/>
      <c r="AI119" s="18">
        <v>45992</v>
      </c>
      <c r="AJ119" s="21"/>
      <c r="AK119" s="22"/>
      <c r="AL119" s="22"/>
    </row>
    <row r="120" spans="1:38" ht="18" customHeight="1">
      <c r="A120" s="13" t="s">
        <v>693</v>
      </c>
      <c r="B120" s="13" t="s">
        <v>748</v>
      </c>
      <c r="C120" s="14" t="s">
        <v>695</v>
      </c>
      <c r="D120" s="15"/>
      <c r="E120" s="16" t="s">
        <v>696</v>
      </c>
      <c r="F120" s="17"/>
      <c r="G120" s="16">
        <v>0</v>
      </c>
      <c r="H120" s="18">
        <v>44470</v>
      </c>
      <c r="I120" s="13" t="s">
        <v>749</v>
      </c>
      <c r="J120" s="18">
        <v>44470</v>
      </c>
      <c r="K120" s="18">
        <v>45199</v>
      </c>
      <c r="L120" s="19" t="s">
        <v>54</v>
      </c>
      <c r="M120" s="19" t="s">
        <v>750</v>
      </c>
      <c r="N120" s="13" t="s">
        <v>94</v>
      </c>
      <c r="O120" s="13" t="s">
        <v>698</v>
      </c>
      <c r="P120" s="13" t="s">
        <v>699</v>
      </c>
      <c r="Q120" s="16">
        <v>1030242</v>
      </c>
      <c r="R120" s="16"/>
      <c r="S120" s="16"/>
      <c r="T120" s="13" t="s">
        <v>748</v>
      </c>
      <c r="U120" s="13" t="s">
        <v>751</v>
      </c>
      <c r="V120" s="20" t="s">
        <v>752</v>
      </c>
      <c r="W120" s="13"/>
      <c r="X120" s="13" t="s">
        <v>753</v>
      </c>
      <c r="Y120" s="13" t="s">
        <v>754</v>
      </c>
      <c r="Z120" s="13" t="s">
        <v>704</v>
      </c>
      <c r="AA120" s="13"/>
      <c r="AB120" s="16" t="str">
        <f t="shared" si="1"/>
        <v>Completed</v>
      </c>
      <c r="AC120" s="18">
        <v>45988</v>
      </c>
      <c r="AD120" s="18">
        <v>46005</v>
      </c>
      <c r="AE120" s="18">
        <v>45992</v>
      </c>
      <c r="AF120" s="15"/>
      <c r="AG120" s="18">
        <v>45992</v>
      </c>
      <c r="AH120" s="15"/>
      <c r="AI120" s="18">
        <v>45992</v>
      </c>
      <c r="AJ120" s="21"/>
      <c r="AK120" s="22"/>
      <c r="AL120" s="22"/>
    </row>
    <row r="121" spans="1:38" ht="18" customHeight="1">
      <c r="A121" s="13" t="s">
        <v>693</v>
      </c>
      <c r="B121" s="13" t="s">
        <v>755</v>
      </c>
      <c r="C121" s="14" t="s">
        <v>695</v>
      </c>
      <c r="D121" s="15">
        <v>108986</v>
      </c>
      <c r="E121" s="16" t="s">
        <v>696</v>
      </c>
      <c r="F121" s="17">
        <v>606128</v>
      </c>
      <c r="G121" s="16">
        <v>3</v>
      </c>
      <c r="H121" s="18">
        <v>44475</v>
      </c>
      <c r="I121" s="13" t="s">
        <v>756</v>
      </c>
      <c r="J121" s="18">
        <v>44136</v>
      </c>
      <c r="K121" s="18">
        <v>45961</v>
      </c>
      <c r="L121" s="19" t="s">
        <v>95</v>
      </c>
      <c r="M121" s="19" t="s">
        <v>718</v>
      </c>
      <c r="N121" s="13" t="s">
        <v>117</v>
      </c>
      <c r="O121" s="13" t="s">
        <v>698</v>
      </c>
      <c r="P121" s="13" t="s">
        <v>699</v>
      </c>
      <c r="Q121" s="16">
        <v>1030242</v>
      </c>
      <c r="R121" s="16"/>
      <c r="S121" s="16"/>
      <c r="T121" s="13" t="s">
        <v>757</v>
      </c>
      <c r="U121" s="13" t="s">
        <v>720</v>
      </c>
      <c r="V121" s="20" t="s">
        <v>299</v>
      </c>
      <c r="W121" s="13"/>
      <c r="X121" s="13" t="s">
        <v>758</v>
      </c>
      <c r="Y121" s="13" t="s">
        <v>731</v>
      </c>
      <c r="Z121" s="13"/>
      <c r="AA121" s="13"/>
      <c r="AB121" s="16" t="str">
        <f t="shared" si="1"/>
        <v>Completed</v>
      </c>
      <c r="AC121" s="18">
        <v>45988</v>
      </c>
      <c r="AD121" s="18">
        <v>46005</v>
      </c>
      <c r="AE121" s="18">
        <v>45992</v>
      </c>
      <c r="AF121" s="15"/>
      <c r="AG121" s="18">
        <v>45992</v>
      </c>
      <c r="AH121" s="15"/>
      <c r="AI121" s="18">
        <v>45992</v>
      </c>
      <c r="AJ121" s="21"/>
      <c r="AK121" s="22"/>
      <c r="AL121" s="22"/>
    </row>
    <row r="122" spans="1:38" ht="18" customHeight="1">
      <c r="A122" s="13" t="s">
        <v>693</v>
      </c>
      <c r="B122" s="13" t="s">
        <v>759</v>
      </c>
      <c r="C122" s="14" t="s">
        <v>695</v>
      </c>
      <c r="D122" s="15">
        <v>108315</v>
      </c>
      <c r="E122" s="16" t="s">
        <v>696</v>
      </c>
      <c r="F122" s="17">
        <v>602716</v>
      </c>
      <c r="G122" s="16">
        <v>2</v>
      </c>
      <c r="H122" s="18">
        <v>44486</v>
      </c>
      <c r="I122" s="13" t="s">
        <v>551</v>
      </c>
      <c r="J122" s="18">
        <v>44053</v>
      </c>
      <c r="K122" s="18">
        <v>45147</v>
      </c>
      <c r="L122" s="19" t="s">
        <v>95</v>
      </c>
      <c r="M122" s="19" t="s">
        <v>96</v>
      </c>
      <c r="N122" s="13" t="s">
        <v>117</v>
      </c>
      <c r="O122" s="13" t="s">
        <v>698</v>
      </c>
      <c r="P122" s="13" t="s">
        <v>699</v>
      </c>
      <c r="Q122" s="16">
        <v>1030242</v>
      </c>
      <c r="R122" s="16">
        <v>1030242</v>
      </c>
      <c r="S122" s="16" t="s">
        <v>38</v>
      </c>
      <c r="T122" s="13" t="s">
        <v>760</v>
      </c>
      <c r="U122" s="13" t="s">
        <v>739</v>
      </c>
      <c r="V122" s="20" t="s">
        <v>532</v>
      </c>
      <c r="W122" s="13"/>
      <c r="X122" s="13" t="s">
        <v>761</v>
      </c>
      <c r="Y122" s="13" t="s">
        <v>715</v>
      </c>
      <c r="Z122" s="13" t="s">
        <v>741</v>
      </c>
      <c r="AA122" s="13"/>
      <c r="AB122" s="16" t="str">
        <f t="shared" si="1"/>
        <v>Completed</v>
      </c>
      <c r="AC122" s="18">
        <v>45988</v>
      </c>
      <c r="AD122" s="18">
        <v>46005</v>
      </c>
      <c r="AE122" s="18">
        <v>45992</v>
      </c>
      <c r="AF122" s="15"/>
      <c r="AG122" s="18">
        <v>45992</v>
      </c>
      <c r="AH122" s="15"/>
      <c r="AI122" s="18">
        <v>45992</v>
      </c>
      <c r="AJ122" s="21"/>
      <c r="AK122" s="22"/>
      <c r="AL122" s="22"/>
    </row>
    <row r="123" spans="1:38" ht="18" customHeight="1">
      <c r="A123" s="13" t="s">
        <v>693</v>
      </c>
      <c r="B123" s="13" t="s">
        <v>762</v>
      </c>
      <c r="C123" s="14" t="s">
        <v>695</v>
      </c>
      <c r="D123" s="15">
        <v>113936</v>
      </c>
      <c r="E123" s="16" t="s">
        <v>696</v>
      </c>
      <c r="F123" s="17">
        <v>602716</v>
      </c>
      <c r="G123" s="16">
        <v>3</v>
      </c>
      <c r="H123" s="18">
        <v>44536</v>
      </c>
      <c r="I123" s="13" t="s">
        <v>551</v>
      </c>
      <c r="J123" s="18">
        <v>44053</v>
      </c>
      <c r="K123" s="18">
        <v>45147</v>
      </c>
      <c r="L123" s="19" t="s">
        <v>95</v>
      </c>
      <c r="M123" s="19" t="s">
        <v>96</v>
      </c>
      <c r="N123" s="13" t="s">
        <v>117</v>
      </c>
      <c r="O123" s="13" t="s">
        <v>698</v>
      </c>
      <c r="P123" s="13" t="s">
        <v>699</v>
      </c>
      <c r="Q123" s="16">
        <v>1030242</v>
      </c>
      <c r="R123" s="16">
        <v>1030242</v>
      </c>
      <c r="S123" s="16" t="s">
        <v>38</v>
      </c>
      <c r="T123" s="13" t="s">
        <v>763</v>
      </c>
      <c r="U123" s="13" t="s">
        <v>739</v>
      </c>
      <c r="V123" s="20" t="s">
        <v>532</v>
      </c>
      <c r="W123" s="13"/>
      <c r="X123" s="13" t="s">
        <v>764</v>
      </c>
      <c r="Y123" s="13" t="s">
        <v>715</v>
      </c>
      <c r="Z123" s="13" t="s">
        <v>741</v>
      </c>
      <c r="AA123" s="13"/>
      <c r="AB123" s="16" t="str">
        <f t="shared" si="1"/>
        <v>Completed</v>
      </c>
      <c r="AC123" s="18">
        <v>45988</v>
      </c>
      <c r="AD123" s="18">
        <v>46005</v>
      </c>
      <c r="AE123" s="18">
        <v>45992</v>
      </c>
      <c r="AF123" s="15"/>
      <c r="AG123" s="18">
        <v>45992</v>
      </c>
      <c r="AH123" s="15"/>
      <c r="AI123" s="18">
        <v>45992</v>
      </c>
      <c r="AJ123" s="21"/>
      <c r="AK123" s="22"/>
      <c r="AL123" s="22"/>
    </row>
    <row r="124" spans="1:38" ht="18" customHeight="1">
      <c r="A124" s="13" t="s">
        <v>693</v>
      </c>
      <c r="B124" s="13" t="s">
        <v>765</v>
      </c>
      <c r="C124" s="14" t="s">
        <v>695</v>
      </c>
      <c r="D124" s="15">
        <v>115538</v>
      </c>
      <c r="E124" s="16" t="s">
        <v>696</v>
      </c>
      <c r="F124" s="17">
        <v>606128</v>
      </c>
      <c r="G124" s="16">
        <v>4</v>
      </c>
      <c r="H124" s="18">
        <v>44572</v>
      </c>
      <c r="I124" s="13" t="s">
        <v>728</v>
      </c>
      <c r="J124" s="18">
        <v>44136</v>
      </c>
      <c r="K124" s="18">
        <v>45961</v>
      </c>
      <c r="L124" s="19" t="s">
        <v>95</v>
      </c>
      <c r="M124" s="19" t="s">
        <v>718</v>
      </c>
      <c r="N124" s="13" t="s">
        <v>117</v>
      </c>
      <c r="O124" s="13" t="s">
        <v>698</v>
      </c>
      <c r="P124" s="13" t="s">
        <v>699</v>
      </c>
      <c r="Q124" s="16">
        <v>1030242</v>
      </c>
      <c r="R124" s="16"/>
      <c r="S124" s="16"/>
      <c r="T124" s="13" t="s">
        <v>766</v>
      </c>
      <c r="U124" s="13" t="s">
        <v>720</v>
      </c>
      <c r="V124" s="20" t="s">
        <v>299</v>
      </c>
      <c r="W124" s="13"/>
      <c r="X124" s="20" t="s">
        <v>767</v>
      </c>
      <c r="Y124" s="13" t="s">
        <v>731</v>
      </c>
      <c r="Z124" s="13"/>
      <c r="AA124" s="13"/>
      <c r="AB124" s="16" t="str">
        <f t="shared" si="1"/>
        <v>Completed</v>
      </c>
      <c r="AC124" s="18">
        <v>45988</v>
      </c>
      <c r="AD124" s="18">
        <v>46005</v>
      </c>
      <c r="AE124" s="18">
        <v>45992</v>
      </c>
      <c r="AF124" s="15"/>
      <c r="AG124" s="18">
        <v>45992</v>
      </c>
      <c r="AH124" s="15"/>
      <c r="AI124" s="18">
        <v>45992</v>
      </c>
      <c r="AJ124" s="21"/>
      <c r="AK124" s="22"/>
      <c r="AL124" s="22"/>
    </row>
    <row r="125" spans="1:38" ht="18" customHeight="1">
      <c r="A125" s="13" t="s">
        <v>693</v>
      </c>
      <c r="B125" s="13" t="s">
        <v>768</v>
      </c>
      <c r="C125" s="14" t="s">
        <v>695</v>
      </c>
      <c r="D125" s="15">
        <v>120701</v>
      </c>
      <c r="E125" s="16" t="s">
        <v>696</v>
      </c>
      <c r="F125" s="17">
        <v>595588</v>
      </c>
      <c r="G125" s="16">
        <v>5</v>
      </c>
      <c r="H125" s="18">
        <v>44970</v>
      </c>
      <c r="I125" s="13" t="s">
        <v>769</v>
      </c>
      <c r="J125" s="18">
        <v>43875</v>
      </c>
      <c r="K125" s="18">
        <v>44970</v>
      </c>
      <c r="L125" s="19" t="s">
        <v>95</v>
      </c>
      <c r="M125" s="19" t="s">
        <v>697</v>
      </c>
      <c r="N125" s="13" t="s">
        <v>117</v>
      </c>
      <c r="O125" s="13" t="s">
        <v>698</v>
      </c>
      <c r="P125" s="13" t="s">
        <v>699</v>
      </c>
      <c r="Q125" s="16">
        <v>1030242</v>
      </c>
      <c r="R125" s="16"/>
      <c r="S125" s="16"/>
      <c r="T125" s="13" t="s">
        <v>770</v>
      </c>
      <c r="U125" s="20" t="s">
        <v>735</v>
      </c>
      <c r="V125" s="20" t="s">
        <v>625</v>
      </c>
      <c r="W125" s="13"/>
      <c r="X125" s="13" t="s">
        <v>771</v>
      </c>
      <c r="Y125" s="13" t="s">
        <v>703</v>
      </c>
      <c r="Z125" s="13"/>
      <c r="AA125" s="13"/>
      <c r="AB125" s="16" t="str">
        <f t="shared" si="1"/>
        <v>Completed</v>
      </c>
      <c r="AC125" s="18">
        <v>45988</v>
      </c>
      <c r="AD125" s="18">
        <v>46005</v>
      </c>
      <c r="AE125" s="18">
        <v>45992</v>
      </c>
      <c r="AF125" s="15"/>
      <c r="AG125" s="18">
        <v>45992</v>
      </c>
      <c r="AH125" s="15"/>
      <c r="AI125" s="18">
        <v>45992</v>
      </c>
      <c r="AJ125" s="21"/>
      <c r="AK125" s="22"/>
      <c r="AL125" s="22"/>
    </row>
    <row r="126" spans="1:38" ht="18" customHeight="1">
      <c r="A126" s="13" t="s">
        <v>693</v>
      </c>
      <c r="B126" s="13" t="s">
        <v>772</v>
      </c>
      <c r="C126" s="14" t="s">
        <v>773</v>
      </c>
      <c r="D126" s="15" t="s">
        <v>774</v>
      </c>
      <c r="E126" s="16" t="s">
        <v>775</v>
      </c>
      <c r="F126" s="15">
        <v>630660</v>
      </c>
      <c r="G126" s="16">
        <v>0</v>
      </c>
      <c r="H126" s="18">
        <v>44866</v>
      </c>
      <c r="I126" s="19" t="s">
        <v>638</v>
      </c>
      <c r="J126" s="18">
        <v>44866</v>
      </c>
      <c r="K126" s="18">
        <v>45961</v>
      </c>
      <c r="L126" s="19" t="s">
        <v>54</v>
      </c>
      <c r="M126" s="19" t="s">
        <v>776</v>
      </c>
      <c r="N126" s="13" t="s">
        <v>638</v>
      </c>
      <c r="O126" s="13" t="s">
        <v>777</v>
      </c>
      <c r="P126" s="13" t="s">
        <v>778</v>
      </c>
      <c r="Q126" s="16">
        <v>5751</v>
      </c>
      <c r="R126" s="16">
        <v>5751</v>
      </c>
      <c r="S126" s="16">
        <v>5751</v>
      </c>
      <c r="T126" s="19" t="s">
        <v>779</v>
      </c>
      <c r="U126" s="13" t="s">
        <v>780</v>
      </c>
      <c r="V126" s="20" t="s">
        <v>781</v>
      </c>
      <c r="W126" s="13"/>
      <c r="X126" s="13" t="s">
        <v>782</v>
      </c>
      <c r="Y126" s="13" t="s">
        <v>783</v>
      </c>
      <c r="Z126" s="13"/>
      <c r="AA126" s="13" t="s">
        <v>784</v>
      </c>
      <c r="AB126" s="16" t="str">
        <f t="shared" si="1"/>
        <v>Completed</v>
      </c>
      <c r="AC126" s="18">
        <v>45988</v>
      </c>
      <c r="AD126" s="18">
        <v>45988</v>
      </c>
      <c r="AE126" s="18">
        <v>46002</v>
      </c>
      <c r="AF126" s="15"/>
      <c r="AG126" s="18">
        <v>46002</v>
      </c>
      <c r="AH126" s="15"/>
      <c r="AI126" s="18">
        <v>46002</v>
      </c>
      <c r="AJ126" s="21"/>
      <c r="AK126" s="22"/>
      <c r="AL126" s="22"/>
    </row>
    <row r="127" spans="1:38" ht="18" customHeight="1">
      <c r="A127" s="13" t="s">
        <v>693</v>
      </c>
      <c r="B127" s="13" t="s">
        <v>785</v>
      </c>
      <c r="C127" s="14" t="s">
        <v>773</v>
      </c>
      <c r="D127" s="15">
        <v>224399</v>
      </c>
      <c r="E127" s="16" t="s">
        <v>775</v>
      </c>
      <c r="F127" s="15">
        <v>630660</v>
      </c>
      <c r="G127" s="16">
        <v>1</v>
      </c>
      <c r="H127" s="18">
        <v>45807</v>
      </c>
      <c r="I127" s="19" t="s">
        <v>786</v>
      </c>
      <c r="J127" s="18">
        <v>44866</v>
      </c>
      <c r="K127" s="18">
        <v>45961</v>
      </c>
      <c r="L127" s="19" t="s">
        <v>54</v>
      </c>
      <c r="M127" s="19" t="s">
        <v>776</v>
      </c>
      <c r="N127" s="13" t="s">
        <v>638</v>
      </c>
      <c r="O127" s="13" t="s">
        <v>777</v>
      </c>
      <c r="P127" s="13" t="s">
        <v>778</v>
      </c>
      <c r="Q127" s="16">
        <v>5751</v>
      </c>
      <c r="R127" s="16">
        <v>5751</v>
      </c>
      <c r="S127" s="16">
        <v>5751</v>
      </c>
      <c r="T127" s="19" t="s">
        <v>787</v>
      </c>
      <c r="U127" s="13" t="s">
        <v>788</v>
      </c>
      <c r="V127" s="20" t="s">
        <v>781</v>
      </c>
      <c r="W127" s="13"/>
      <c r="X127" s="13" t="s">
        <v>782</v>
      </c>
      <c r="Y127" s="13"/>
      <c r="Z127" s="13"/>
      <c r="AA127" s="13" t="s">
        <v>789</v>
      </c>
      <c r="AB127" s="16" t="str">
        <f t="shared" si="1"/>
        <v>Completed</v>
      </c>
      <c r="AC127" s="18">
        <v>45988</v>
      </c>
      <c r="AD127" s="18">
        <v>45988</v>
      </c>
      <c r="AE127" s="18">
        <v>46002</v>
      </c>
      <c r="AF127" s="15"/>
      <c r="AG127" s="18">
        <v>46002</v>
      </c>
      <c r="AH127" s="15"/>
      <c r="AI127" s="18">
        <v>46002</v>
      </c>
      <c r="AJ127" s="21"/>
      <c r="AK127" s="22"/>
      <c r="AL127" s="22"/>
    </row>
    <row r="128" spans="1:38" ht="18" customHeight="1">
      <c r="A128" s="13" t="s">
        <v>693</v>
      </c>
      <c r="B128" s="13" t="s">
        <v>790</v>
      </c>
      <c r="C128" s="14" t="s">
        <v>773</v>
      </c>
      <c r="D128" s="15">
        <v>60854</v>
      </c>
      <c r="E128" s="16" t="s">
        <v>791</v>
      </c>
      <c r="F128" s="17">
        <v>601291</v>
      </c>
      <c r="G128" s="16">
        <v>0</v>
      </c>
      <c r="H128" s="18">
        <v>44013</v>
      </c>
      <c r="I128" s="19" t="s">
        <v>792</v>
      </c>
      <c r="J128" s="18">
        <v>44013</v>
      </c>
      <c r="K128" s="18">
        <v>44500</v>
      </c>
      <c r="L128" s="19" t="s">
        <v>95</v>
      </c>
      <c r="M128" s="19" t="s">
        <v>793</v>
      </c>
      <c r="N128" s="13" t="s">
        <v>794</v>
      </c>
      <c r="O128" s="13" t="s">
        <v>698</v>
      </c>
      <c r="P128" s="13" t="s">
        <v>699</v>
      </c>
      <c r="Q128" s="16">
        <v>1030242</v>
      </c>
      <c r="R128" s="16">
        <v>5751</v>
      </c>
      <c r="S128" s="16">
        <v>5751</v>
      </c>
      <c r="T128" s="19" t="s">
        <v>795</v>
      </c>
      <c r="U128" s="13" t="s">
        <v>796</v>
      </c>
      <c r="V128" s="20" t="s">
        <v>625</v>
      </c>
      <c r="W128" s="13"/>
      <c r="X128" s="13" t="s">
        <v>797</v>
      </c>
      <c r="Y128" s="20" t="s">
        <v>798</v>
      </c>
      <c r="Z128" s="13"/>
      <c r="AA128" s="20" t="s">
        <v>799</v>
      </c>
      <c r="AB128" s="16" t="str">
        <f t="shared" si="1"/>
        <v>Completed</v>
      </c>
      <c r="AC128" s="18">
        <v>45988</v>
      </c>
      <c r="AD128" s="18">
        <v>45988</v>
      </c>
      <c r="AE128" s="18">
        <v>45993</v>
      </c>
      <c r="AF128" s="15"/>
      <c r="AG128" s="18">
        <v>45993</v>
      </c>
      <c r="AH128" s="15"/>
      <c r="AI128" s="18">
        <v>45994</v>
      </c>
      <c r="AJ128" s="21"/>
      <c r="AK128" s="22"/>
      <c r="AL128" s="22"/>
    </row>
    <row r="129" spans="1:38" ht="18" customHeight="1">
      <c r="A129" s="13" t="s">
        <v>693</v>
      </c>
      <c r="B129" s="13" t="s">
        <v>800</v>
      </c>
      <c r="C129" s="14" t="s">
        <v>773</v>
      </c>
      <c r="D129" s="15">
        <v>111962</v>
      </c>
      <c r="E129" s="16" t="s">
        <v>791</v>
      </c>
      <c r="F129" s="15">
        <v>601291</v>
      </c>
      <c r="G129" s="16">
        <v>1</v>
      </c>
      <c r="H129" s="18">
        <v>44013</v>
      </c>
      <c r="I129" s="19" t="s">
        <v>801</v>
      </c>
      <c r="J129" s="18">
        <v>44013</v>
      </c>
      <c r="K129" s="18">
        <v>45230</v>
      </c>
      <c r="L129" s="19" t="s">
        <v>95</v>
      </c>
      <c r="M129" s="19" t="s">
        <v>793</v>
      </c>
      <c r="N129" s="13" t="s">
        <v>802</v>
      </c>
      <c r="O129" s="13" t="s">
        <v>698</v>
      </c>
      <c r="P129" s="13" t="s">
        <v>699</v>
      </c>
      <c r="Q129" s="16">
        <v>1030242</v>
      </c>
      <c r="R129" s="16">
        <v>5751</v>
      </c>
      <c r="S129" s="16">
        <v>5751</v>
      </c>
      <c r="T129" s="19" t="s">
        <v>803</v>
      </c>
      <c r="U129" s="13" t="s">
        <v>796</v>
      </c>
      <c r="V129" s="20" t="s">
        <v>625</v>
      </c>
      <c r="W129" s="13"/>
      <c r="X129" s="13" t="s">
        <v>797</v>
      </c>
      <c r="Y129" s="13"/>
      <c r="Z129" s="13"/>
      <c r="AA129" s="20" t="s">
        <v>804</v>
      </c>
      <c r="AB129" s="16" t="str">
        <f t="shared" si="1"/>
        <v>Completed</v>
      </c>
      <c r="AC129" s="18">
        <v>45988</v>
      </c>
      <c r="AD129" s="18">
        <v>45988</v>
      </c>
      <c r="AE129" s="18">
        <v>45993</v>
      </c>
      <c r="AF129" s="15"/>
      <c r="AG129" s="18">
        <v>46003</v>
      </c>
      <c r="AH129" s="15"/>
      <c r="AI129" s="18">
        <v>46003</v>
      </c>
      <c r="AJ129" s="21"/>
      <c r="AK129" s="22"/>
      <c r="AL129" s="22"/>
    </row>
    <row r="130" spans="1:38" ht="18" customHeight="1">
      <c r="A130" s="13" t="s">
        <v>693</v>
      </c>
      <c r="B130" s="13" t="s">
        <v>805</v>
      </c>
      <c r="C130" s="14" t="s">
        <v>773</v>
      </c>
      <c r="D130" s="15">
        <v>174681</v>
      </c>
      <c r="E130" s="16" t="s">
        <v>791</v>
      </c>
      <c r="F130" s="17">
        <v>601291</v>
      </c>
      <c r="G130" s="16">
        <v>2</v>
      </c>
      <c r="H130" s="18">
        <v>45231</v>
      </c>
      <c r="I130" s="19" t="s">
        <v>806</v>
      </c>
      <c r="J130" s="18">
        <v>44013</v>
      </c>
      <c r="K130" s="18">
        <v>45838</v>
      </c>
      <c r="L130" s="19" t="s">
        <v>95</v>
      </c>
      <c r="M130" s="19" t="s">
        <v>793</v>
      </c>
      <c r="N130" s="13" t="s">
        <v>802</v>
      </c>
      <c r="O130" s="13" t="s">
        <v>698</v>
      </c>
      <c r="P130" s="13" t="s">
        <v>699</v>
      </c>
      <c r="Q130" s="16">
        <v>1030242</v>
      </c>
      <c r="R130" s="16">
        <v>5751</v>
      </c>
      <c r="S130" s="16">
        <v>5751</v>
      </c>
      <c r="T130" s="19" t="s">
        <v>807</v>
      </c>
      <c r="U130" s="13" t="s">
        <v>796</v>
      </c>
      <c r="V130" s="20" t="s">
        <v>625</v>
      </c>
      <c r="W130" s="13"/>
      <c r="X130" s="13" t="s">
        <v>797</v>
      </c>
      <c r="Y130" s="13"/>
      <c r="Z130" s="13"/>
      <c r="AA130" s="20" t="s">
        <v>808</v>
      </c>
      <c r="AB130" s="16" t="str">
        <f t="shared" ref="AB130:AB193" si="2">IF(NOT(ISBLANK(AD130)),IF(NOT(ISBLANK(AE130)),IF(NOT(ISBLANK(AG130)),IF(NOT(ISBLANK(AI130)),"Completed","For Final Review"),"For Peer Check"),"In Progress"),"Not Started")</f>
        <v>Completed</v>
      </c>
      <c r="AC130" s="18">
        <v>45988</v>
      </c>
      <c r="AD130" s="18">
        <v>45988</v>
      </c>
      <c r="AE130" s="18">
        <v>46003</v>
      </c>
      <c r="AF130" s="15"/>
      <c r="AG130" s="18">
        <v>46003</v>
      </c>
      <c r="AH130" s="15"/>
      <c r="AI130" s="18">
        <v>46003</v>
      </c>
      <c r="AJ130" s="21"/>
      <c r="AK130" s="22"/>
      <c r="AL130" s="22"/>
    </row>
    <row r="131" spans="1:38" ht="18" customHeight="1">
      <c r="A131" s="13" t="s">
        <v>693</v>
      </c>
      <c r="B131" s="13" t="s">
        <v>809</v>
      </c>
      <c r="C131" s="14" t="s">
        <v>773</v>
      </c>
      <c r="D131" s="15">
        <v>206272</v>
      </c>
      <c r="E131" s="16" t="s">
        <v>791</v>
      </c>
      <c r="F131" s="15">
        <v>601291</v>
      </c>
      <c r="G131" s="16">
        <v>3</v>
      </c>
      <c r="H131" s="18">
        <v>45805</v>
      </c>
      <c r="I131" s="19" t="s">
        <v>810</v>
      </c>
      <c r="J131" s="18">
        <v>44013</v>
      </c>
      <c r="K131" s="18">
        <v>46112</v>
      </c>
      <c r="L131" s="19" t="s">
        <v>95</v>
      </c>
      <c r="M131" s="19" t="s">
        <v>697</v>
      </c>
      <c r="N131" s="13" t="s">
        <v>802</v>
      </c>
      <c r="O131" s="13" t="s">
        <v>698</v>
      </c>
      <c r="P131" s="13" t="s">
        <v>699</v>
      </c>
      <c r="Q131" s="16">
        <v>1030242</v>
      </c>
      <c r="R131" s="16">
        <v>5751</v>
      </c>
      <c r="S131" s="16">
        <v>5751</v>
      </c>
      <c r="T131" s="19" t="s">
        <v>811</v>
      </c>
      <c r="U131" s="13" t="s">
        <v>796</v>
      </c>
      <c r="V131" s="20" t="s">
        <v>625</v>
      </c>
      <c r="W131" s="13"/>
      <c r="X131" s="13" t="s">
        <v>812</v>
      </c>
      <c r="Y131" s="13"/>
      <c r="Z131" s="13"/>
      <c r="AA131" s="20" t="s">
        <v>813</v>
      </c>
      <c r="AB131" s="16" t="str">
        <f t="shared" si="2"/>
        <v>Completed</v>
      </c>
      <c r="AC131" s="18">
        <v>45988</v>
      </c>
      <c r="AD131" s="18">
        <v>45988</v>
      </c>
      <c r="AE131" s="18">
        <v>46003</v>
      </c>
      <c r="AF131" s="15"/>
      <c r="AG131" s="18">
        <v>46003</v>
      </c>
      <c r="AH131" s="15"/>
      <c r="AI131" s="18">
        <v>46003</v>
      </c>
      <c r="AJ131" s="21"/>
      <c r="AK131" s="22"/>
      <c r="AL131" s="22"/>
    </row>
    <row r="132" spans="1:38" ht="18" customHeight="1">
      <c r="A132" s="13" t="s">
        <v>693</v>
      </c>
      <c r="B132" s="13" t="s">
        <v>814</v>
      </c>
      <c r="C132" s="14" t="s">
        <v>773</v>
      </c>
      <c r="D132" s="15">
        <v>129374</v>
      </c>
      <c r="E132" s="27" t="s">
        <v>815</v>
      </c>
      <c r="F132" s="17">
        <v>633723</v>
      </c>
      <c r="G132" s="16">
        <v>0</v>
      </c>
      <c r="H132" s="18">
        <v>44958</v>
      </c>
      <c r="I132" s="19" t="s">
        <v>816</v>
      </c>
      <c r="J132" s="18">
        <v>44958</v>
      </c>
      <c r="K132" s="18">
        <v>46783</v>
      </c>
      <c r="L132" s="19" t="s">
        <v>95</v>
      </c>
      <c r="M132" s="19" t="s">
        <v>817</v>
      </c>
      <c r="N132" s="13" t="s">
        <v>94</v>
      </c>
      <c r="O132" s="13" t="s">
        <v>698</v>
      </c>
      <c r="P132" s="13" t="s">
        <v>699</v>
      </c>
      <c r="Q132" s="16">
        <v>1030242</v>
      </c>
      <c r="R132" s="16">
        <v>1030242</v>
      </c>
      <c r="S132" s="16"/>
      <c r="T132" s="19" t="s">
        <v>818</v>
      </c>
      <c r="U132" s="26" t="s">
        <v>819</v>
      </c>
      <c r="V132" s="26" t="s">
        <v>625</v>
      </c>
      <c r="W132" s="32"/>
      <c r="X132" s="26" t="s">
        <v>820</v>
      </c>
      <c r="Y132" s="13"/>
      <c r="Z132" s="13"/>
      <c r="AA132" s="20" t="s">
        <v>821</v>
      </c>
      <c r="AB132" s="16" t="str">
        <f t="shared" si="2"/>
        <v>Completed</v>
      </c>
      <c r="AC132" s="18">
        <v>45988</v>
      </c>
      <c r="AD132" s="18">
        <v>45988</v>
      </c>
      <c r="AE132" s="18">
        <v>45994</v>
      </c>
      <c r="AF132" s="15"/>
      <c r="AG132" s="18">
        <v>45994</v>
      </c>
      <c r="AH132" s="15"/>
      <c r="AI132" s="18">
        <v>45994</v>
      </c>
      <c r="AJ132" s="21"/>
      <c r="AK132" s="22"/>
      <c r="AL132" s="22"/>
    </row>
    <row r="133" spans="1:38" ht="18" customHeight="1">
      <c r="A133" s="13" t="s">
        <v>693</v>
      </c>
      <c r="B133" s="13" t="s">
        <v>822</v>
      </c>
      <c r="C133" s="14" t="s">
        <v>773</v>
      </c>
      <c r="D133" s="15">
        <v>160923</v>
      </c>
      <c r="E133" s="27" t="s">
        <v>815</v>
      </c>
      <c r="F133" s="17">
        <v>633723</v>
      </c>
      <c r="G133" s="16">
        <v>1</v>
      </c>
      <c r="H133" s="18">
        <v>45210</v>
      </c>
      <c r="I133" s="19" t="s">
        <v>823</v>
      </c>
      <c r="J133" s="18">
        <v>44958</v>
      </c>
      <c r="K133" s="18">
        <v>46783</v>
      </c>
      <c r="L133" s="19" t="s">
        <v>95</v>
      </c>
      <c r="M133" s="19" t="s">
        <v>817</v>
      </c>
      <c r="N133" s="13" t="s">
        <v>794</v>
      </c>
      <c r="O133" s="13" t="s">
        <v>698</v>
      </c>
      <c r="P133" s="13" t="s">
        <v>699</v>
      </c>
      <c r="Q133" s="16">
        <v>1030242</v>
      </c>
      <c r="R133" s="16">
        <v>1030242</v>
      </c>
      <c r="S133" s="16"/>
      <c r="T133" s="19" t="s">
        <v>824</v>
      </c>
      <c r="U133" s="26" t="s">
        <v>819</v>
      </c>
      <c r="V133" s="26" t="s">
        <v>625</v>
      </c>
      <c r="W133" s="32"/>
      <c r="X133" s="26" t="s">
        <v>820</v>
      </c>
      <c r="Y133" s="13"/>
      <c r="Z133" s="13"/>
      <c r="AA133" s="20" t="s">
        <v>825</v>
      </c>
      <c r="AB133" s="16" t="str">
        <f t="shared" si="2"/>
        <v>Completed</v>
      </c>
      <c r="AC133" s="18">
        <v>45988</v>
      </c>
      <c r="AD133" s="18">
        <v>45988</v>
      </c>
      <c r="AE133" s="18">
        <v>45994</v>
      </c>
      <c r="AF133" s="15"/>
      <c r="AG133" s="18">
        <v>45994</v>
      </c>
      <c r="AH133" s="15"/>
      <c r="AI133" s="18">
        <v>45994</v>
      </c>
      <c r="AJ133" s="21"/>
      <c r="AK133" s="22"/>
      <c r="AL133" s="22"/>
    </row>
    <row r="134" spans="1:38" ht="18" customHeight="1">
      <c r="A134" s="13" t="s">
        <v>693</v>
      </c>
      <c r="B134" s="13" t="s">
        <v>826</v>
      </c>
      <c r="C134" s="14" t="s">
        <v>773</v>
      </c>
      <c r="D134" s="15">
        <v>179035</v>
      </c>
      <c r="E134" s="27" t="s">
        <v>815</v>
      </c>
      <c r="F134" s="17">
        <v>633723</v>
      </c>
      <c r="G134" s="16">
        <v>2</v>
      </c>
      <c r="H134" s="18">
        <v>45318</v>
      </c>
      <c r="I134" s="19" t="s">
        <v>823</v>
      </c>
      <c r="J134" s="18">
        <v>44958</v>
      </c>
      <c r="K134" s="18">
        <v>46783</v>
      </c>
      <c r="L134" s="19" t="s">
        <v>95</v>
      </c>
      <c r="M134" s="19" t="s">
        <v>817</v>
      </c>
      <c r="N134" s="13" t="s">
        <v>794</v>
      </c>
      <c r="O134" s="13" t="s">
        <v>698</v>
      </c>
      <c r="P134" s="13" t="s">
        <v>699</v>
      </c>
      <c r="Q134" s="16">
        <v>1030242</v>
      </c>
      <c r="R134" s="16">
        <v>1030242</v>
      </c>
      <c r="S134" s="16"/>
      <c r="T134" s="19" t="s">
        <v>827</v>
      </c>
      <c r="U134" s="26" t="s">
        <v>819</v>
      </c>
      <c r="V134" s="26" t="s">
        <v>625</v>
      </c>
      <c r="W134" s="32"/>
      <c r="X134" s="26" t="s">
        <v>820</v>
      </c>
      <c r="Y134" s="13"/>
      <c r="Z134" s="13"/>
      <c r="AA134" s="13"/>
      <c r="AB134" s="16" t="str">
        <f t="shared" si="2"/>
        <v>Completed</v>
      </c>
      <c r="AC134" s="18">
        <v>45988</v>
      </c>
      <c r="AD134" s="18">
        <v>45988</v>
      </c>
      <c r="AE134" s="18">
        <v>45994</v>
      </c>
      <c r="AF134" s="15"/>
      <c r="AG134" s="18">
        <v>45994</v>
      </c>
      <c r="AH134" s="15"/>
      <c r="AI134" s="18">
        <v>45994</v>
      </c>
      <c r="AJ134" s="21"/>
      <c r="AK134" s="22"/>
      <c r="AL134" s="22"/>
    </row>
    <row r="135" spans="1:38" ht="18" customHeight="1">
      <c r="A135" s="13" t="s">
        <v>693</v>
      </c>
      <c r="B135" s="13" t="s">
        <v>828</v>
      </c>
      <c r="C135" s="14" t="s">
        <v>773</v>
      </c>
      <c r="D135" s="15">
        <v>185629</v>
      </c>
      <c r="E135" s="16"/>
      <c r="F135" s="17">
        <v>633723</v>
      </c>
      <c r="G135" s="16">
        <v>3</v>
      </c>
      <c r="H135" s="18">
        <v>45470</v>
      </c>
      <c r="I135" s="19" t="s">
        <v>823</v>
      </c>
      <c r="J135" s="18">
        <v>44958</v>
      </c>
      <c r="K135" s="18">
        <v>46783</v>
      </c>
      <c r="L135" s="19" t="s">
        <v>95</v>
      </c>
      <c r="M135" s="19" t="s">
        <v>817</v>
      </c>
      <c r="N135" s="13" t="s">
        <v>794</v>
      </c>
      <c r="O135" s="13" t="s">
        <v>698</v>
      </c>
      <c r="P135" s="13" t="s">
        <v>699</v>
      </c>
      <c r="Q135" s="16">
        <v>1030242</v>
      </c>
      <c r="R135" s="16">
        <v>1030242</v>
      </c>
      <c r="S135" s="16"/>
      <c r="T135" s="19" t="s">
        <v>829</v>
      </c>
      <c r="U135" s="26" t="s">
        <v>819</v>
      </c>
      <c r="V135" s="26" t="s">
        <v>625</v>
      </c>
      <c r="W135" s="32"/>
      <c r="X135" s="26" t="s">
        <v>820</v>
      </c>
      <c r="Y135" s="13"/>
      <c r="Z135" s="13"/>
      <c r="AA135" s="13"/>
      <c r="AB135" s="16" t="str">
        <f t="shared" si="2"/>
        <v>Completed</v>
      </c>
      <c r="AC135" s="18">
        <v>45988</v>
      </c>
      <c r="AD135" s="18">
        <v>45988</v>
      </c>
      <c r="AE135" s="18">
        <v>45994</v>
      </c>
      <c r="AF135" s="15"/>
      <c r="AG135" s="18">
        <v>45994</v>
      </c>
      <c r="AH135" s="15"/>
      <c r="AI135" s="18">
        <v>45994</v>
      </c>
      <c r="AJ135" s="21"/>
      <c r="AK135" s="22"/>
      <c r="AL135" s="22"/>
    </row>
    <row r="136" spans="1:38" ht="18" customHeight="1">
      <c r="A136" s="13" t="s">
        <v>693</v>
      </c>
      <c r="B136" s="13" t="s">
        <v>830</v>
      </c>
      <c r="C136" s="14" t="s">
        <v>773</v>
      </c>
      <c r="D136" s="15">
        <v>217877</v>
      </c>
      <c r="E136" s="16"/>
      <c r="F136" s="17">
        <v>633723</v>
      </c>
      <c r="G136" s="16">
        <v>4</v>
      </c>
      <c r="H136" s="18">
        <v>45748</v>
      </c>
      <c r="I136" s="19" t="s">
        <v>823</v>
      </c>
      <c r="J136" s="18">
        <v>44958</v>
      </c>
      <c r="K136" s="18">
        <v>46783</v>
      </c>
      <c r="L136" s="19" t="s">
        <v>95</v>
      </c>
      <c r="M136" s="19" t="s">
        <v>817</v>
      </c>
      <c r="N136" s="13" t="s">
        <v>794</v>
      </c>
      <c r="O136" s="13" t="s">
        <v>698</v>
      </c>
      <c r="P136" s="13" t="s">
        <v>699</v>
      </c>
      <c r="Q136" s="16">
        <v>1030242</v>
      </c>
      <c r="R136" s="16">
        <v>1030242</v>
      </c>
      <c r="S136" s="16"/>
      <c r="T136" s="19" t="s">
        <v>831</v>
      </c>
      <c r="U136" s="26" t="s">
        <v>819</v>
      </c>
      <c r="V136" s="26" t="s">
        <v>625</v>
      </c>
      <c r="W136" s="32"/>
      <c r="X136" s="26" t="s">
        <v>820</v>
      </c>
      <c r="Y136" s="13"/>
      <c r="Z136" s="13"/>
      <c r="AA136" s="13"/>
      <c r="AB136" s="16" t="str">
        <f t="shared" si="2"/>
        <v>Completed</v>
      </c>
      <c r="AC136" s="18">
        <v>45988</v>
      </c>
      <c r="AD136" s="18">
        <v>45988</v>
      </c>
      <c r="AE136" s="18">
        <v>45994</v>
      </c>
      <c r="AF136" s="15"/>
      <c r="AG136" s="18">
        <v>45994</v>
      </c>
      <c r="AH136" s="15"/>
      <c r="AI136" s="18">
        <v>45994</v>
      </c>
      <c r="AJ136" s="21"/>
      <c r="AK136" s="22"/>
      <c r="AL136" s="22"/>
    </row>
    <row r="137" spans="1:38" ht="18" customHeight="1">
      <c r="A137" s="13" t="s">
        <v>693</v>
      </c>
      <c r="B137" s="13" t="s">
        <v>832</v>
      </c>
      <c r="C137" s="14" t="s">
        <v>773</v>
      </c>
      <c r="D137" s="15">
        <v>214575</v>
      </c>
      <c r="E137" s="16" t="s">
        <v>833</v>
      </c>
      <c r="F137" s="17" t="s">
        <v>38</v>
      </c>
      <c r="G137" s="16">
        <v>0</v>
      </c>
      <c r="H137" s="18">
        <v>45809</v>
      </c>
      <c r="I137" s="19" t="s">
        <v>638</v>
      </c>
      <c r="J137" s="18">
        <v>45809</v>
      </c>
      <c r="K137" s="18">
        <v>46904</v>
      </c>
      <c r="L137" s="19" t="s">
        <v>54</v>
      </c>
      <c r="M137" s="19" t="s">
        <v>834</v>
      </c>
      <c r="N137" s="13" t="s">
        <v>638</v>
      </c>
      <c r="O137" s="13" t="s">
        <v>698</v>
      </c>
      <c r="P137" s="13" t="s">
        <v>699</v>
      </c>
      <c r="Q137" s="16">
        <v>1030242</v>
      </c>
      <c r="R137" s="16">
        <v>1030242</v>
      </c>
      <c r="S137" s="16" t="s">
        <v>38</v>
      </c>
      <c r="T137" s="19" t="s">
        <v>835</v>
      </c>
      <c r="U137" s="13" t="s">
        <v>836</v>
      </c>
      <c r="V137" s="20" t="s">
        <v>837</v>
      </c>
      <c r="W137" s="13"/>
      <c r="X137" s="20" t="s">
        <v>838</v>
      </c>
      <c r="Y137" s="13"/>
      <c r="Z137" s="13"/>
      <c r="AA137" s="13"/>
      <c r="AB137" s="16" t="str">
        <f t="shared" si="2"/>
        <v>Completed</v>
      </c>
      <c r="AC137" s="18">
        <v>45988</v>
      </c>
      <c r="AD137" s="18">
        <v>45988</v>
      </c>
      <c r="AE137" s="18">
        <v>45994</v>
      </c>
      <c r="AF137" s="15"/>
      <c r="AG137" s="18">
        <v>45994</v>
      </c>
      <c r="AH137" s="15"/>
      <c r="AI137" s="18">
        <v>45994</v>
      </c>
      <c r="AJ137" s="21"/>
      <c r="AK137" s="22"/>
      <c r="AL137" s="22"/>
    </row>
    <row r="138" spans="1:38" ht="18" customHeight="1">
      <c r="A138" s="13" t="s">
        <v>693</v>
      </c>
      <c r="B138" s="13" t="s">
        <v>839</v>
      </c>
      <c r="C138" s="14" t="s">
        <v>773</v>
      </c>
      <c r="D138" s="15" t="s">
        <v>38</v>
      </c>
      <c r="E138" s="17" t="s">
        <v>840</v>
      </c>
      <c r="F138" s="17" t="s">
        <v>840</v>
      </c>
      <c r="G138" s="16">
        <v>0</v>
      </c>
      <c r="H138" s="18">
        <v>44682</v>
      </c>
      <c r="I138" s="19" t="s">
        <v>357</v>
      </c>
      <c r="J138" s="18">
        <v>44682</v>
      </c>
      <c r="K138" s="18">
        <v>46507</v>
      </c>
      <c r="L138" s="37" t="s">
        <v>63</v>
      </c>
      <c r="M138" s="19" t="s">
        <v>38</v>
      </c>
      <c r="N138" s="13" t="s">
        <v>357</v>
      </c>
      <c r="O138" s="13" t="s">
        <v>698</v>
      </c>
      <c r="P138" s="13" t="s">
        <v>699</v>
      </c>
      <c r="Q138" s="16">
        <v>1030242</v>
      </c>
      <c r="R138" s="16">
        <v>1030242</v>
      </c>
      <c r="S138" s="16" t="s">
        <v>38</v>
      </c>
      <c r="T138" s="19" t="s">
        <v>841</v>
      </c>
      <c r="U138" s="13" t="s">
        <v>38</v>
      </c>
      <c r="V138" s="20" t="s">
        <v>292</v>
      </c>
      <c r="W138" s="13"/>
      <c r="X138" s="13" t="s">
        <v>38</v>
      </c>
      <c r="Y138" s="13"/>
      <c r="Z138" s="13"/>
      <c r="AA138" s="13"/>
      <c r="AB138" s="16" t="str">
        <f t="shared" si="2"/>
        <v>Completed</v>
      </c>
      <c r="AC138" s="18">
        <v>45988</v>
      </c>
      <c r="AD138" s="18">
        <v>45994</v>
      </c>
      <c r="AE138" s="18">
        <v>45994</v>
      </c>
      <c r="AF138" s="15"/>
      <c r="AG138" s="18">
        <v>45994</v>
      </c>
      <c r="AH138" s="15"/>
      <c r="AI138" s="18">
        <v>45994</v>
      </c>
      <c r="AJ138" s="21"/>
      <c r="AK138" s="22"/>
      <c r="AL138" s="22"/>
    </row>
    <row r="139" spans="1:38" ht="18" customHeight="1">
      <c r="A139" s="13" t="s">
        <v>693</v>
      </c>
      <c r="B139" s="13" t="s">
        <v>842</v>
      </c>
      <c r="C139" s="14" t="s">
        <v>773</v>
      </c>
      <c r="D139" s="15" t="s">
        <v>38</v>
      </c>
      <c r="E139" s="16" t="s">
        <v>696</v>
      </c>
      <c r="F139" s="17">
        <v>602716</v>
      </c>
      <c r="G139" s="16">
        <v>0</v>
      </c>
      <c r="H139" s="18">
        <v>44053</v>
      </c>
      <c r="I139" s="19" t="s">
        <v>711</v>
      </c>
      <c r="J139" s="18">
        <v>44053</v>
      </c>
      <c r="K139" s="18">
        <v>45147</v>
      </c>
      <c r="L139" s="19" t="s">
        <v>95</v>
      </c>
      <c r="M139" s="37" t="s">
        <v>96</v>
      </c>
      <c r="N139" s="13" t="s">
        <v>94</v>
      </c>
      <c r="O139" s="13" t="s">
        <v>698</v>
      </c>
      <c r="P139" s="13" t="s">
        <v>699</v>
      </c>
      <c r="Q139" s="16">
        <v>1030242</v>
      </c>
      <c r="R139" s="16">
        <v>1030242</v>
      </c>
      <c r="S139" s="16" t="s">
        <v>38</v>
      </c>
      <c r="T139" s="19" t="s">
        <v>712</v>
      </c>
      <c r="U139" s="13" t="s">
        <v>843</v>
      </c>
      <c r="V139" s="20" t="s">
        <v>532</v>
      </c>
      <c r="W139" s="13"/>
      <c r="X139" s="20" t="s">
        <v>844</v>
      </c>
      <c r="Y139" s="13" t="s">
        <v>715</v>
      </c>
      <c r="Z139" s="13"/>
      <c r="AA139" s="13"/>
      <c r="AB139" s="16" t="str">
        <f t="shared" si="2"/>
        <v>Completed</v>
      </c>
      <c r="AC139" s="18">
        <v>45988</v>
      </c>
      <c r="AD139" s="18">
        <v>45994</v>
      </c>
      <c r="AE139" s="18">
        <v>45994</v>
      </c>
      <c r="AF139" s="15"/>
      <c r="AG139" s="18">
        <v>45994</v>
      </c>
      <c r="AH139" s="15"/>
      <c r="AI139" s="18">
        <v>45994</v>
      </c>
      <c r="AJ139" s="21"/>
      <c r="AK139" s="22"/>
      <c r="AL139" s="22"/>
    </row>
    <row r="140" spans="1:38" ht="18" customHeight="1">
      <c r="A140" s="13" t="s">
        <v>693</v>
      </c>
      <c r="B140" s="13" t="s">
        <v>842</v>
      </c>
      <c r="C140" s="14" t="s">
        <v>773</v>
      </c>
      <c r="D140" s="16">
        <v>124876</v>
      </c>
      <c r="E140" s="16" t="s">
        <v>696</v>
      </c>
      <c r="F140" s="17">
        <v>602716</v>
      </c>
      <c r="G140" s="16">
        <v>4</v>
      </c>
      <c r="H140" s="18">
        <v>44803</v>
      </c>
      <c r="I140" s="19" t="s">
        <v>551</v>
      </c>
      <c r="J140" s="18">
        <v>44053</v>
      </c>
      <c r="K140" s="18">
        <v>45147</v>
      </c>
      <c r="L140" s="19" t="s">
        <v>95</v>
      </c>
      <c r="M140" s="19" t="s">
        <v>96</v>
      </c>
      <c r="N140" s="13" t="s">
        <v>117</v>
      </c>
      <c r="O140" s="13" t="s">
        <v>698</v>
      </c>
      <c r="P140" s="13" t="s">
        <v>699</v>
      </c>
      <c r="Q140" s="16">
        <v>1030242</v>
      </c>
      <c r="R140" s="16">
        <v>1030242</v>
      </c>
      <c r="S140" s="16" t="s">
        <v>38</v>
      </c>
      <c r="T140" s="19" t="s">
        <v>845</v>
      </c>
      <c r="U140" s="13" t="s">
        <v>843</v>
      </c>
      <c r="V140" s="20" t="s">
        <v>532</v>
      </c>
      <c r="W140" s="13"/>
      <c r="X140" s="20" t="s">
        <v>844</v>
      </c>
      <c r="Y140" s="13" t="s">
        <v>715</v>
      </c>
      <c r="Z140" s="13"/>
      <c r="AA140" s="13"/>
      <c r="AB140" s="16" t="str">
        <f t="shared" si="2"/>
        <v>Completed</v>
      </c>
      <c r="AC140" s="18">
        <v>45988</v>
      </c>
      <c r="AD140" s="18">
        <v>45994</v>
      </c>
      <c r="AE140" s="18">
        <v>45994</v>
      </c>
      <c r="AF140" s="15"/>
      <c r="AG140" s="18">
        <v>45994</v>
      </c>
      <c r="AH140" s="15"/>
      <c r="AI140" s="18">
        <v>45994</v>
      </c>
      <c r="AJ140" s="21"/>
      <c r="AK140" s="22"/>
      <c r="AL140" s="22"/>
    </row>
    <row r="141" spans="1:38" ht="18" customHeight="1">
      <c r="A141" s="13" t="s">
        <v>693</v>
      </c>
      <c r="B141" s="13" t="s">
        <v>846</v>
      </c>
      <c r="C141" s="14" t="s">
        <v>773</v>
      </c>
      <c r="D141" s="15">
        <v>138668</v>
      </c>
      <c r="E141" s="16" t="s">
        <v>696</v>
      </c>
      <c r="F141" s="17">
        <v>606128</v>
      </c>
      <c r="G141" s="16">
        <v>5</v>
      </c>
      <c r="H141" s="18">
        <v>44886</v>
      </c>
      <c r="I141" s="19" t="s">
        <v>847</v>
      </c>
      <c r="J141" s="18">
        <v>44136</v>
      </c>
      <c r="K141" s="18">
        <v>45961</v>
      </c>
      <c r="L141" s="19" t="s">
        <v>95</v>
      </c>
      <c r="M141" s="19" t="s">
        <v>718</v>
      </c>
      <c r="N141" s="13" t="s">
        <v>117</v>
      </c>
      <c r="O141" s="13" t="s">
        <v>698</v>
      </c>
      <c r="P141" s="13" t="s">
        <v>699</v>
      </c>
      <c r="Q141" s="16">
        <v>1030242</v>
      </c>
      <c r="R141" s="16">
        <v>1030242</v>
      </c>
      <c r="S141" s="16" t="s">
        <v>38</v>
      </c>
      <c r="T141" s="19" t="s">
        <v>848</v>
      </c>
      <c r="U141" s="20" t="s">
        <v>720</v>
      </c>
      <c r="V141" s="20" t="s">
        <v>299</v>
      </c>
      <c r="W141" s="13"/>
      <c r="X141" s="20" t="s">
        <v>849</v>
      </c>
      <c r="Y141" s="13" t="s">
        <v>731</v>
      </c>
      <c r="Z141" s="13"/>
      <c r="AA141" s="13"/>
      <c r="AB141" s="16" t="str">
        <f t="shared" si="2"/>
        <v>Completed</v>
      </c>
      <c r="AC141" s="18">
        <v>45988</v>
      </c>
      <c r="AD141" s="18">
        <v>45994</v>
      </c>
      <c r="AE141" s="18">
        <v>45994</v>
      </c>
      <c r="AF141" s="15"/>
      <c r="AG141" s="18">
        <v>45994</v>
      </c>
      <c r="AH141" s="15"/>
      <c r="AI141" s="18">
        <v>45994</v>
      </c>
      <c r="AJ141" s="21"/>
      <c r="AK141" s="22"/>
      <c r="AL141" s="22"/>
    </row>
    <row r="142" spans="1:38" ht="18" customHeight="1">
      <c r="A142" s="13" t="s">
        <v>693</v>
      </c>
      <c r="B142" s="13" t="s">
        <v>850</v>
      </c>
      <c r="C142" s="14" t="s">
        <v>773</v>
      </c>
      <c r="D142" s="15">
        <v>143736</v>
      </c>
      <c r="E142" s="16" t="s">
        <v>696</v>
      </c>
      <c r="F142" s="17">
        <v>606128</v>
      </c>
      <c r="G142" s="16">
        <v>6</v>
      </c>
      <c r="H142" s="18">
        <v>44964</v>
      </c>
      <c r="I142" s="19" t="s">
        <v>847</v>
      </c>
      <c r="J142" s="18">
        <v>44136</v>
      </c>
      <c r="K142" s="18">
        <v>45961</v>
      </c>
      <c r="L142" s="19" t="s">
        <v>95</v>
      </c>
      <c r="M142" s="19" t="s">
        <v>718</v>
      </c>
      <c r="N142" s="13" t="s">
        <v>117</v>
      </c>
      <c r="O142" s="13" t="s">
        <v>698</v>
      </c>
      <c r="P142" s="13" t="s">
        <v>699</v>
      </c>
      <c r="Q142" s="16">
        <v>1030242</v>
      </c>
      <c r="R142" s="16">
        <v>1030242</v>
      </c>
      <c r="S142" s="16" t="s">
        <v>38</v>
      </c>
      <c r="T142" s="19" t="s">
        <v>851</v>
      </c>
      <c r="U142" s="13" t="s">
        <v>720</v>
      </c>
      <c r="V142" s="20" t="s">
        <v>299</v>
      </c>
      <c r="W142" s="13"/>
      <c r="X142" s="13" t="s">
        <v>852</v>
      </c>
      <c r="Y142" s="13" t="s">
        <v>731</v>
      </c>
      <c r="Z142" s="13"/>
      <c r="AA142" s="13"/>
      <c r="AB142" s="16" t="str">
        <f t="shared" si="2"/>
        <v>Completed</v>
      </c>
      <c r="AC142" s="18">
        <v>45988</v>
      </c>
      <c r="AD142" s="18">
        <v>45994</v>
      </c>
      <c r="AE142" s="18">
        <v>45994</v>
      </c>
      <c r="AF142" s="15"/>
      <c r="AG142" s="18">
        <v>45994</v>
      </c>
      <c r="AH142" s="15"/>
      <c r="AI142" s="18">
        <v>45994</v>
      </c>
      <c r="AJ142" s="21"/>
      <c r="AK142" s="22"/>
      <c r="AL142" s="22"/>
    </row>
    <row r="143" spans="1:38" ht="18" customHeight="1">
      <c r="A143" s="13" t="s">
        <v>693</v>
      </c>
      <c r="B143" s="13" t="s">
        <v>853</v>
      </c>
      <c r="C143" s="14" t="s">
        <v>773</v>
      </c>
      <c r="D143" s="15">
        <v>146936</v>
      </c>
      <c r="E143" s="16" t="s">
        <v>696</v>
      </c>
      <c r="F143" s="17">
        <v>595588</v>
      </c>
      <c r="G143" s="16">
        <v>4</v>
      </c>
      <c r="H143" s="18">
        <v>44969</v>
      </c>
      <c r="I143" s="19" t="s">
        <v>769</v>
      </c>
      <c r="J143" s="18">
        <v>43875</v>
      </c>
      <c r="K143" s="18">
        <v>45701</v>
      </c>
      <c r="L143" s="19" t="s">
        <v>95</v>
      </c>
      <c r="M143" s="19" t="s">
        <v>854</v>
      </c>
      <c r="N143" s="13" t="s">
        <v>117</v>
      </c>
      <c r="O143" s="13" t="s">
        <v>698</v>
      </c>
      <c r="P143" s="13" t="s">
        <v>699</v>
      </c>
      <c r="Q143" s="16">
        <v>1030242</v>
      </c>
      <c r="R143" s="16">
        <v>1030242</v>
      </c>
      <c r="S143" s="16" t="s">
        <v>38</v>
      </c>
      <c r="T143" s="19" t="s">
        <v>855</v>
      </c>
      <c r="U143" s="20" t="s">
        <v>735</v>
      </c>
      <c r="V143" s="20" t="s">
        <v>625</v>
      </c>
      <c r="W143" s="13"/>
      <c r="X143" s="20" t="s">
        <v>771</v>
      </c>
      <c r="Y143" s="13" t="s">
        <v>703</v>
      </c>
      <c r="Z143" s="13"/>
      <c r="AA143" s="13"/>
      <c r="AB143" s="16" t="str">
        <f t="shared" si="2"/>
        <v>Completed</v>
      </c>
      <c r="AC143" s="18">
        <v>45988</v>
      </c>
      <c r="AD143" s="18">
        <v>45994</v>
      </c>
      <c r="AE143" s="18">
        <v>46003</v>
      </c>
      <c r="AF143" s="15"/>
      <c r="AG143" s="18">
        <v>46006</v>
      </c>
      <c r="AH143" s="15" t="s">
        <v>856</v>
      </c>
      <c r="AI143" s="18">
        <v>46006</v>
      </c>
      <c r="AJ143" s="21"/>
      <c r="AK143" s="22"/>
      <c r="AL143" s="22"/>
    </row>
    <row r="144" spans="1:38" ht="18" customHeight="1">
      <c r="A144" s="13" t="s">
        <v>693</v>
      </c>
      <c r="B144" s="13" t="s">
        <v>857</v>
      </c>
      <c r="C144" s="14" t="s">
        <v>773</v>
      </c>
      <c r="D144" s="15" t="s">
        <v>38</v>
      </c>
      <c r="E144" s="16" t="s">
        <v>840</v>
      </c>
      <c r="F144" s="16" t="s">
        <v>840</v>
      </c>
      <c r="G144" s="16">
        <v>1</v>
      </c>
      <c r="H144" s="18">
        <v>45006</v>
      </c>
      <c r="I144" s="19" t="s">
        <v>67</v>
      </c>
      <c r="J144" s="18">
        <v>44682</v>
      </c>
      <c r="K144" s="18">
        <v>46507</v>
      </c>
      <c r="L144" s="37" t="s">
        <v>63</v>
      </c>
      <c r="M144" s="19" t="s">
        <v>38</v>
      </c>
      <c r="N144" s="13" t="s">
        <v>858</v>
      </c>
      <c r="O144" s="13" t="s">
        <v>698</v>
      </c>
      <c r="P144" s="13" t="s">
        <v>699</v>
      </c>
      <c r="Q144" s="16">
        <v>1030242</v>
      </c>
      <c r="R144" s="16">
        <v>1030242</v>
      </c>
      <c r="S144" s="16" t="s">
        <v>38</v>
      </c>
      <c r="T144" s="13" t="s">
        <v>857</v>
      </c>
      <c r="U144" s="13" t="s">
        <v>38</v>
      </c>
      <c r="V144" s="20" t="s">
        <v>292</v>
      </c>
      <c r="W144" s="13"/>
      <c r="X144" s="13" t="s">
        <v>38</v>
      </c>
      <c r="Y144" s="13"/>
      <c r="Z144" s="13"/>
      <c r="AA144" s="13" t="s">
        <v>859</v>
      </c>
      <c r="AB144" s="16" t="str">
        <f t="shared" si="2"/>
        <v>Completed</v>
      </c>
      <c r="AC144" s="18">
        <v>45988</v>
      </c>
      <c r="AD144" s="18">
        <v>45994</v>
      </c>
      <c r="AE144" s="18">
        <v>46003</v>
      </c>
      <c r="AF144" s="15" t="s">
        <v>856</v>
      </c>
      <c r="AG144" s="18">
        <v>46006</v>
      </c>
      <c r="AH144" s="15" t="s">
        <v>856</v>
      </c>
      <c r="AI144" s="18">
        <v>46006</v>
      </c>
      <c r="AJ144" s="21"/>
      <c r="AK144" s="22"/>
      <c r="AL144" s="22"/>
    </row>
    <row r="145" spans="1:38" ht="18" customHeight="1">
      <c r="A145" s="13" t="s">
        <v>693</v>
      </c>
      <c r="B145" s="13" t="s">
        <v>860</v>
      </c>
      <c r="C145" s="14" t="s">
        <v>773</v>
      </c>
      <c r="D145" s="15" t="s">
        <v>38</v>
      </c>
      <c r="E145" s="16" t="s">
        <v>840</v>
      </c>
      <c r="F145" s="14" t="s">
        <v>861</v>
      </c>
      <c r="G145" s="16">
        <v>0</v>
      </c>
      <c r="H145" s="18">
        <v>45078</v>
      </c>
      <c r="I145" s="19" t="s">
        <v>862</v>
      </c>
      <c r="J145" s="18">
        <v>45078</v>
      </c>
      <c r="K145" s="18">
        <v>46173</v>
      </c>
      <c r="L145" s="19" t="s">
        <v>54</v>
      </c>
      <c r="M145" s="37" t="s">
        <v>863</v>
      </c>
      <c r="N145" s="13" t="s">
        <v>94</v>
      </c>
      <c r="O145" s="13" t="s">
        <v>698</v>
      </c>
      <c r="P145" s="13" t="s">
        <v>699</v>
      </c>
      <c r="Q145" s="16">
        <v>1030242</v>
      </c>
      <c r="R145" s="16">
        <v>1030242</v>
      </c>
      <c r="S145" s="16" t="s">
        <v>38</v>
      </c>
      <c r="T145" s="19" t="s">
        <v>864</v>
      </c>
      <c r="U145" s="26" t="s">
        <v>865</v>
      </c>
      <c r="V145" s="26" t="s">
        <v>517</v>
      </c>
      <c r="W145" s="32"/>
      <c r="X145" s="26" t="s">
        <v>866</v>
      </c>
      <c r="Y145" s="13" t="s">
        <v>867</v>
      </c>
      <c r="Z145" s="13"/>
      <c r="AA145" s="13" t="s">
        <v>868</v>
      </c>
      <c r="AB145" s="16" t="str">
        <f t="shared" si="2"/>
        <v>Completed</v>
      </c>
      <c r="AC145" s="18">
        <v>45988</v>
      </c>
      <c r="AD145" s="18">
        <v>45994</v>
      </c>
      <c r="AE145" s="18">
        <v>45994</v>
      </c>
      <c r="AF145" s="15" t="s">
        <v>856</v>
      </c>
      <c r="AG145" s="18">
        <v>46003</v>
      </c>
      <c r="AH145" s="15" t="s">
        <v>856</v>
      </c>
      <c r="AI145" s="18">
        <v>46006</v>
      </c>
      <c r="AJ145" s="21"/>
      <c r="AK145" s="22"/>
      <c r="AL145" s="22"/>
    </row>
    <row r="146" spans="1:38" ht="18" customHeight="1">
      <c r="A146" s="13" t="s">
        <v>693</v>
      </c>
      <c r="B146" s="13" t="s">
        <v>869</v>
      </c>
      <c r="C146" s="14" t="s">
        <v>773</v>
      </c>
      <c r="D146" s="15" t="s">
        <v>38</v>
      </c>
      <c r="E146" s="16" t="s">
        <v>840</v>
      </c>
      <c r="F146" s="15" t="s">
        <v>38</v>
      </c>
      <c r="G146" s="16">
        <v>0</v>
      </c>
      <c r="H146" s="18">
        <v>45108</v>
      </c>
      <c r="I146" s="19" t="s">
        <v>870</v>
      </c>
      <c r="J146" s="18">
        <v>45108</v>
      </c>
      <c r="K146" s="18">
        <v>46203</v>
      </c>
      <c r="L146" s="19" t="s">
        <v>54</v>
      </c>
      <c r="M146" s="19" t="s">
        <v>871</v>
      </c>
      <c r="N146" s="13" t="s">
        <v>94</v>
      </c>
      <c r="O146" s="13" t="s">
        <v>698</v>
      </c>
      <c r="P146" s="13" t="s">
        <v>699</v>
      </c>
      <c r="Q146" s="16">
        <v>1030242</v>
      </c>
      <c r="R146" s="16">
        <v>1030242</v>
      </c>
      <c r="S146" s="16" t="s">
        <v>38</v>
      </c>
      <c r="T146" s="19" t="s">
        <v>872</v>
      </c>
      <c r="U146" s="26" t="s">
        <v>873</v>
      </c>
      <c r="V146" s="26" t="s">
        <v>874</v>
      </c>
      <c r="W146" s="32"/>
      <c r="X146" s="26" t="s">
        <v>875</v>
      </c>
      <c r="Y146" s="20" t="s">
        <v>876</v>
      </c>
      <c r="Z146" s="13"/>
      <c r="AA146" s="13"/>
      <c r="AB146" s="16" t="str">
        <f t="shared" si="2"/>
        <v>Completed</v>
      </c>
      <c r="AC146" s="18">
        <v>45988</v>
      </c>
      <c r="AD146" s="18">
        <v>45996</v>
      </c>
      <c r="AE146" s="18">
        <v>46003</v>
      </c>
      <c r="AF146" s="15"/>
      <c r="AG146" s="18">
        <v>46003</v>
      </c>
      <c r="AH146" s="15" t="s">
        <v>856</v>
      </c>
      <c r="AI146" s="18">
        <v>46006</v>
      </c>
      <c r="AJ146" s="21"/>
      <c r="AK146" s="22"/>
      <c r="AL146" s="22"/>
    </row>
    <row r="147" spans="1:38" ht="18" customHeight="1">
      <c r="A147" s="13" t="s">
        <v>693</v>
      </c>
      <c r="B147" s="13" t="s">
        <v>877</v>
      </c>
      <c r="C147" s="14" t="s">
        <v>773</v>
      </c>
      <c r="D147" s="15" t="s">
        <v>38</v>
      </c>
      <c r="E147" s="16" t="s">
        <v>840</v>
      </c>
      <c r="F147" s="15" t="s">
        <v>38</v>
      </c>
      <c r="G147" s="16">
        <v>0</v>
      </c>
      <c r="H147" s="18">
        <v>45108</v>
      </c>
      <c r="I147" s="19" t="s">
        <v>870</v>
      </c>
      <c r="J147" s="18">
        <v>45108</v>
      </c>
      <c r="K147" s="18">
        <v>46203</v>
      </c>
      <c r="L147" s="19" t="s">
        <v>54</v>
      </c>
      <c r="M147" s="19" t="s">
        <v>871</v>
      </c>
      <c r="N147" s="13" t="s">
        <v>94</v>
      </c>
      <c r="O147" s="13" t="s">
        <v>698</v>
      </c>
      <c r="P147" s="13" t="s">
        <v>699</v>
      </c>
      <c r="Q147" s="16">
        <v>1030242</v>
      </c>
      <c r="R147" s="16">
        <v>1030242</v>
      </c>
      <c r="S147" s="16" t="s">
        <v>38</v>
      </c>
      <c r="T147" s="19" t="s">
        <v>872</v>
      </c>
      <c r="U147" s="26" t="s">
        <v>878</v>
      </c>
      <c r="V147" s="26" t="s">
        <v>874</v>
      </c>
      <c r="W147" s="32"/>
      <c r="X147" s="26" t="s">
        <v>879</v>
      </c>
      <c r="Y147" s="20" t="s">
        <v>880</v>
      </c>
      <c r="Z147" s="13"/>
      <c r="AA147" s="13"/>
      <c r="AB147" s="16" t="str">
        <f t="shared" si="2"/>
        <v>Completed</v>
      </c>
      <c r="AC147" s="18">
        <v>45988</v>
      </c>
      <c r="AD147" s="18">
        <v>45996</v>
      </c>
      <c r="AE147" s="18">
        <v>46006</v>
      </c>
      <c r="AF147" s="15" t="s">
        <v>856</v>
      </c>
      <c r="AG147" s="18">
        <v>46006</v>
      </c>
      <c r="AH147" s="15" t="s">
        <v>856</v>
      </c>
      <c r="AI147" s="18">
        <v>46006</v>
      </c>
      <c r="AJ147" s="21"/>
      <c r="AK147" s="22"/>
      <c r="AL147" s="22"/>
    </row>
    <row r="148" spans="1:38" ht="18" customHeight="1">
      <c r="A148" s="13" t="s">
        <v>693</v>
      </c>
      <c r="B148" s="13" t="s">
        <v>881</v>
      </c>
      <c r="C148" s="14" t="s">
        <v>773</v>
      </c>
      <c r="D148" s="16">
        <v>158890</v>
      </c>
      <c r="E148" s="16" t="s">
        <v>696</v>
      </c>
      <c r="F148" s="17">
        <v>606128</v>
      </c>
      <c r="G148" s="16">
        <v>7</v>
      </c>
      <c r="H148" s="18">
        <v>45125</v>
      </c>
      <c r="I148" s="19" t="s">
        <v>847</v>
      </c>
      <c r="J148" s="18">
        <v>44136</v>
      </c>
      <c r="K148" s="18">
        <v>45961</v>
      </c>
      <c r="L148" s="19" t="s">
        <v>95</v>
      </c>
      <c r="M148" s="19" t="s">
        <v>718</v>
      </c>
      <c r="N148" s="13" t="s">
        <v>117</v>
      </c>
      <c r="O148" s="13" t="s">
        <v>698</v>
      </c>
      <c r="P148" s="13" t="s">
        <v>699</v>
      </c>
      <c r="Q148" s="16">
        <v>1030242</v>
      </c>
      <c r="R148" s="16">
        <v>1030242</v>
      </c>
      <c r="S148" s="16" t="s">
        <v>38</v>
      </c>
      <c r="T148" s="19" t="s">
        <v>882</v>
      </c>
      <c r="U148" s="13" t="s">
        <v>720</v>
      </c>
      <c r="V148" s="20" t="s">
        <v>299</v>
      </c>
      <c r="W148" s="13"/>
      <c r="X148" s="20" t="s">
        <v>883</v>
      </c>
      <c r="Y148" s="13" t="s">
        <v>731</v>
      </c>
      <c r="Z148" s="13"/>
      <c r="AA148" s="13"/>
      <c r="AB148" s="16" t="str">
        <f t="shared" si="2"/>
        <v>Completed</v>
      </c>
      <c r="AC148" s="18">
        <v>45988</v>
      </c>
      <c r="AD148" s="18">
        <v>45994</v>
      </c>
      <c r="AE148" s="18">
        <v>45994</v>
      </c>
      <c r="AF148" s="15"/>
      <c r="AG148" s="18">
        <v>45994</v>
      </c>
      <c r="AH148" s="15"/>
      <c r="AI148" s="18">
        <v>45994</v>
      </c>
      <c r="AJ148" s="21"/>
      <c r="AK148" s="22"/>
      <c r="AL148" s="22"/>
    </row>
    <row r="149" spans="1:38" ht="18" customHeight="1">
      <c r="A149" s="13" t="s">
        <v>693</v>
      </c>
      <c r="B149" s="13" t="s">
        <v>884</v>
      </c>
      <c r="C149" s="14" t="s">
        <v>773</v>
      </c>
      <c r="D149" s="15" t="s">
        <v>38</v>
      </c>
      <c r="E149" s="16" t="s">
        <v>840</v>
      </c>
      <c r="F149" s="15" t="s">
        <v>38</v>
      </c>
      <c r="G149" s="16">
        <v>0</v>
      </c>
      <c r="H149" s="18">
        <v>45332</v>
      </c>
      <c r="I149" s="19" t="s">
        <v>870</v>
      </c>
      <c r="J149" s="18">
        <v>45332</v>
      </c>
      <c r="K149" s="18">
        <v>47157</v>
      </c>
      <c r="L149" s="19" t="s">
        <v>54</v>
      </c>
      <c r="M149" s="19" t="s">
        <v>871</v>
      </c>
      <c r="N149" s="13" t="s">
        <v>94</v>
      </c>
      <c r="O149" s="13" t="s">
        <v>698</v>
      </c>
      <c r="P149" s="13" t="s">
        <v>699</v>
      </c>
      <c r="Q149" s="16">
        <v>1030242</v>
      </c>
      <c r="R149" s="16">
        <v>1030242</v>
      </c>
      <c r="S149" s="16" t="s">
        <v>38</v>
      </c>
      <c r="T149" s="19" t="s">
        <v>885</v>
      </c>
      <c r="U149" s="13" t="s">
        <v>886</v>
      </c>
      <c r="V149" s="26" t="s">
        <v>874</v>
      </c>
      <c r="W149" s="32"/>
      <c r="X149" s="32" t="s">
        <v>879</v>
      </c>
      <c r="Y149" s="13" t="s">
        <v>880</v>
      </c>
      <c r="Z149" s="13"/>
      <c r="AA149" s="13"/>
      <c r="AB149" s="16" t="str">
        <f t="shared" si="2"/>
        <v>Completed</v>
      </c>
      <c r="AC149" s="18">
        <v>45988</v>
      </c>
      <c r="AD149" s="18">
        <v>45996</v>
      </c>
      <c r="AE149" s="18">
        <v>46003</v>
      </c>
      <c r="AF149" s="15"/>
      <c r="AG149" s="18">
        <v>46003</v>
      </c>
      <c r="AH149" s="15" t="s">
        <v>856</v>
      </c>
      <c r="AI149" s="18">
        <v>46006</v>
      </c>
      <c r="AJ149" s="21"/>
      <c r="AK149" s="22"/>
      <c r="AL149" s="22"/>
    </row>
    <row r="150" spans="1:38" ht="18" customHeight="1">
      <c r="A150" s="13" t="s">
        <v>693</v>
      </c>
      <c r="B150" s="13" t="s">
        <v>887</v>
      </c>
      <c r="C150" s="14" t="s">
        <v>773</v>
      </c>
      <c r="D150" s="45">
        <v>166674</v>
      </c>
      <c r="E150" s="16" t="s">
        <v>840</v>
      </c>
      <c r="F150" s="14">
        <v>640834</v>
      </c>
      <c r="G150" s="16">
        <v>0</v>
      </c>
      <c r="H150" s="18">
        <v>45158</v>
      </c>
      <c r="I150" s="19" t="s">
        <v>888</v>
      </c>
      <c r="J150" s="18">
        <v>45158</v>
      </c>
      <c r="K150" s="18">
        <v>45523</v>
      </c>
      <c r="L150" s="19" t="s">
        <v>95</v>
      </c>
      <c r="M150" s="19" t="s">
        <v>157</v>
      </c>
      <c r="N150" s="13" t="s">
        <v>94</v>
      </c>
      <c r="O150" s="13" t="s">
        <v>698</v>
      </c>
      <c r="P150" s="13" t="s">
        <v>699</v>
      </c>
      <c r="Q150" s="16">
        <v>1030242</v>
      </c>
      <c r="R150" s="16">
        <v>1030242</v>
      </c>
      <c r="S150" s="16" t="s">
        <v>38</v>
      </c>
      <c r="T150" s="46" t="s">
        <v>889</v>
      </c>
      <c r="U150" s="13" t="s">
        <v>886</v>
      </c>
      <c r="V150" s="20" t="s">
        <v>625</v>
      </c>
      <c r="W150" s="13"/>
      <c r="X150" s="20" t="s">
        <v>890</v>
      </c>
      <c r="Y150" s="20" t="s">
        <v>891</v>
      </c>
      <c r="Z150" s="13"/>
      <c r="AA150" s="13"/>
      <c r="AB150" s="16" t="str">
        <f t="shared" si="2"/>
        <v>Completed</v>
      </c>
      <c r="AC150" s="18">
        <v>45988</v>
      </c>
      <c r="AD150" s="18">
        <v>45996</v>
      </c>
      <c r="AE150" s="18">
        <v>46003</v>
      </c>
      <c r="AF150" s="15"/>
      <c r="AG150" s="18">
        <v>46003</v>
      </c>
      <c r="AH150" s="15" t="s">
        <v>856</v>
      </c>
      <c r="AI150" s="18">
        <v>46007</v>
      </c>
      <c r="AJ150" s="21"/>
      <c r="AK150" s="22"/>
      <c r="AL150" s="22"/>
    </row>
    <row r="151" spans="1:38" ht="18" customHeight="1">
      <c r="A151" s="13" t="s">
        <v>693</v>
      </c>
      <c r="B151" s="13" t="s">
        <v>892</v>
      </c>
      <c r="C151" s="14" t="s">
        <v>773</v>
      </c>
      <c r="D151" s="45">
        <v>153546</v>
      </c>
      <c r="E151" s="16" t="s">
        <v>696</v>
      </c>
      <c r="F151" s="14">
        <v>602716</v>
      </c>
      <c r="G151" s="16">
        <v>5</v>
      </c>
      <c r="H151" s="18">
        <v>45148</v>
      </c>
      <c r="I151" s="19" t="s">
        <v>551</v>
      </c>
      <c r="J151" s="18">
        <v>44053</v>
      </c>
      <c r="K151" s="18">
        <v>45878</v>
      </c>
      <c r="L151" s="19" t="s">
        <v>95</v>
      </c>
      <c r="M151" s="19" t="s">
        <v>96</v>
      </c>
      <c r="N151" s="13" t="s">
        <v>117</v>
      </c>
      <c r="O151" s="13" t="s">
        <v>698</v>
      </c>
      <c r="P151" s="13" t="s">
        <v>699</v>
      </c>
      <c r="Q151" s="16">
        <v>1030242</v>
      </c>
      <c r="R151" s="16">
        <v>1030242</v>
      </c>
      <c r="S151" s="16" t="s">
        <v>38</v>
      </c>
      <c r="T151" s="46" t="s">
        <v>893</v>
      </c>
      <c r="U151" s="13" t="s">
        <v>843</v>
      </c>
      <c r="V151" s="20" t="s">
        <v>532</v>
      </c>
      <c r="W151" s="13"/>
      <c r="X151" s="20" t="s">
        <v>844</v>
      </c>
      <c r="Y151" s="13" t="s">
        <v>715</v>
      </c>
      <c r="Z151" s="13"/>
      <c r="AA151" s="13"/>
      <c r="AB151" s="16" t="str">
        <f t="shared" si="2"/>
        <v>Completed</v>
      </c>
      <c r="AC151" s="18">
        <v>45988</v>
      </c>
      <c r="AD151" s="18">
        <v>45996</v>
      </c>
      <c r="AE151" s="18">
        <v>46003</v>
      </c>
      <c r="AF151" s="15" t="s">
        <v>856</v>
      </c>
      <c r="AG151" s="18">
        <v>46006</v>
      </c>
      <c r="AH151" s="15" t="s">
        <v>856</v>
      </c>
      <c r="AI151" s="18">
        <v>46006</v>
      </c>
      <c r="AJ151" s="21"/>
      <c r="AK151" s="22"/>
      <c r="AL151" s="22"/>
    </row>
    <row r="152" spans="1:38" ht="18" customHeight="1">
      <c r="A152" s="13" t="s">
        <v>693</v>
      </c>
      <c r="B152" s="13" t="s">
        <v>894</v>
      </c>
      <c r="C152" s="14" t="s">
        <v>773</v>
      </c>
      <c r="D152" s="45">
        <v>168487</v>
      </c>
      <c r="E152" s="16" t="s">
        <v>840</v>
      </c>
      <c r="F152" s="15" t="s">
        <v>38</v>
      </c>
      <c r="G152" s="16">
        <v>0</v>
      </c>
      <c r="H152" s="18">
        <v>45200</v>
      </c>
      <c r="I152" s="19" t="s">
        <v>94</v>
      </c>
      <c r="J152" s="18">
        <v>45200</v>
      </c>
      <c r="K152" s="18">
        <v>46295</v>
      </c>
      <c r="L152" s="19" t="s">
        <v>63</v>
      </c>
      <c r="M152" s="24" t="s">
        <v>895</v>
      </c>
      <c r="N152" s="13" t="s">
        <v>94</v>
      </c>
      <c r="O152" s="13" t="s">
        <v>698</v>
      </c>
      <c r="P152" s="13" t="s">
        <v>699</v>
      </c>
      <c r="Q152" s="16">
        <v>1030242</v>
      </c>
      <c r="R152" s="16">
        <v>1030242</v>
      </c>
      <c r="S152" s="16" t="s">
        <v>38</v>
      </c>
      <c r="T152" s="46" t="s">
        <v>896</v>
      </c>
      <c r="U152" s="13" t="s">
        <v>897</v>
      </c>
      <c r="V152" s="20" t="s">
        <v>292</v>
      </c>
      <c r="W152" s="13"/>
      <c r="X152" s="20" t="s">
        <v>898</v>
      </c>
      <c r="Y152" s="13"/>
      <c r="Z152" s="13"/>
      <c r="AA152" s="13"/>
      <c r="AB152" s="16" t="str">
        <f t="shared" si="2"/>
        <v>Completed</v>
      </c>
      <c r="AC152" s="18">
        <v>45988</v>
      </c>
      <c r="AD152" s="18">
        <v>45996</v>
      </c>
      <c r="AE152" s="18">
        <v>46003</v>
      </c>
      <c r="AF152" s="15"/>
      <c r="AG152" s="18">
        <v>46003</v>
      </c>
      <c r="AH152" s="15"/>
      <c r="AI152" s="18">
        <v>46003</v>
      </c>
      <c r="AJ152" s="21"/>
      <c r="AK152" s="22"/>
      <c r="AL152" s="22"/>
    </row>
    <row r="153" spans="1:38" ht="18" customHeight="1">
      <c r="A153" s="13" t="s">
        <v>693</v>
      </c>
      <c r="B153" s="13" t="s">
        <v>899</v>
      </c>
      <c r="C153" s="14" t="s">
        <v>773</v>
      </c>
      <c r="D153" s="15" t="s">
        <v>38</v>
      </c>
      <c r="E153" s="15" t="s">
        <v>696</v>
      </c>
      <c r="F153" s="15" t="s">
        <v>38</v>
      </c>
      <c r="G153" s="16">
        <v>1</v>
      </c>
      <c r="H153" s="18">
        <v>45200</v>
      </c>
      <c r="I153" s="19" t="s">
        <v>900</v>
      </c>
      <c r="J153" s="18">
        <v>44470</v>
      </c>
      <c r="K153" s="18">
        <v>47026</v>
      </c>
      <c r="L153" s="19" t="s">
        <v>54</v>
      </c>
      <c r="M153" s="19" t="s">
        <v>750</v>
      </c>
      <c r="N153" s="13" t="s">
        <v>117</v>
      </c>
      <c r="O153" s="13" t="s">
        <v>698</v>
      </c>
      <c r="P153" s="13" t="s">
        <v>699</v>
      </c>
      <c r="Q153" s="16">
        <v>1030242</v>
      </c>
      <c r="R153" s="16">
        <v>1030242</v>
      </c>
      <c r="S153" s="16" t="s">
        <v>38</v>
      </c>
      <c r="T153" s="46" t="s">
        <v>901</v>
      </c>
      <c r="U153" s="13" t="s">
        <v>751</v>
      </c>
      <c r="V153" s="20" t="s">
        <v>752</v>
      </c>
      <c r="W153" s="13"/>
      <c r="X153" s="13" t="s">
        <v>902</v>
      </c>
      <c r="Y153" s="13" t="s">
        <v>754</v>
      </c>
      <c r="Z153" s="13"/>
      <c r="AA153" s="13" t="s">
        <v>903</v>
      </c>
      <c r="AB153" s="16" t="str">
        <f t="shared" si="2"/>
        <v>Completed</v>
      </c>
      <c r="AC153" s="18">
        <v>45988</v>
      </c>
      <c r="AD153" s="18">
        <v>45996</v>
      </c>
      <c r="AE153" s="18">
        <v>46003</v>
      </c>
      <c r="AF153" s="15"/>
      <c r="AG153" s="18">
        <v>46003</v>
      </c>
      <c r="AH153" s="15"/>
      <c r="AI153" s="18">
        <v>46003</v>
      </c>
      <c r="AJ153" s="21"/>
      <c r="AK153" s="22"/>
      <c r="AL153" s="22"/>
    </row>
    <row r="154" spans="1:38" ht="18" customHeight="1">
      <c r="A154" s="13" t="s">
        <v>693</v>
      </c>
      <c r="B154" s="13" t="s">
        <v>904</v>
      </c>
      <c r="C154" s="14" t="s">
        <v>773</v>
      </c>
      <c r="D154" s="14">
        <v>168986</v>
      </c>
      <c r="E154" s="16" t="s">
        <v>696</v>
      </c>
      <c r="F154" s="15" t="s">
        <v>905</v>
      </c>
      <c r="G154" s="16">
        <v>6</v>
      </c>
      <c r="H154" s="18">
        <v>45191</v>
      </c>
      <c r="I154" s="19" t="s">
        <v>551</v>
      </c>
      <c r="J154" s="18">
        <v>44053</v>
      </c>
      <c r="K154" s="18">
        <v>45878</v>
      </c>
      <c r="L154" s="19" t="s">
        <v>95</v>
      </c>
      <c r="M154" s="19" t="s">
        <v>96</v>
      </c>
      <c r="N154" s="13" t="s">
        <v>117</v>
      </c>
      <c r="O154" s="13" t="s">
        <v>698</v>
      </c>
      <c r="P154" s="13" t="s">
        <v>699</v>
      </c>
      <c r="Q154" s="16">
        <v>1030242</v>
      </c>
      <c r="R154" s="16">
        <v>1030242</v>
      </c>
      <c r="S154" s="16" t="s">
        <v>38</v>
      </c>
      <c r="T154" s="46" t="s">
        <v>906</v>
      </c>
      <c r="U154" s="13" t="s">
        <v>843</v>
      </c>
      <c r="V154" s="20" t="s">
        <v>532</v>
      </c>
      <c r="W154" s="13"/>
      <c r="X154" s="20" t="s">
        <v>907</v>
      </c>
      <c r="Y154" s="47" t="s">
        <v>908</v>
      </c>
      <c r="Z154" s="13"/>
      <c r="AA154" s="13"/>
      <c r="AB154" s="16" t="str">
        <f t="shared" si="2"/>
        <v>Completed</v>
      </c>
      <c r="AC154" s="18">
        <v>45988</v>
      </c>
      <c r="AD154" s="18">
        <v>45996</v>
      </c>
      <c r="AE154" s="18">
        <v>46003</v>
      </c>
      <c r="AF154" s="15"/>
      <c r="AG154" s="18">
        <v>46003</v>
      </c>
      <c r="AH154" s="15"/>
      <c r="AI154" s="18">
        <v>46003</v>
      </c>
      <c r="AJ154" s="21"/>
      <c r="AK154" s="22"/>
      <c r="AL154" s="22"/>
    </row>
    <row r="155" spans="1:38" ht="18" customHeight="1">
      <c r="A155" s="13" t="s">
        <v>693</v>
      </c>
      <c r="B155" s="13" t="s">
        <v>909</v>
      </c>
      <c r="C155" s="14" t="s">
        <v>773</v>
      </c>
      <c r="D155" s="14">
        <v>175524</v>
      </c>
      <c r="E155" s="16" t="s">
        <v>840</v>
      </c>
      <c r="F155" s="14">
        <v>646195</v>
      </c>
      <c r="G155" s="16">
        <v>0</v>
      </c>
      <c r="H155" s="18">
        <v>45323</v>
      </c>
      <c r="I155" s="19" t="s">
        <v>910</v>
      </c>
      <c r="J155" s="18">
        <v>45323</v>
      </c>
      <c r="K155" s="18">
        <v>46053</v>
      </c>
      <c r="L155" s="19" t="s">
        <v>54</v>
      </c>
      <c r="M155" s="19" t="s">
        <v>911</v>
      </c>
      <c r="N155" s="13" t="s">
        <v>94</v>
      </c>
      <c r="O155" s="13" t="s">
        <v>698</v>
      </c>
      <c r="P155" s="13" t="s">
        <v>699</v>
      </c>
      <c r="Q155" s="16">
        <v>1030242</v>
      </c>
      <c r="R155" s="16">
        <v>1030242</v>
      </c>
      <c r="S155" s="16" t="s">
        <v>38</v>
      </c>
      <c r="T155" s="46" t="s">
        <v>912</v>
      </c>
      <c r="U155" s="20" t="s">
        <v>913</v>
      </c>
      <c r="V155" s="20" t="s">
        <v>532</v>
      </c>
      <c r="W155" s="13"/>
      <c r="X155" s="20" t="s">
        <v>914</v>
      </c>
      <c r="Y155" s="20" t="s">
        <v>915</v>
      </c>
      <c r="Z155" s="13"/>
      <c r="AA155" s="13"/>
      <c r="AB155" s="16" t="str">
        <f t="shared" si="2"/>
        <v>Completed</v>
      </c>
      <c r="AC155" s="18">
        <v>45988</v>
      </c>
      <c r="AD155" s="18">
        <v>45996</v>
      </c>
      <c r="AE155" s="18">
        <v>46003</v>
      </c>
      <c r="AF155" s="15"/>
      <c r="AG155" s="18">
        <v>46003</v>
      </c>
      <c r="AH155" s="15" t="s">
        <v>856</v>
      </c>
      <c r="AI155" s="18">
        <v>46007</v>
      </c>
      <c r="AJ155" s="21"/>
      <c r="AK155" s="22"/>
      <c r="AL155" s="22"/>
    </row>
    <row r="156" spans="1:38" ht="18" customHeight="1">
      <c r="A156" s="13" t="s">
        <v>693</v>
      </c>
      <c r="B156" s="13" t="s">
        <v>916</v>
      </c>
      <c r="C156" s="14" t="s">
        <v>773</v>
      </c>
      <c r="D156" s="15" t="s">
        <v>38</v>
      </c>
      <c r="E156" s="16" t="s">
        <v>840</v>
      </c>
      <c r="F156" s="48" t="s">
        <v>861</v>
      </c>
      <c r="G156" s="16">
        <v>1</v>
      </c>
      <c r="H156" s="18">
        <v>45359</v>
      </c>
      <c r="I156" s="19" t="s">
        <v>917</v>
      </c>
      <c r="J156" s="18">
        <v>45078</v>
      </c>
      <c r="K156" s="18">
        <v>46173</v>
      </c>
      <c r="L156" s="19" t="s">
        <v>54</v>
      </c>
      <c r="M156" s="19" t="s">
        <v>863</v>
      </c>
      <c r="N156" s="13" t="s">
        <v>918</v>
      </c>
      <c r="O156" s="13" t="s">
        <v>698</v>
      </c>
      <c r="P156" s="13" t="s">
        <v>699</v>
      </c>
      <c r="Q156" s="16">
        <v>1030242</v>
      </c>
      <c r="R156" s="16">
        <v>1030242</v>
      </c>
      <c r="S156" s="16" t="s">
        <v>38</v>
      </c>
      <c r="T156" s="19" t="s">
        <v>916</v>
      </c>
      <c r="U156" s="47" t="s">
        <v>919</v>
      </c>
      <c r="V156" s="26" t="s">
        <v>517</v>
      </c>
      <c r="W156" s="32"/>
      <c r="X156" s="32" t="s">
        <v>866</v>
      </c>
      <c r="Y156" s="13" t="s">
        <v>867</v>
      </c>
      <c r="Z156" s="13"/>
      <c r="AA156" s="20"/>
      <c r="AB156" s="16" t="str">
        <f t="shared" si="2"/>
        <v>Completed</v>
      </c>
      <c r="AC156" s="18">
        <v>45988</v>
      </c>
      <c r="AD156" s="18">
        <v>45996</v>
      </c>
      <c r="AE156" s="18">
        <v>46003</v>
      </c>
      <c r="AF156" s="15"/>
      <c r="AG156" s="18">
        <v>46003</v>
      </c>
      <c r="AH156" s="15" t="s">
        <v>856</v>
      </c>
      <c r="AI156" s="18">
        <v>46007</v>
      </c>
      <c r="AJ156" s="21"/>
      <c r="AK156" s="22"/>
      <c r="AL156" s="22"/>
    </row>
    <row r="157" spans="1:38" ht="18" customHeight="1">
      <c r="A157" s="13" t="s">
        <v>693</v>
      </c>
      <c r="B157" s="13" t="s">
        <v>920</v>
      </c>
      <c r="C157" s="14" t="s">
        <v>773</v>
      </c>
      <c r="D157" s="14">
        <v>181308</v>
      </c>
      <c r="E157" s="16" t="s">
        <v>840</v>
      </c>
      <c r="F157" s="16" t="s">
        <v>38</v>
      </c>
      <c r="G157" s="16">
        <v>0</v>
      </c>
      <c r="H157" s="18">
        <v>45394</v>
      </c>
      <c r="I157" s="19" t="s">
        <v>488</v>
      </c>
      <c r="J157" s="18">
        <v>45394</v>
      </c>
      <c r="K157" s="18">
        <v>46488</v>
      </c>
      <c r="L157" s="19" t="s">
        <v>95</v>
      </c>
      <c r="M157" s="19" t="s">
        <v>134</v>
      </c>
      <c r="N157" s="13" t="s">
        <v>94</v>
      </c>
      <c r="O157" s="13" t="s">
        <v>698</v>
      </c>
      <c r="P157" s="13" t="s">
        <v>699</v>
      </c>
      <c r="Q157" s="16">
        <v>1030242</v>
      </c>
      <c r="R157" s="16">
        <v>1030242</v>
      </c>
      <c r="S157" s="16" t="s">
        <v>38</v>
      </c>
      <c r="T157" s="19" t="s">
        <v>921</v>
      </c>
      <c r="U157" s="20" t="s">
        <v>922</v>
      </c>
      <c r="V157" s="20" t="s">
        <v>923</v>
      </c>
      <c r="W157" s="13"/>
      <c r="X157" s="13" t="s">
        <v>924</v>
      </c>
      <c r="Y157" s="20" t="s">
        <v>925</v>
      </c>
      <c r="Z157" s="13"/>
      <c r="AA157" s="13" t="s">
        <v>926</v>
      </c>
      <c r="AB157" s="16" t="str">
        <f t="shared" si="2"/>
        <v>Completed</v>
      </c>
      <c r="AC157" s="18">
        <v>45988</v>
      </c>
      <c r="AD157" s="18">
        <v>45996</v>
      </c>
      <c r="AE157" s="18">
        <v>46003</v>
      </c>
      <c r="AF157" s="15"/>
      <c r="AG157" s="18">
        <v>46003</v>
      </c>
      <c r="AH157" s="15" t="s">
        <v>856</v>
      </c>
      <c r="AI157" s="18">
        <v>46007</v>
      </c>
      <c r="AJ157" s="21"/>
      <c r="AK157" s="22"/>
      <c r="AL157" s="22"/>
    </row>
    <row r="158" spans="1:38" ht="18" customHeight="1">
      <c r="A158" s="13" t="s">
        <v>693</v>
      </c>
      <c r="B158" s="13" t="s">
        <v>927</v>
      </c>
      <c r="C158" s="14" t="s">
        <v>773</v>
      </c>
      <c r="D158" s="14">
        <v>186851</v>
      </c>
      <c r="E158" s="16" t="s">
        <v>840</v>
      </c>
      <c r="F158" s="16" t="s">
        <v>38</v>
      </c>
      <c r="G158" s="16">
        <v>0</v>
      </c>
      <c r="H158" s="18">
        <v>45397</v>
      </c>
      <c r="I158" s="19" t="s">
        <v>870</v>
      </c>
      <c r="J158" s="18">
        <v>45397</v>
      </c>
      <c r="K158" s="18">
        <v>46126</v>
      </c>
      <c r="L158" s="19" t="s">
        <v>54</v>
      </c>
      <c r="M158" s="19" t="s">
        <v>871</v>
      </c>
      <c r="N158" s="13" t="s">
        <v>94</v>
      </c>
      <c r="O158" s="13" t="s">
        <v>698</v>
      </c>
      <c r="P158" s="13" t="s">
        <v>699</v>
      </c>
      <c r="Q158" s="16">
        <v>1030242</v>
      </c>
      <c r="R158" s="16">
        <v>1030242</v>
      </c>
      <c r="S158" s="16" t="s">
        <v>38</v>
      </c>
      <c r="T158" s="19" t="s">
        <v>928</v>
      </c>
      <c r="U158" s="13" t="s">
        <v>929</v>
      </c>
      <c r="V158" s="26" t="s">
        <v>874</v>
      </c>
      <c r="W158" s="49"/>
      <c r="X158" t="s">
        <v>930</v>
      </c>
      <c r="Y158" s="20" t="s">
        <v>880</v>
      </c>
      <c r="Z158" s="13"/>
      <c r="AA158" s="13"/>
      <c r="AB158" s="16" t="str">
        <f t="shared" si="2"/>
        <v>Completed</v>
      </c>
      <c r="AC158" s="18">
        <v>45988</v>
      </c>
      <c r="AD158" s="18">
        <v>45996</v>
      </c>
      <c r="AE158" s="18">
        <v>46003</v>
      </c>
      <c r="AF158" s="15"/>
      <c r="AG158" s="18">
        <v>46003</v>
      </c>
      <c r="AH158" s="15"/>
      <c r="AI158" s="18">
        <v>46006</v>
      </c>
      <c r="AJ158" s="21"/>
      <c r="AK158" s="22"/>
      <c r="AL158" s="22"/>
    </row>
    <row r="159" spans="1:38" ht="18" customHeight="1">
      <c r="A159" s="13" t="s">
        <v>693</v>
      </c>
      <c r="B159" s="13" t="s">
        <v>931</v>
      </c>
      <c r="C159" s="14" t="s">
        <v>773</v>
      </c>
      <c r="D159" s="14">
        <v>106356</v>
      </c>
      <c r="E159" s="14" t="s">
        <v>840</v>
      </c>
      <c r="F159" s="15" t="s">
        <v>38</v>
      </c>
      <c r="G159" s="16">
        <v>0</v>
      </c>
      <c r="H159" s="18">
        <v>45408</v>
      </c>
      <c r="I159" t="s">
        <v>932</v>
      </c>
      <c r="J159" s="18">
        <v>45408</v>
      </c>
      <c r="K159" s="18">
        <v>47233</v>
      </c>
      <c r="L159" s="13" t="s">
        <v>95</v>
      </c>
      <c r="M159" s="19" t="s">
        <v>933</v>
      </c>
      <c r="N159" s="13" t="s">
        <v>94</v>
      </c>
      <c r="O159" s="13" t="s">
        <v>698</v>
      </c>
      <c r="P159" s="13" t="s">
        <v>699</v>
      </c>
      <c r="Q159" s="16">
        <v>1030242</v>
      </c>
      <c r="R159" s="16">
        <v>1030242</v>
      </c>
      <c r="S159" s="16" t="s">
        <v>38</v>
      </c>
      <c r="T159" s="46" t="s">
        <v>934</v>
      </c>
      <c r="U159" t="s">
        <v>929</v>
      </c>
      <c r="V159" s="20" t="s">
        <v>935</v>
      </c>
      <c r="W159" s="13"/>
      <c r="X159" s="20" t="s">
        <v>936</v>
      </c>
      <c r="Y159" s="50" t="s">
        <v>937</v>
      </c>
      <c r="Z159" s="13"/>
      <c r="AA159" s="51"/>
      <c r="AB159" s="16" t="str">
        <f t="shared" si="2"/>
        <v>Completed</v>
      </c>
      <c r="AC159" s="18">
        <v>45988</v>
      </c>
      <c r="AD159" s="18">
        <v>46000</v>
      </c>
      <c r="AE159" s="18">
        <v>46003</v>
      </c>
      <c r="AF159" s="15"/>
      <c r="AG159" s="18">
        <v>46003</v>
      </c>
      <c r="AH159" s="15" t="s">
        <v>856</v>
      </c>
      <c r="AI159" s="18">
        <v>46007</v>
      </c>
      <c r="AJ159" s="21"/>
      <c r="AK159" s="22"/>
      <c r="AL159" s="22"/>
    </row>
    <row r="160" spans="1:38" ht="18" customHeight="1">
      <c r="A160" s="13" t="s">
        <v>693</v>
      </c>
      <c r="B160" s="13" t="s">
        <v>938</v>
      </c>
      <c r="C160" s="14" t="s">
        <v>773</v>
      </c>
      <c r="D160" s="14">
        <v>186558</v>
      </c>
      <c r="E160" s="16" t="s">
        <v>696</v>
      </c>
      <c r="F160" s="14">
        <v>606128</v>
      </c>
      <c r="G160" s="16">
        <v>8</v>
      </c>
      <c r="H160" s="18">
        <v>45421</v>
      </c>
      <c r="I160" s="19" t="s">
        <v>847</v>
      </c>
      <c r="J160" s="18">
        <v>44136</v>
      </c>
      <c r="K160" s="18">
        <v>45961</v>
      </c>
      <c r="L160" s="19" t="s">
        <v>95</v>
      </c>
      <c r="M160" s="19" t="s">
        <v>718</v>
      </c>
      <c r="N160" s="13" t="s">
        <v>117</v>
      </c>
      <c r="O160" s="13" t="s">
        <v>698</v>
      </c>
      <c r="P160" s="13" t="s">
        <v>699</v>
      </c>
      <c r="Q160" s="16">
        <v>1030242</v>
      </c>
      <c r="R160" s="16">
        <v>1030242</v>
      </c>
      <c r="S160" s="16" t="s">
        <v>38</v>
      </c>
      <c r="T160" s="46" t="s">
        <v>939</v>
      </c>
      <c r="U160" s="13" t="s">
        <v>720</v>
      </c>
      <c r="V160" s="20" t="s">
        <v>940</v>
      </c>
      <c r="W160" s="13"/>
      <c r="X160" s="20" t="s">
        <v>883</v>
      </c>
      <c r="Y160" s="13" t="s">
        <v>731</v>
      </c>
      <c r="Z160" s="13"/>
      <c r="AA160" s="13" t="s">
        <v>941</v>
      </c>
      <c r="AB160" s="16" t="str">
        <f t="shared" si="2"/>
        <v>Completed</v>
      </c>
      <c r="AC160" s="18">
        <v>45988</v>
      </c>
      <c r="AD160" s="18">
        <v>46000</v>
      </c>
      <c r="AE160" s="18">
        <v>46003</v>
      </c>
      <c r="AF160" s="15"/>
      <c r="AG160" s="18">
        <v>46003</v>
      </c>
      <c r="AH160" s="15" t="s">
        <v>856</v>
      </c>
      <c r="AI160" s="18">
        <v>46007</v>
      </c>
      <c r="AJ160" s="21"/>
      <c r="AK160" s="22"/>
      <c r="AL160" s="22"/>
    </row>
    <row r="161" spans="1:38" ht="18" customHeight="1">
      <c r="A161" s="13" t="s">
        <v>693</v>
      </c>
      <c r="B161" s="13" t="s">
        <v>942</v>
      </c>
      <c r="C161" s="14" t="s">
        <v>773</v>
      </c>
      <c r="D161" s="14">
        <v>190652</v>
      </c>
      <c r="E161" s="16" t="s">
        <v>840</v>
      </c>
      <c r="F161" s="14">
        <v>640834</v>
      </c>
      <c r="G161" s="16">
        <v>1</v>
      </c>
      <c r="H161" s="18">
        <v>45444</v>
      </c>
      <c r="I161" s="19" t="s">
        <v>943</v>
      </c>
      <c r="J161" s="18">
        <v>45158</v>
      </c>
      <c r="K161" s="18">
        <v>45888</v>
      </c>
      <c r="L161" s="19" t="s">
        <v>95</v>
      </c>
      <c r="M161" s="19" t="s">
        <v>157</v>
      </c>
      <c r="N161" s="13" t="s">
        <v>117</v>
      </c>
      <c r="O161" s="13" t="s">
        <v>698</v>
      </c>
      <c r="P161" s="13" t="s">
        <v>699</v>
      </c>
      <c r="Q161" s="16">
        <v>1030242</v>
      </c>
      <c r="R161" s="16">
        <v>1030242</v>
      </c>
      <c r="S161" s="16" t="s">
        <v>38</v>
      </c>
      <c r="T161" s="46" t="s">
        <v>944</v>
      </c>
      <c r="U161" s="13" t="s">
        <v>886</v>
      </c>
      <c r="V161" s="20" t="s">
        <v>625</v>
      </c>
      <c r="W161" s="13"/>
      <c r="X161" s="13" t="s">
        <v>945</v>
      </c>
      <c r="Y161" s="13"/>
      <c r="Z161" s="13"/>
      <c r="AA161" s="13"/>
      <c r="AB161" s="16" t="str">
        <f t="shared" si="2"/>
        <v>Completed</v>
      </c>
      <c r="AC161" s="18">
        <v>45988</v>
      </c>
      <c r="AD161" s="18">
        <v>46000</v>
      </c>
      <c r="AE161" s="18">
        <v>46003</v>
      </c>
      <c r="AF161" s="15"/>
      <c r="AG161" s="18">
        <v>46003</v>
      </c>
      <c r="AH161" s="15" t="s">
        <v>37</v>
      </c>
      <c r="AI161" s="18">
        <v>46007</v>
      </c>
      <c r="AJ161" s="21"/>
      <c r="AK161" s="22"/>
      <c r="AL161" s="22"/>
    </row>
    <row r="162" spans="1:38" ht="18" customHeight="1">
      <c r="A162" s="13" t="s">
        <v>693</v>
      </c>
      <c r="B162" s="13" t="s">
        <v>946</v>
      </c>
      <c r="C162" s="14" t="s">
        <v>773</v>
      </c>
      <c r="D162" s="14">
        <v>184820</v>
      </c>
      <c r="E162" s="14" t="s">
        <v>840</v>
      </c>
      <c r="F162" s="15" t="s">
        <v>38</v>
      </c>
      <c r="G162" s="16">
        <v>0</v>
      </c>
      <c r="H162" s="18">
        <v>45435</v>
      </c>
      <c r="I162" s="19" t="s">
        <v>947</v>
      </c>
      <c r="J162" s="18">
        <v>45435</v>
      </c>
      <c r="K162" s="18">
        <v>46173</v>
      </c>
      <c r="L162" s="19" t="s">
        <v>54</v>
      </c>
      <c r="M162" s="19" t="s">
        <v>948</v>
      </c>
      <c r="N162" s="13" t="s">
        <v>94</v>
      </c>
      <c r="O162" s="13" t="s">
        <v>698</v>
      </c>
      <c r="P162" s="13" t="s">
        <v>699</v>
      </c>
      <c r="Q162" s="16">
        <v>1030242</v>
      </c>
      <c r="R162" s="16">
        <v>1030242</v>
      </c>
      <c r="S162" s="16" t="s">
        <v>38</v>
      </c>
      <c r="T162" s="46" t="s">
        <v>949</v>
      </c>
      <c r="U162" s="13" t="s">
        <v>929</v>
      </c>
      <c r="V162" s="20" t="s">
        <v>238</v>
      </c>
      <c r="W162" s="13"/>
      <c r="X162" s="13" t="s">
        <v>950</v>
      </c>
      <c r="Y162" s="20" t="s">
        <v>951</v>
      </c>
      <c r="Z162" s="13"/>
      <c r="AA162" s="13" t="s">
        <v>952</v>
      </c>
      <c r="AB162" s="16" t="str">
        <f t="shared" si="2"/>
        <v>Completed</v>
      </c>
      <c r="AC162" s="18">
        <v>45988</v>
      </c>
      <c r="AD162" s="18">
        <v>46000</v>
      </c>
      <c r="AE162" s="18">
        <v>46003</v>
      </c>
      <c r="AF162" s="15"/>
      <c r="AG162" s="18">
        <v>46003</v>
      </c>
      <c r="AH162" s="15" t="s">
        <v>856</v>
      </c>
      <c r="AI162" s="18">
        <v>46007</v>
      </c>
      <c r="AJ162" s="21"/>
      <c r="AK162" s="22"/>
      <c r="AL162" s="22"/>
    </row>
    <row r="163" spans="1:38" ht="18" customHeight="1">
      <c r="A163" s="13" t="s">
        <v>693</v>
      </c>
      <c r="B163" s="13" t="s">
        <v>953</v>
      </c>
      <c r="C163" s="14" t="s">
        <v>773</v>
      </c>
      <c r="D163" s="14">
        <v>181308</v>
      </c>
      <c r="E163" s="14" t="s">
        <v>840</v>
      </c>
      <c r="F163" s="15" t="s">
        <v>38</v>
      </c>
      <c r="G163" s="16">
        <v>0</v>
      </c>
      <c r="H163" s="18">
        <v>45444</v>
      </c>
      <c r="I163" s="19" t="s">
        <v>954</v>
      </c>
      <c r="J163" s="18">
        <v>45444</v>
      </c>
      <c r="K163" s="18">
        <v>46173</v>
      </c>
      <c r="L163" s="19" t="s">
        <v>54</v>
      </c>
      <c r="M163" s="19" t="s">
        <v>955</v>
      </c>
      <c r="N163" s="13" t="s">
        <v>94</v>
      </c>
      <c r="O163" s="13" t="s">
        <v>698</v>
      </c>
      <c r="P163" s="13" t="s">
        <v>699</v>
      </c>
      <c r="Q163" s="16">
        <v>1030242</v>
      </c>
      <c r="R163" s="16">
        <v>1030242</v>
      </c>
      <c r="S163" s="16" t="s">
        <v>38</v>
      </c>
      <c r="T163" s="46" t="s">
        <v>956</v>
      </c>
      <c r="U163" s="13" t="s">
        <v>957</v>
      </c>
      <c r="V163" s="20" t="s">
        <v>532</v>
      </c>
      <c r="W163" s="13"/>
      <c r="X163" s="20" t="s">
        <v>958</v>
      </c>
      <c r="Y163" s="20" t="s">
        <v>959</v>
      </c>
      <c r="Z163" s="13"/>
      <c r="AA163" s="13"/>
      <c r="AB163" s="16" t="str">
        <f t="shared" si="2"/>
        <v>Completed</v>
      </c>
      <c r="AC163" s="18">
        <v>45988</v>
      </c>
      <c r="AD163" s="18">
        <v>46000</v>
      </c>
      <c r="AE163" s="18">
        <v>46003</v>
      </c>
      <c r="AF163" s="15"/>
      <c r="AG163" s="18">
        <v>46003</v>
      </c>
      <c r="AH163" s="15" t="s">
        <v>856</v>
      </c>
      <c r="AI163" s="18">
        <v>46007</v>
      </c>
      <c r="AJ163" s="21"/>
      <c r="AK163" s="22"/>
      <c r="AL163" s="22"/>
    </row>
    <row r="164" spans="1:38" ht="18" customHeight="1">
      <c r="A164" s="13" t="s">
        <v>693</v>
      </c>
      <c r="B164" s="13" t="s">
        <v>960</v>
      </c>
      <c r="C164" s="14" t="s">
        <v>773</v>
      </c>
      <c r="D164" s="14">
        <v>191738</v>
      </c>
      <c r="E164" s="16" t="s">
        <v>696</v>
      </c>
      <c r="F164" s="14">
        <v>606128</v>
      </c>
      <c r="G164" s="16">
        <v>9</v>
      </c>
      <c r="H164" s="18">
        <v>45470</v>
      </c>
      <c r="I164" s="19" t="s">
        <v>847</v>
      </c>
      <c r="J164" s="18">
        <v>44136</v>
      </c>
      <c r="K164" s="18">
        <v>45961</v>
      </c>
      <c r="L164" s="19" t="s">
        <v>95</v>
      </c>
      <c r="M164" s="19" t="s">
        <v>718</v>
      </c>
      <c r="N164" s="13" t="s">
        <v>117</v>
      </c>
      <c r="O164" s="13" t="s">
        <v>698</v>
      </c>
      <c r="P164" s="13" t="s">
        <v>699</v>
      </c>
      <c r="Q164" s="16">
        <v>1030242</v>
      </c>
      <c r="R164" s="16">
        <v>1030242</v>
      </c>
      <c r="S164" s="16" t="s">
        <v>38</v>
      </c>
      <c r="T164" s="46" t="s">
        <v>961</v>
      </c>
      <c r="U164" s="13" t="s">
        <v>720</v>
      </c>
      <c r="V164" s="20" t="s">
        <v>625</v>
      </c>
      <c r="W164" s="13"/>
      <c r="X164" s="20" t="s">
        <v>962</v>
      </c>
      <c r="Y164" s="13"/>
      <c r="Z164" s="13"/>
      <c r="AA164" s="13"/>
      <c r="AB164" s="16" t="str">
        <f t="shared" si="2"/>
        <v>Completed</v>
      </c>
      <c r="AC164" s="18">
        <v>45988</v>
      </c>
      <c r="AD164" s="18">
        <v>46000</v>
      </c>
      <c r="AE164" s="18">
        <v>46003</v>
      </c>
      <c r="AF164" s="15"/>
      <c r="AG164" s="18">
        <v>46003</v>
      </c>
      <c r="AH164" s="15" t="s">
        <v>37</v>
      </c>
      <c r="AI164" s="18">
        <v>46007</v>
      </c>
      <c r="AJ164" s="21"/>
      <c r="AK164" s="22"/>
      <c r="AL164" s="22"/>
    </row>
    <row r="165" spans="1:38" ht="18" customHeight="1">
      <c r="A165" s="13" t="s">
        <v>693</v>
      </c>
      <c r="B165" s="13" t="s">
        <v>963</v>
      </c>
      <c r="C165" s="14" t="s">
        <v>773</v>
      </c>
      <c r="D165" s="14">
        <v>191710</v>
      </c>
      <c r="E165" s="14" t="s">
        <v>840</v>
      </c>
      <c r="F165" s="14">
        <v>651534</v>
      </c>
      <c r="G165" s="16">
        <v>0</v>
      </c>
      <c r="H165" s="18">
        <v>45472</v>
      </c>
      <c r="I165" s="19" t="s">
        <v>434</v>
      </c>
      <c r="J165" s="18">
        <v>45472</v>
      </c>
      <c r="K165" s="18">
        <v>46566</v>
      </c>
      <c r="L165" s="19" t="s">
        <v>95</v>
      </c>
      <c r="M165" s="19" t="s">
        <v>697</v>
      </c>
      <c r="N165" s="13" t="s">
        <v>94</v>
      </c>
      <c r="O165" s="13" t="s">
        <v>698</v>
      </c>
      <c r="P165" s="13" t="s">
        <v>699</v>
      </c>
      <c r="Q165" s="16">
        <v>1030242</v>
      </c>
      <c r="R165" s="16">
        <v>1030242</v>
      </c>
      <c r="S165" s="16" t="s">
        <v>38</v>
      </c>
      <c r="T165" s="46" t="s">
        <v>964</v>
      </c>
      <c r="U165" s="20" t="s">
        <v>965</v>
      </c>
      <c r="V165" s="20" t="s">
        <v>625</v>
      </c>
      <c r="W165" s="13"/>
      <c r="X165" s="20" t="s">
        <v>966</v>
      </c>
      <c r="Y165" s="13" t="s">
        <v>967</v>
      </c>
      <c r="Z165" s="13" t="s">
        <v>968</v>
      </c>
      <c r="AA165" s="13" t="s">
        <v>969</v>
      </c>
      <c r="AB165" s="16" t="str">
        <f t="shared" si="2"/>
        <v>Completed</v>
      </c>
      <c r="AC165" s="18">
        <v>45988</v>
      </c>
      <c r="AD165" s="18">
        <v>46000</v>
      </c>
      <c r="AE165" s="18">
        <v>46003</v>
      </c>
      <c r="AF165" s="15"/>
      <c r="AG165" s="18">
        <v>46003</v>
      </c>
      <c r="AH165" s="15" t="s">
        <v>856</v>
      </c>
      <c r="AI165" s="18">
        <v>46007</v>
      </c>
      <c r="AJ165" s="21"/>
      <c r="AK165" s="22"/>
      <c r="AL165" s="22"/>
    </row>
    <row r="166" spans="1:38" ht="18" customHeight="1">
      <c r="A166" s="13" t="s">
        <v>693</v>
      </c>
      <c r="B166" s="13" t="s">
        <v>970</v>
      </c>
      <c r="C166" s="14" t="s">
        <v>773</v>
      </c>
      <c r="D166" s="14">
        <v>189250</v>
      </c>
      <c r="E166" s="16" t="s">
        <v>840</v>
      </c>
      <c r="F166" s="14">
        <v>646195</v>
      </c>
      <c r="G166" s="16">
        <v>1</v>
      </c>
      <c r="H166" s="18">
        <v>45505</v>
      </c>
      <c r="I166" s="19" t="s">
        <v>971</v>
      </c>
      <c r="J166" s="18">
        <v>45323</v>
      </c>
      <c r="K166" s="18">
        <v>46053</v>
      </c>
      <c r="L166" s="19" t="s">
        <v>54</v>
      </c>
      <c r="M166" s="19" t="s">
        <v>911</v>
      </c>
      <c r="N166" s="13" t="s">
        <v>117</v>
      </c>
      <c r="O166" s="13" t="s">
        <v>698</v>
      </c>
      <c r="P166" s="13" t="s">
        <v>699</v>
      </c>
      <c r="Q166" s="16">
        <v>1030242</v>
      </c>
      <c r="R166" s="16">
        <v>1030242</v>
      </c>
      <c r="S166" s="16" t="s">
        <v>38</v>
      </c>
      <c r="T166" s="46" t="s">
        <v>972</v>
      </c>
      <c r="U166" s="20" t="s">
        <v>913</v>
      </c>
      <c r="V166" s="20" t="s">
        <v>532</v>
      </c>
      <c r="W166" s="13"/>
      <c r="X166" s="20" t="s">
        <v>973</v>
      </c>
      <c r="Y166" s="20" t="s">
        <v>974</v>
      </c>
      <c r="Z166" s="13"/>
      <c r="AA166" s="13"/>
      <c r="AB166" s="16" t="str">
        <f t="shared" si="2"/>
        <v>Completed</v>
      </c>
      <c r="AC166" s="18">
        <v>45988</v>
      </c>
      <c r="AD166" s="18">
        <v>46000</v>
      </c>
      <c r="AE166" s="18">
        <v>46003</v>
      </c>
      <c r="AF166" s="15"/>
      <c r="AG166" s="18">
        <v>46003</v>
      </c>
      <c r="AH166" s="15" t="s">
        <v>856</v>
      </c>
      <c r="AI166" s="18">
        <v>46007</v>
      </c>
      <c r="AJ166" s="21"/>
      <c r="AK166" s="22"/>
      <c r="AL166" s="22"/>
    </row>
    <row r="167" spans="1:38" ht="18" customHeight="1">
      <c r="A167" s="13" t="s">
        <v>693</v>
      </c>
      <c r="B167" s="13" t="s">
        <v>975</v>
      </c>
      <c r="C167" s="14" t="s">
        <v>773</v>
      </c>
      <c r="D167" s="14">
        <v>184161</v>
      </c>
      <c r="E167" s="14" t="s">
        <v>840</v>
      </c>
      <c r="F167" s="15" t="s">
        <v>38</v>
      </c>
      <c r="G167" s="16">
        <v>0</v>
      </c>
      <c r="H167" s="18">
        <v>45505</v>
      </c>
      <c r="I167" s="19" t="s">
        <v>94</v>
      </c>
      <c r="J167" s="18">
        <v>45505</v>
      </c>
      <c r="K167" s="18">
        <v>46599</v>
      </c>
      <c r="L167" s="19" t="s">
        <v>63</v>
      </c>
      <c r="M167" s="19" t="s">
        <v>38</v>
      </c>
      <c r="N167" s="13" t="s">
        <v>94</v>
      </c>
      <c r="O167" s="13" t="s">
        <v>698</v>
      </c>
      <c r="P167" s="13" t="s">
        <v>699</v>
      </c>
      <c r="Q167" s="16">
        <v>1030242</v>
      </c>
      <c r="R167" s="16">
        <v>1030242</v>
      </c>
      <c r="S167" s="16" t="s">
        <v>38</v>
      </c>
      <c r="T167" s="46" t="s">
        <v>976</v>
      </c>
      <c r="U167" s="20" t="s">
        <v>977</v>
      </c>
      <c r="V167" s="20" t="s">
        <v>292</v>
      </c>
      <c r="W167" s="13"/>
      <c r="X167" s="13" t="s">
        <v>38</v>
      </c>
      <c r="Y167" s="20" t="s">
        <v>978</v>
      </c>
      <c r="Z167" s="13"/>
      <c r="AA167" s="13"/>
      <c r="AB167" s="16" t="str">
        <f t="shared" si="2"/>
        <v>Completed</v>
      </c>
      <c r="AC167" s="18">
        <v>45988</v>
      </c>
      <c r="AD167" s="18">
        <v>46000</v>
      </c>
      <c r="AE167" s="18">
        <v>46003</v>
      </c>
      <c r="AF167" s="15"/>
      <c r="AG167" s="18">
        <v>46003</v>
      </c>
      <c r="AH167" s="15" t="s">
        <v>856</v>
      </c>
      <c r="AI167" s="18">
        <v>46007</v>
      </c>
      <c r="AJ167" s="21"/>
      <c r="AK167" s="22"/>
      <c r="AL167" s="22"/>
    </row>
    <row r="168" spans="1:38" ht="18" customHeight="1">
      <c r="A168" s="13" t="s">
        <v>693</v>
      </c>
      <c r="B168" s="13" t="s">
        <v>979</v>
      </c>
      <c r="C168" s="14" t="s">
        <v>773</v>
      </c>
      <c r="D168" s="14">
        <v>194422</v>
      </c>
      <c r="E168" s="14" t="s">
        <v>840</v>
      </c>
      <c r="F168" s="14">
        <v>651912</v>
      </c>
      <c r="G168" s="16">
        <v>0</v>
      </c>
      <c r="H168" s="18">
        <v>45488</v>
      </c>
      <c r="I168" s="19" t="s">
        <v>488</v>
      </c>
      <c r="J168" s="18">
        <v>45488</v>
      </c>
      <c r="K168" s="18">
        <v>45852</v>
      </c>
      <c r="L168" s="19" t="s">
        <v>95</v>
      </c>
      <c r="M168" s="19" t="s">
        <v>134</v>
      </c>
      <c r="N168" s="13" t="s">
        <v>94</v>
      </c>
      <c r="O168" s="13" t="s">
        <v>698</v>
      </c>
      <c r="P168" s="13" t="s">
        <v>699</v>
      </c>
      <c r="Q168" s="16">
        <v>1030242</v>
      </c>
      <c r="R168" s="16">
        <v>1030242</v>
      </c>
      <c r="S168" s="16" t="s">
        <v>38</v>
      </c>
      <c r="T168" s="46" t="s">
        <v>980</v>
      </c>
      <c r="U168" s="20" t="s">
        <v>981</v>
      </c>
      <c r="V168" s="20" t="s">
        <v>923</v>
      </c>
      <c r="W168" s="13"/>
      <c r="X168" s="13" t="s">
        <v>982</v>
      </c>
      <c r="Y168" s="20" t="s">
        <v>983</v>
      </c>
      <c r="Z168" s="13"/>
      <c r="AA168" s="13" t="s">
        <v>969</v>
      </c>
      <c r="AB168" s="16" t="str">
        <f t="shared" si="2"/>
        <v>Completed</v>
      </c>
      <c r="AC168" s="18">
        <v>45988</v>
      </c>
      <c r="AD168" s="18">
        <v>46000</v>
      </c>
      <c r="AE168" s="18">
        <v>46003</v>
      </c>
      <c r="AF168" s="15"/>
      <c r="AG168" s="18">
        <v>46003</v>
      </c>
      <c r="AH168" s="15" t="s">
        <v>856</v>
      </c>
      <c r="AI168" s="18">
        <v>46007</v>
      </c>
      <c r="AJ168" s="21"/>
      <c r="AK168" s="22"/>
      <c r="AL168" s="22"/>
    </row>
    <row r="169" spans="1:38" ht="18" customHeight="1">
      <c r="A169" s="13" t="s">
        <v>693</v>
      </c>
      <c r="B169" s="13" t="s">
        <v>984</v>
      </c>
      <c r="C169" s="14" t="s">
        <v>773</v>
      </c>
      <c r="D169" s="14">
        <v>193992</v>
      </c>
      <c r="E169" s="16" t="s">
        <v>696</v>
      </c>
      <c r="F169" s="14">
        <v>606128</v>
      </c>
      <c r="G169" s="16">
        <v>10</v>
      </c>
      <c r="H169" s="52">
        <v>45421</v>
      </c>
      <c r="I169" s="19" t="s">
        <v>985</v>
      </c>
      <c r="J169" s="18">
        <v>44136</v>
      </c>
      <c r="K169" s="18">
        <v>45961</v>
      </c>
      <c r="L169" s="19" t="s">
        <v>95</v>
      </c>
      <c r="M169" s="19" t="s">
        <v>718</v>
      </c>
      <c r="N169" s="13" t="s">
        <v>986</v>
      </c>
      <c r="O169" s="13" t="s">
        <v>698</v>
      </c>
      <c r="P169" s="13" t="s">
        <v>699</v>
      </c>
      <c r="Q169" s="16">
        <v>1030242</v>
      </c>
      <c r="R169" s="16">
        <v>1030242</v>
      </c>
      <c r="S169" s="16" t="s">
        <v>38</v>
      </c>
      <c r="T169" s="19" t="s">
        <v>987</v>
      </c>
      <c r="U169" s="13" t="s">
        <v>720</v>
      </c>
      <c r="V169" s="20" t="s">
        <v>625</v>
      </c>
      <c r="W169" s="13"/>
      <c r="X169" s="13" t="s">
        <v>988</v>
      </c>
      <c r="Y169" s="13" t="s">
        <v>731</v>
      </c>
      <c r="Z169" s="13"/>
      <c r="AA169" s="13"/>
      <c r="AB169" s="16" t="str">
        <f t="shared" si="2"/>
        <v>Completed</v>
      </c>
      <c r="AC169" s="18">
        <v>45988</v>
      </c>
      <c r="AD169" s="18">
        <v>46000</v>
      </c>
      <c r="AE169" s="18">
        <v>46003</v>
      </c>
      <c r="AF169" s="15"/>
      <c r="AG169" s="18">
        <v>46003</v>
      </c>
      <c r="AH169" s="15" t="s">
        <v>37</v>
      </c>
      <c r="AI169" s="18">
        <v>46007</v>
      </c>
      <c r="AJ169" s="21"/>
      <c r="AK169" s="22"/>
      <c r="AL169" s="22"/>
    </row>
    <row r="170" spans="1:38" ht="18" customHeight="1">
      <c r="A170" s="13" t="s">
        <v>693</v>
      </c>
      <c r="B170" s="13" t="s">
        <v>989</v>
      </c>
      <c r="C170" s="14" t="s">
        <v>773</v>
      </c>
      <c r="D170" s="14">
        <v>197278</v>
      </c>
      <c r="E170" s="16" t="s">
        <v>840</v>
      </c>
      <c r="F170" s="14">
        <v>651534</v>
      </c>
      <c r="G170" s="16">
        <v>1</v>
      </c>
      <c r="H170" s="52">
        <v>45534</v>
      </c>
      <c r="I170" s="19" t="s">
        <v>990</v>
      </c>
      <c r="J170" s="18">
        <v>45472</v>
      </c>
      <c r="K170" s="18">
        <v>46566</v>
      </c>
      <c r="L170" s="19" t="s">
        <v>95</v>
      </c>
      <c r="M170" s="19" t="s">
        <v>697</v>
      </c>
      <c r="N170" s="13" t="s">
        <v>986</v>
      </c>
      <c r="O170" s="13" t="s">
        <v>698</v>
      </c>
      <c r="P170" s="13" t="s">
        <v>699</v>
      </c>
      <c r="Q170" s="16">
        <v>1030242</v>
      </c>
      <c r="R170" s="16">
        <v>1030242</v>
      </c>
      <c r="S170" s="16" t="s">
        <v>38</v>
      </c>
      <c r="T170" s="46" t="s">
        <v>991</v>
      </c>
      <c r="U170" s="20" t="s">
        <v>965</v>
      </c>
      <c r="V170" s="20" t="s">
        <v>625</v>
      </c>
      <c r="W170" s="13"/>
      <c r="X170" s="13" t="s">
        <v>992</v>
      </c>
      <c r="Y170" s="20" t="s">
        <v>967</v>
      </c>
      <c r="Z170" s="13"/>
      <c r="AA170" s="13"/>
      <c r="AB170" s="16" t="str">
        <f t="shared" si="2"/>
        <v>Completed</v>
      </c>
      <c r="AC170" s="18">
        <v>45988</v>
      </c>
      <c r="AD170" s="18">
        <v>46000</v>
      </c>
      <c r="AE170" s="18">
        <v>46003</v>
      </c>
      <c r="AF170" s="15"/>
      <c r="AG170" s="18">
        <v>46003</v>
      </c>
      <c r="AH170" s="15" t="s">
        <v>37</v>
      </c>
      <c r="AI170" s="18">
        <v>46007</v>
      </c>
      <c r="AJ170" s="21"/>
      <c r="AK170" s="22"/>
      <c r="AL170" s="22"/>
    </row>
    <row r="171" spans="1:38" ht="18" customHeight="1">
      <c r="A171" s="13" t="s">
        <v>693</v>
      </c>
      <c r="B171" s="13" t="s">
        <v>993</v>
      </c>
      <c r="C171" s="14" t="s">
        <v>773</v>
      </c>
      <c r="D171" s="14">
        <v>198316</v>
      </c>
      <c r="E171" s="14" t="s">
        <v>840</v>
      </c>
      <c r="F171" s="53">
        <v>654321</v>
      </c>
      <c r="G171" s="27">
        <v>0</v>
      </c>
      <c r="H171" s="18">
        <v>45567</v>
      </c>
      <c r="I171" s="19" t="s">
        <v>994</v>
      </c>
      <c r="J171" s="18">
        <v>45567</v>
      </c>
      <c r="K171" s="52">
        <v>45931</v>
      </c>
      <c r="L171" s="23" t="s">
        <v>54</v>
      </c>
      <c r="M171" s="19" t="s">
        <v>871</v>
      </c>
      <c r="N171" s="13" t="s">
        <v>94</v>
      </c>
      <c r="O171" s="13" t="s">
        <v>698</v>
      </c>
      <c r="P171" s="13" t="s">
        <v>699</v>
      </c>
      <c r="Q171" s="16">
        <v>1030242</v>
      </c>
      <c r="R171" s="16">
        <v>1030242</v>
      </c>
      <c r="S171" s="16" t="s">
        <v>38</v>
      </c>
      <c r="T171" s="46" t="s">
        <v>995</v>
      </c>
      <c r="U171" s="13" t="s">
        <v>996</v>
      </c>
      <c r="V171" s="20" t="s">
        <v>997</v>
      </c>
      <c r="W171" s="13"/>
      <c r="X171" s="13" t="s">
        <v>998</v>
      </c>
      <c r="Y171" s="20" t="s">
        <v>999</v>
      </c>
      <c r="Z171" s="13"/>
      <c r="AA171" s="13"/>
      <c r="AB171" s="16" t="str">
        <f t="shared" si="2"/>
        <v>Completed</v>
      </c>
      <c r="AC171" s="18">
        <v>45988</v>
      </c>
      <c r="AD171" s="18">
        <v>46000</v>
      </c>
      <c r="AE171" s="18">
        <v>46003</v>
      </c>
      <c r="AF171" s="15"/>
      <c r="AG171" s="18">
        <v>46003</v>
      </c>
      <c r="AH171" s="15" t="s">
        <v>37</v>
      </c>
      <c r="AI171" s="18">
        <v>46007</v>
      </c>
      <c r="AJ171" s="21"/>
      <c r="AK171" s="22"/>
      <c r="AL171" s="22"/>
    </row>
    <row r="172" spans="1:38" ht="18" customHeight="1">
      <c r="A172" s="13" t="s">
        <v>693</v>
      </c>
      <c r="B172" s="13" t="s">
        <v>1000</v>
      </c>
      <c r="C172" s="14" t="s">
        <v>773</v>
      </c>
      <c r="D172" s="54">
        <v>197998</v>
      </c>
      <c r="E172" s="14" t="s">
        <v>840</v>
      </c>
      <c r="F172" s="53"/>
      <c r="G172" s="27">
        <v>0</v>
      </c>
      <c r="H172" s="52">
        <v>45597</v>
      </c>
      <c r="I172" s="19" t="s">
        <v>994</v>
      </c>
      <c r="J172" s="52">
        <v>45597</v>
      </c>
      <c r="K172" s="52">
        <v>45961</v>
      </c>
      <c r="L172" s="55" t="s">
        <v>54</v>
      </c>
      <c r="M172" s="23" t="s">
        <v>871</v>
      </c>
      <c r="N172" s="32" t="s">
        <v>94</v>
      </c>
      <c r="O172" s="32" t="s">
        <v>698</v>
      </c>
      <c r="P172" s="32" t="s">
        <v>699</v>
      </c>
      <c r="Q172" s="27">
        <v>1030242</v>
      </c>
      <c r="R172" s="27">
        <v>1030242</v>
      </c>
      <c r="S172" s="27" t="s">
        <v>38</v>
      </c>
      <c r="T172" s="46" t="s">
        <v>1001</v>
      </c>
      <c r="U172" s="32" t="s">
        <v>1002</v>
      </c>
      <c r="V172" s="26" t="s">
        <v>1003</v>
      </c>
      <c r="W172" s="32"/>
      <c r="X172" s="32" t="s">
        <v>1004</v>
      </c>
      <c r="Y172" s="20" t="s">
        <v>1005</v>
      </c>
      <c r="Z172" s="13"/>
      <c r="AA172" s="13"/>
      <c r="AB172" s="16" t="str">
        <f t="shared" si="2"/>
        <v>Completed</v>
      </c>
      <c r="AC172" s="18">
        <v>45988</v>
      </c>
      <c r="AD172" s="18">
        <v>46000</v>
      </c>
      <c r="AE172" s="18">
        <v>46003</v>
      </c>
      <c r="AF172" s="15"/>
      <c r="AG172" s="18">
        <v>46003</v>
      </c>
      <c r="AH172" s="15" t="s">
        <v>856</v>
      </c>
      <c r="AI172" s="18">
        <v>46007</v>
      </c>
      <c r="AJ172" s="21"/>
      <c r="AK172" s="22"/>
      <c r="AL172" s="22"/>
    </row>
    <row r="173" spans="1:38" ht="18" customHeight="1">
      <c r="A173" s="13" t="s">
        <v>693</v>
      </c>
      <c r="B173" s="13" t="s">
        <v>1006</v>
      </c>
      <c r="C173" s="14" t="s">
        <v>773</v>
      </c>
      <c r="D173" s="14">
        <v>193390</v>
      </c>
      <c r="E173" s="14" t="s">
        <v>696</v>
      </c>
      <c r="F173" s="14">
        <v>606128</v>
      </c>
      <c r="G173" s="27">
        <v>11</v>
      </c>
      <c r="H173" s="52">
        <v>45611</v>
      </c>
      <c r="I173" s="37" t="s">
        <v>847</v>
      </c>
      <c r="J173" s="18">
        <v>44136</v>
      </c>
      <c r="K173" s="18">
        <v>45961</v>
      </c>
      <c r="L173" s="37" t="s">
        <v>95</v>
      </c>
      <c r="M173" s="55" t="s">
        <v>718</v>
      </c>
      <c r="N173" s="32" t="s">
        <v>986</v>
      </c>
      <c r="O173" s="32" t="s">
        <v>698</v>
      </c>
      <c r="P173" s="32" t="s">
        <v>699</v>
      </c>
      <c r="Q173" s="27">
        <v>1030242</v>
      </c>
      <c r="R173" s="27">
        <v>1030242</v>
      </c>
      <c r="S173" s="27" t="s">
        <v>38</v>
      </c>
      <c r="T173" s="37" t="s">
        <v>1007</v>
      </c>
      <c r="U173" s="26" t="s">
        <v>720</v>
      </c>
      <c r="V173" s="26" t="s">
        <v>299</v>
      </c>
      <c r="W173" s="32"/>
      <c r="X173" s="32" t="s">
        <v>1008</v>
      </c>
      <c r="Y173" s="32" t="s">
        <v>731</v>
      </c>
      <c r="Z173" s="13"/>
      <c r="AA173" s="13"/>
      <c r="AB173" s="16" t="str">
        <f t="shared" si="2"/>
        <v>Completed</v>
      </c>
      <c r="AC173" s="18">
        <v>45988</v>
      </c>
      <c r="AD173" s="18">
        <v>46000</v>
      </c>
      <c r="AE173" s="18">
        <v>46003</v>
      </c>
      <c r="AF173" s="15"/>
      <c r="AG173" s="18">
        <v>46003</v>
      </c>
      <c r="AH173" s="15" t="s">
        <v>37</v>
      </c>
      <c r="AI173" s="18">
        <v>46007</v>
      </c>
      <c r="AJ173" s="21"/>
      <c r="AK173" s="22"/>
      <c r="AL173" s="22"/>
    </row>
    <row r="174" spans="1:38" ht="18" customHeight="1">
      <c r="A174" s="13" t="s">
        <v>693</v>
      </c>
      <c r="B174" s="13" t="s">
        <v>1009</v>
      </c>
      <c r="C174" s="14" t="s">
        <v>773</v>
      </c>
      <c r="D174" s="14">
        <v>195833</v>
      </c>
      <c r="E174" s="14" t="s">
        <v>840</v>
      </c>
      <c r="F174" s="16" t="s">
        <v>38</v>
      </c>
      <c r="G174" s="16">
        <v>1</v>
      </c>
      <c r="H174" s="18">
        <v>45538</v>
      </c>
      <c r="I174" t="s">
        <v>1010</v>
      </c>
      <c r="J174" s="18">
        <v>45408</v>
      </c>
      <c r="K174" s="18">
        <v>47233</v>
      </c>
      <c r="L174" s="19" t="s">
        <v>95</v>
      </c>
      <c r="M174" s="37" t="s">
        <v>933</v>
      </c>
      <c r="N174" s="13" t="s">
        <v>1011</v>
      </c>
      <c r="O174" s="13" t="s">
        <v>698</v>
      </c>
      <c r="P174" s="13" t="s">
        <v>699</v>
      </c>
      <c r="Q174" s="16">
        <v>1030242</v>
      </c>
      <c r="R174" s="16">
        <v>1030242</v>
      </c>
      <c r="S174" s="16" t="s">
        <v>38</v>
      </c>
      <c r="T174" s="46" t="s">
        <v>1012</v>
      </c>
      <c r="U174" s="50" t="s">
        <v>1013</v>
      </c>
      <c r="V174" s="20" t="s">
        <v>935</v>
      </c>
      <c r="W174" s="13"/>
      <c r="X174" s="20" t="s">
        <v>936</v>
      </c>
      <c r="Y174" s="50" t="s">
        <v>937</v>
      </c>
      <c r="Z174" s="13"/>
      <c r="AA174" s="13"/>
      <c r="AB174" s="16" t="str">
        <f t="shared" si="2"/>
        <v>Completed</v>
      </c>
      <c r="AC174" s="18">
        <v>45988</v>
      </c>
      <c r="AD174" s="18">
        <v>46000</v>
      </c>
      <c r="AE174" s="18">
        <v>46003</v>
      </c>
      <c r="AF174" s="15"/>
      <c r="AG174" s="18">
        <v>46003</v>
      </c>
      <c r="AH174" s="15" t="s">
        <v>856</v>
      </c>
      <c r="AI174" s="18">
        <v>46007</v>
      </c>
      <c r="AJ174" s="21"/>
      <c r="AK174" s="22"/>
      <c r="AL174" s="22"/>
    </row>
    <row r="175" spans="1:38" ht="18" customHeight="1">
      <c r="A175" s="13" t="s">
        <v>693</v>
      </c>
      <c r="B175" s="13" t="s">
        <v>1014</v>
      </c>
      <c r="C175" s="14" t="s">
        <v>1015</v>
      </c>
      <c r="D175" s="15" t="s">
        <v>38</v>
      </c>
      <c r="E175" s="14" t="s">
        <v>840</v>
      </c>
      <c r="F175" s="17">
        <v>655453</v>
      </c>
      <c r="G175" s="16">
        <v>0</v>
      </c>
      <c r="H175" s="18">
        <v>45632</v>
      </c>
      <c r="I175" s="46" t="s">
        <v>1016</v>
      </c>
      <c r="J175" s="18">
        <v>45632</v>
      </c>
      <c r="K175" s="18">
        <v>46726</v>
      </c>
      <c r="L175" s="19" t="s">
        <v>42</v>
      </c>
      <c r="M175" s="19" t="s">
        <v>544</v>
      </c>
      <c r="N175" t="s">
        <v>94</v>
      </c>
      <c r="O175" s="13" t="s">
        <v>698</v>
      </c>
      <c r="P175" s="13" t="s">
        <v>699</v>
      </c>
      <c r="Q175" s="16">
        <v>1030242</v>
      </c>
      <c r="R175" s="28" t="s">
        <v>1017</v>
      </c>
      <c r="S175" s="28" t="s">
        <v>1017</v>
      </c>
      <c r="T175" s="19" t="s">
        <v>1018</v>
      </c>
      <c r="U175" s="20" t="s">
        <v>1019</v>
      </c>
      <c r="V175" s="20" t="s">
        <v>1020</v>
      </c>
      <c r="W175" s="13"/>
      <c r="X175" s="20" t="s">
        <v>1021</v>
      </c>
      <c r="Y175" t="s">
        <v>1022</v>
      </c>
      <c r="Z175" s="13"/>
      <c r="AA175" s="13" t="s">
        <v>494</v>
      </c>
      <c r="AB175" s="16" t="str">
        <f t="shared" si="2"/>
        <v>Completed</v>
      </c>
      <c r="AC175" s="18">
        <v>45988</v>
      </c>
      <c r="AD175" s="18">
        <v>45994</v>
      </c>
      <c r="AE175" s="18">
        <v>45995</v>
      </c>
      <c r="AF175" s="15"/>
      <c r="AG175" s="18">
        <v>46000</v>
      </c>
      <c r="AH175" s="15" t="s">
        <v>37</v>
      </c>
      <c r="AI175" s="18">
        <v>46003</v>
      </c>
      <c r="AJ175" s="21"/>
      <c r="AK175" s="22"/>
      <c r="AL175" s="22"/>
    </row>
    <row r="176" spans="1:38" ht="18" customHeight="1">
      <c r="A176" s="13" t="s">
        <v>693</v>
      </c>
      <c r="B176" s="13" t="s">
        <v>1023</v>
      </c>
      <c r="C176" s="14" t="s">
        <v>1015</v>
      </c>
      <c r="D176" s="15" t="s">
        <v>1024</v>
      </c>
      <c r="E176" s="14" t="s">
        <v>840</v>
      </c>
      <c r="F176" s="15" t="s">
        <v>38</v>
      </c>
      <c r="G176" s="16">
        <v>0</v>
      </c>
      <c r="H176" s="18">
        <v>45616</v>
      </c>
      <c r="I176" t="s">
        <v>947</v>
      </c>
      <c r="J176" s="18">
        <v>45616</v>
      </c>
      <c r="K176" s="18">
        <v>46356</v>
      </c>
      <c r="L176" s="23" t="s">
        <v>54</v>
      </c>
      <c r="M176" s="19" t="s">
        <v>234</v>
      </c>
      <c r="N176" t="s">
        <v>94</v>
      </c>
      <c r="O176" s="13" t="s">
        <v>698</v>
      </c>
      <c r="P176" s="13" t="s">
        <v>699</v>
      </c>
      <c r="Q176" s="16">
        <v>1030242</v>
      </c>
      <c r="R176" s="28" t="s">
        <v>1025</v>
      </c>
      <c r="S176" s="28" t="s">
        <v>1025</v>
      </c>
      <c r="T176" s="13" t="s">
        <v>1026</v>
      </c>
      <c r="U176" s="20" t="s">
        <v>1027</v>
      </c>
      <c r="V176" s="20" t="s">
        <v>923</v>
      </c>
      <c r="W176" s="13"/>
      <c r="X176" s="20" t="s">
        <v>1028</v>
      </c>
      <c r="Y176" s="20" t="s">
        <v>1029</v>
      </c>
      <c r="Z176" s="13"/>
      <c r="AA176" s="13" t="s">
        <v>494</v>
      </c>
      <c r="AB176" s="16" t="str">
        <f t="shared" si="2"/>
        <v>Completed</v>
      </c>
      <c r="AC176" s="18">
        <v>45988</v>
      </c>
      <c r="AD176" s="18">
        <v>45994</v>
      </c>
      <c r="AE176" s="18">
        <v>45995</v>
      </c>
      <c r="AF176" s="15"/>
      <c r="AG176" s="18">
        <v>46000</v>
      </c>
      <c r="AH176" s="15" t="s">
        <v>37</v>
      </c>
      <c r="AI176" s="18">
        <v>46003</v>
      </c>
      <c r="AJ176" s="21"/>
      <c r="AK176" s="22"/>
      <c r="AL176" s="22"/>
    </row>
    <row r="177" spans="1:38" ht="18" customHeight="1">
      <c r="A177" s="13" t="s">
        <v>693</v>
      </c>
      <c r="B177" s="13" t="s">
        <v>1030</v>
      </c>
      <c r="C177" s="14" t="s">
        <v>1015</v>
      </c>
      <c r="D177" s="14">
        <v>193530</v>
      </c>
      <c r="E177" s="14" t="s">
        <v>840</v>
      </c>
      <c r="F177" s="15" t="s">
        <v>38</v>
      </c>
      <c r="G177" s="16">
        <v>0</v>
      </c>
      <c r="H177" s="18">
        <v>45639</v>
      </c>
      <c r="I177" s="20" t="s">
        <v>1031</v>
      </c>
      <c r="J177" s="18">
        <v>45639</v>
      </c>
      <c r="K177" s="18">
        <v>47464</v>
      </c>
      <c r="L177" s="19" t="s">
        <v>95</v>
      </c>
      <c r="M177" s="23" t="s">
        <v>1032</v>
      </c>
      <c r="N177" t="s">
        <v>94</v>
      </c>
      <c r="O177" s="13" t="s">
        <v>698</v>
      </c>
      <c r="P177" s="13" t="s">
        <v>699</v>
      </c>
      <c r="Q177" s="16">
        <v>1030242</v>
      </c>
      <c r="R177" s="28" t="s">
        <v>1033</v>
      </c>
      <c r="S177" s="28" t="s">
        <v>1033</v>
      </c>
      <c r="T177" t="s">
        <v>1034</v>
      </c>
      <c r="U177" s="20" t="s">
        <v>1035</v>
      </c>
      <c r="V177" s="20" t="s">
        <v>1036</v>
      </c>
      <c r="W177" s="13"/>
      <c r="X177" s="20" t="s">
        <v>1037</v>
      </c>
      <c r="Y177" s="50" t="s">
        <v>937</v>
      </c>
      <c r="Z177" s="13"/>
      <c r="AA177" s="13"/>
      <c r="AB177" s="16" t="str">
        <f t="shared" si="2"/>
        <v>Completed</v>
      </c>
      <c r="AC177" s="18">
        <v>45988</v>
      </c>
      <c r="AD177" s="18">
        <v>45994</v>
      </c>
      <c r="AE177" s="18">
        <v>45995</v>
      </c>
      <c r="AF177" s="15"/>
      <c r="AG177" s="18">
        <v>46000</v>
      </c>
      <c r="AH177" s="15" t="s">
        <v>37</v>
      </c>
      <c r="AI177" s="18">
        <v>46003</v>
      </c>
      <c r="AJ177" s="21"/>
      <c r="AK177" s="22"/>
      <c r="AL177" s="22"/>
    </row>
    <row r="178" spans="1:38" ht="18" customHeight="1">
      <c r="A178" s="13" t="s">
        <v>693</v>
      </c>
      <c r="B178" s="13" t="s">
        <v>1038</v>
      </c>
      <c r="C178" s="14" t="s">
        <v>1015</v>
      </c>
      <c r="D178" s="14">
        <v>205598</v>
      </c>
      <c r="E178" s="14" t="s">
        <v>696</v>
      </c>
      <c r="F178" s="53">
        <v>606128</v>
      </c>
      <c r="G178" s="16">
        <v>12</v>
      </c>
      <c r="H178" s="18">
        <v>45694</v>
      </c>
      <c r="I178" t="s">
        <v>728</v>
      </c>
      <c r="J178" s="18">
        <v>44136</v>
      </c>
      <c r="K178" s="18">
        <v>46691</v>
      </c>
      <c r="L178" s="19" t="s">
        <v>95</v>
      </c>
      <c r="M178" s="19" t="s">
        <v>718</v>
      </c>
      <c r="N178" s="32" t="s">
        <v>986</v>
      </c>
      <c r="O178" s="13" t="s">
        <v>698</v>
      </c>
      <c r="P178" s="13" t="s">
        <v>699</v>
      </c>
      <c r="Q178" s="16">
        <v>1030242</v>
      </c>
      <c r="R178" s="28" t="s">
        <v>1039</v>
      </c>
      <c r="S178" s="28" t="s">
        <v>1039</v>
      </c>
      <c r="T178" t="s">
        <v>1040</v>
      </c>
      <c r="U178" s="20" t="s">
        <v>720</v>
      </c>
      <c r="V178" s="50" t="s">
        <v>299</v>
      </c>
      <c r="X178" s="20" t="s">
        <v>1041</v>
      </c>
      <c r="Y178" s="13" t="s">
        <v>1042</v>
      </c>
      <c r="Z178" s="13"/>
      <c r="AA178" s="13" t="s">
        <v>1043</v>
      </c>
      <c r="AB178" s="16" t="str">
        <f t="shared" si="2"/>
        <v>Completed</v>
      </c>
      <c r="AC178" s="18">
        <v>45988</v>
      </c>
      <c r="AD178" s="18">
        <v>45994</v>
      </c>
      <c r="AE178" s="18">
        <v>45996</v>
      </c>
      <c r="AF178" s="15"/>
      <c r="AG178" s="18">
        <v>46000</v>
      </c>
      <c r="AH178" s="15" t="s">
        <v>37</v>
      </c>
      <c r="AI178" s="18">
        <v>46006</v>
      </c>
      <c r="AJ178" s="21"/>
      <c r="AK178" s="22"/>
      <c r="AL178" s="22"/>
    </row>
    <row r="179" spans="1:38" ht="18" customHeight="1">
      <c r="A179" s="13" t="s">
        <v>693</v>
      </c>
      <c r="B179" s="13" t="s">
        <v>1044</v>
      </c>
      <c r="C179" s="14" t="s">
        <v>1015</v>
      </c>
      <c r="D179" s="14">
        <v>215123</v>
      </c>
      <c r="E179" s="15" t="s">
        <v>696</v>
      </c>
      <c r="F179" s="53">
        <v>595588</v>
      </c>
      <c r="G179" s="16">
        <v>6</v>
      </c>
      <c r="H179" s="18">
        <v>45701</v>
      </c>
      <c r="I179" t="s">
        <v>707</v>
      </c>
      <c r="J179" s="18">
        <v>43875</v>
      </c>
      <c r="K179" s="18">
        <v>45760</v>
      </c>
      <c r="L179" s="19" t="s">
        <v>95</v>
      </c>
      <c r="M179" s="19" t="s">
        <v>697</v>
      </c>
      <c r="N179" s="13" t="s">
        <v>117</v>
      </c>
      <c r="O179" s="13" t="s">
        <v>698</v>
      </c>
      <c r="P179" s="13" t="s">
        <v>699</v>
      </c>
      <c r="Q179" s="16">
        <v>1030242</v>
      </c>
      <c r="R179" s="28" t="s">
        <v>1045</v>
      </c>
      <c r="S179" s="28" t="s">
        <v>1045</v>
      </c>
      <c r="T179" t="s">
        <v>1046</v>
      </c>
      <c r="U179" s="20" t="s">
        <v>735</v>
      </c>
      <c r="V179" s="20" t="s">
        <v>625</v>
      </c>
      <c r="W179" s="13"/>
      <c r="X179" s="20" t="s">
        <v>1047</v>
      </c>
      <c r="Y179" s="13" t="s">
        <v>703</v>
      </c>
      <c r="Z179" s="13"/>
      <c r="AA179" s="13" t="s">
        <v>1048</v>
      </c>
      <c r="AB179" s="16" t="str">
        <f t="shared" si="2"/>
        <v>Completed</v>
      </c>
      <c r="AC179" s="18">
        <v>45988</v>
      </c>
      <c r="AD179" s="18">
        <v>45995</v>
      </c>
      <c r="AE179" s="18">
        <v>45996</v>
      </c>
      <c r="AF179" s="15"/>
      <c r="AG179" s="18">
        <v>46000</v>
      </c>
      <c r="AH179" s="15" t="s">
        <v>37</v>
      </c>
      <c r="AI179" s="18">
        <v>46003</v>
      </c>
      <c r="AJ179" s="21"/>
      <c r="AK179" s="22"/>
      <c r="AL179" s="22"/>
    </row>
    <row r="180" spans="1:38" ht="18" customHeight="1">
      <c r="A180" s="13" t="s">
        <v>693</v>
      </c>
      <c r="B180" s="13" t="s">
        <v>1049</v>
      </c>
      <c r="C180" s="14" t="s">
        <v>1015</v>
      </c>
      <c r="D180" s="14">
        <v>213221</v>
      </c>
      <c r="E180" s="15" t="s">
        <v>840</v>
      </c>
      <c r="F180" s="53">
        <v>651534</v>
      </c>
      <c r="G180" s="16">
        <v>2</v>
      </c>
      <c r="H180" s="18">
        <v>45723</v>
      </c>
      <c r="I180" t="s">
        <v>707</v>
      </c>
      <c r="J180" s="18">
        <v>45472</v>
      </c>
      <c r="K180" s="18">
        <v>46566</v>
      </c>
      <c r="L180" s="19" t="s">
        <v>95</v>
      </c>
      <c r="M180" s="19" t="s">
        <v>697</v>
      </c>
      <c r="N180" s="13" t="s">
        <v>117</v>
      </c>
      <c r="O180" s="13" t="s">
        <v>698</v>
      </c>
      <c r="P180" s="13" t="s">
        <v>699</v>
      </c>
      <c r="Q180" s="16">
        <v>1030242</v>
      </c>
      <c r="R180" s="28" t="s">
        <v>1050</v>
      </c>
      <c r="S180" s="28" t="s">
        <v>1050</v>
      </c>
      <c r="T180" t="s">
        <v>1051</v>
      </c>
      <c r="U180" s="20" t="s">
        <v>965</v>
      </c>
      <c r="V180" s="20" t="s">
        <v>625</v>
      </c>
      <c r="W180" s="13"/>
      <c r="X180" s="20" t="s">
        <v>1052</v>
      </c>
      <c r="Y180" s="13" t="s">
        <v>967</v>
      </c>
      <c r="Z180" s="13"/>
      <c r="AA180" s="13"/>
      <c r="AB180" s="16" t="str">
        <f t="shared" si="2"/>
        <v>Completed</v>
      </c>
      <c r="AC180" s="18">
        <v>45988</v>
      </c>
      <c r="AD180" s="18">
        <v>45995</v>
      </c>
      <c r="AE180" s="18">
        <v>46000</v>
      </c>
      <c r="AF180" s="15"/>
      <c r="AG180" s="18">
        <v>46000</v>
      </c>
      <c r="AH180" s="15" t="s">
        <v>37</v>
      </c>
      <c r="AI180" s="18">
        <v>46006</v>
      </c>
      <c r="AJ180" s="21"/>
      <c r="AK180" s="22"/>
      <c r="AL180" s="22"/>
    </row>
    <row r="181" spans="1:38" ht="18" customHeight="1">
      <c r="A181" s="13" t="s">
        <v>693</v>
      </c>
      <c r="B181" s="13" t="s">
        <v>1053</v>
      </c>
      <c r="C181" s="14" t="s">
        <v>1015</v>
      </c>
      <c r="D181" s="14">
        <v>203339</v>
      </c>
      <c r="E181" s="15" t="s">
        <v>840</v>
      </c>
      <c r="F181" s="53">
        <v>654321</v>
      </c>
      <c r="G181" s="16">
        <v>1</v>
      </c>
      <c r="H181" s="18">
        <v>45723</v>
      </c>
      <c r="I181" t="s">
        <v>1054</v>
      </c>
      <c r="J181" s="18">
        <v>45567</v>
      </c>
      <c r="K181" s="52">
        <v>45931</v>
      </c>
      <c r="L181" s="23" t="s">
        <v>54</v>
      </c>
      <c r="M181" s="19" t="s">
        <v>871</v>
      </c>
      <c r="N181" s="38" t="s">
        <v>117</v>
      </c>
      <c r="O181" s="13" t="s">
        <v>698</v>
      </c>
      <c r="P181" s="13" t="s">
        <v>699</v>
      </c>
      <c r="Q181" s="16">
        <v>1030242</v>
      </c>
      <c r="R181" s="28" t="s">
        <v>1055</v>
      </c>
      <c r="S181" s="28" t="s">
        <v>1055</v>
      </c>
      <c r="T181" s="13" t="s">
        <v>1056</v>
      </c>
      <c r="U181" s="20" t="s">
        <v>1057</v>
      </c>
      <c r="V181" s="50" t="s">
        <v>1003</v>
      </c>
      <c r="X181" s="20" t="s">
        <v>1058</v>
      </c>
      <c r="Z181" s="13"/>
      <c r="AA181" s="13"/>
      <c r="AB181" s="16" t="str">
        <f t="shared" si="2"/>
        <v>Completed</v>
      </c>
      <c r="AC181" s="18">
        <v>45988</v>
      </c>
      <c r="AD181" s="18">
        <v>45995</v>
      </c>
      <c r="AE181" s="18">
        <v>46000</v>
      </c>
      <c r="AF181" s="15"/>
      <c r="AG181" s="18">
        <v>46000</v>
      </c>
      <c r="AH181" s="15" t="s">
        <v>37</v>
      </c>
      <c r="AI181" s="18">
        <v>46006</v>
      </c>
      <c r="AJ181" s="21"/>
      <c r="AK181" s="22"/>
      <c r="AL181" s="22"/>
    </row>
    <row r="182" spans="1:38" ht="18" customHeight="1">
      <c r="A182" s="13" t="s">
        <v>693</v>
      </c>
      <c r="B182" s="13" t="s">
        <v>1059</v>
      </c>
      <c r="C182" s="14" t="s">
        <v>1015</v>
      </c>
      <c r="D182" s="15" t="s">
        <v>1060</v>
      </c>
      <c r="E182" s="14" t="s">
        <v>696</v>
      </c>
      <c r="F182" s="17" t="s">
        <v>1061</v>
      </c>
      <c r="G182" s="16">
        <v>13</v>
      </c>
      <c r="H182" s="18">
        <v>45748</v>
      </c>
      <c r="I182" t="s">
        <v>985</v>
      </c>
      <c r="J182" s="18">
        <v>44136</v>
      </c>
      <c r="K182" s="18">
        <v>46691</v>
      </c>
      <c r="L182" s="19" t="s">
        <v>95</v>
      </c>
      <c r="M182" s="23" t="s">
        <v>718</v>
      </c>
      <c r="N182" s="38" t="s">
        <v>117</v>
      </c>
      <c r="O182" s="13" t="s">
        <v>698</v>
      </c>
      <c r="P182" s="13" t="s">
        <v>699</v>
      </c>
      <c r="Q182" s="16">
        <v>1030242</v>
      </c>
      <c r="R182" s="28" t="s">
        <v>1062</v>
      </c>
      <c r="S182" s="28" t="s">
        <v>1062</v>
      </c>
      <c r="T182" t="s">
        <v>1063</v>
      </c>
      <c r="U182" s="20" t="s">
        <v>1064</v>
      </c>
      <c r="V182" s="20" t="s">
        <v>299</v>
      </c>
      <c r="W182" s="13"/>
      <c r="X182" s="20" t="s">
        <v>1065</v>
      </c>
      <c r="Y182" s="13" t="s">
        <v>722</v>
      </c>
      <c r="Z182" s="13"/>
      <c r="AA182" s="13"/>
      <c r="AB182" s="16" t="str">
        <f t="shared" si="2"/>
        <v>Completed</v>
      </c>
      <c r="AC182" s="18">
        <v>45988</v>
      </c>
      <c r="AD182" s="18">
        <v>45995</v>
      </c>
      <c r="AE182" s="18">
        <v>46000</v>
      </c>
      <c r="AF182" s="15"/>
      <c r="AG182" s="18">
        <v>46000</v>
      </c>
      <c r="AH182" s="15" t="s">
        <v>37</v>
      </c>
      <c r="AI182" s="18">
        <v>46006</v>
      </c>
      <c r="AJ182" s="21"/>
      <c r="AK182" s="22"/>
      <c r="AL182" s="22"/>
    </row>
    <row r="183" spans="1:38" ht="18" customHeight="1">
      <c r="A183" s="13" t="s">
        <v>693</v>
      </c>
      <c r="B183" s="13" t="s">
        <v>1066</v>
      </c>
      <c r="C183" s="14" t="s">
        <v>1015</v>
      </c>
      <c r="D183" s="14">
        <v>220150</v>
      </c>
      <c r="E183" s="14" t="s">
        <v>840</v>
      </c>
      <c r="F183" s="17">
        <v>660606</v>
      </c>
      <c r="G183" s="16">
        <v>0</v>
      </c>
      <c r="H183" s="18">
        <v>45778</v>
      </c>
      <c r="I183" t="s">
        <v>94</v>
      </c>
      <c r="J183" s="18">
        <v>45778</v>
      </c>
      <c r="K183" s="18">
        <v>46142</v>
      </c>
      <c r="L183" s="19" t="s">
        <v>54</v>
      </c>
      <c r="M183" s="34" t="s">
        <v>1067</v>
      </c>
      <c r="N183" t="s">
        <v>94</v>
      </c>
      <c r="O183" s="13" t="s">
        <v>698</v>
      </c>
      <c r="P183" s="13" t="s">
        <v>699</v>
      </c>
      <c r="Q183" s="16">
        <v>1030242</v>
      </c>
      <c r="R183" s="15" t="s">
        <v>1068</v>
      </c>
      <c r="S183" s="15" t="s">
        <v>1068</v>
      </c>
      <c r="T183" t="s">
        <v>1069</v>
      </c>
      <c r="U183" t="s">
        <v>1070</v>
      </c>
      <c r="V183" s="20" t="s">
        <v>671</v>
      </c>
      <c r="W183" s="13"/>
      <c r="X183" s="20" t="s">
        <v>1071</v>
      </c>
      <c r="Y183" t="s">
        <v>1072</v>
      </c>
      <c r="Z183" s="13"/>
      <c r="AA183" s="13"/>
      <c r="AB183" s="16" t="str">
        <f t="shared" si="2"/>
        <v>Completed</v>
      </c>
      <c r="AC183" s="18">
        <v>45988</v>
      </c>
      <c r="AD183" s="18">
        <v>45996</v>
      </c>
      <c r="AE183" s="18">
        <v>45996</v>
      </c>
      <c r="AF183" s="15"/>
      <c r="AG183" s="18">
        <v>46000</v>
      </c>
      <c r="AH183" s="15" t="s">
        <v>37</v>
      </c>
      <c r="AI183" s="18">
        <v>46006</v>
      </c>
      <c r="AJ183" s="21"/>
      <c r="AK183" s="22"/>
      <c r="AL183" s="22"/>
    </row>
    <row r="184" spans="1:38" ht="18" customHeight="1">
      <c r="A184" s="13" t="s">
        <v>693</v>
      </c>
      <c r="B184" s="13" t="s">
        <v>1073</v>
      </c>
      <c r="C184" s="14" t="s">
        <v>1015</v>
      </c>
      <c r="D184" s="14">
        <v>219744</v>
      </c>
      <c r="E184" s="15" t="s">
        <v>696</v>
      </c>
      <c r="F184" s="14">
        <v>606128</v>
      </c>
      <c r="G184" s="16">
        <v>14</v>
      </c>
      <c r="H184" s="18">
        <v>45770</v>
      </c>
      <c r="I184" t="s">
        <v>728</v>
      </c>
      <c r="J184" s="18">
        <v>44136</v>
      </c>
      <c r="K184" s="18">
        <v>46691</v>
      </c>
      <c r="L184" s="19" t="s">
        <v>95</v>
      </c>
      <c r="M184" s="19" t="s">
        <v>718</v>
      </c>
      <c r="N184" s="13" t="s">
        <v>117</v>
      </c>
      <c r="O184" s="13" t="s">
        <v>698</v>
      </c>
      <c r="P184" s="13" t="s">
        <v>699</v>
      </c>
      <c r="Q184" s="16">
        <v>1030242</v>
      </c>
      <c r="R184" s="28" t="s">
        <v>1062</v>
      </c>
      <c r="S184" s="28" t="s">
        <v>1062</v>
      </c>
      <c r="T184" t="s">
        <v>1074</v>
      </c>
      <c r="U184" s="20" t="s">
        <v>1064</v>
      </c>
      <c r="V184" s="20" t="s">
        <v>299</v>
      </c>
      <c r="W184" s="13"/>
      <c r="X184" s="20" t="s">
        <v>1065</v>
      </c>
      <c r="Y184" s="13" t="s">
        <v>722</v>
      </c>
      <c r="Z184" s="13"/>
      <c r="AA184" s="13"/>
      <c r="AB184" s="16" t="str">
        <f t="shared" si="2"/>
        <v>Completed</v>
      </c>
      <c r="AC184" s="18">
        <v>45988</v>
      </c>
      <c r="AD184" s="18">
        <v>45996</v>
      </c>
      <c r="AE184" s="18">
        <v>46000</v>
      </c>
      <c r="AF184" s="15"/>
      <c r="AG184" s="18">
        <v>46000</v>
      </c>
      <c r="AH184" s="15" t="s">
        <v>37</v>
      </c>
      <c r="AI184" s="18">
        <v>46006</v>
      </c>
      <c r="AJ184" s="21"/>
      <c r="AK184" s="22"/>
      <c r="AL184" s="22"/>
    </row>
    <row r="185" spans="1:38" ht="18" customHeight="1">
      <c r="A185" s="13" t="s">
        <v>693</v>
      </c>
      <c r="B185" s="13" t="s">
        <v>1075</v>
      </c>
      <c r="C185" s="14" t="s">
        <v>1015</v>
      </c>
      <c r="D185" s="14">
        <v>222946</v>
      </c>
      <c r="E185" s="14" t="s">
        <v>840</v>
      </c>
      <c r="F185" s="15" t="s">
        <v>38</v>
      </c>
      <c r="G185" s="16">
        <v>0</v>
      </c>
      <c r="H185" s="18">
        <v>45839</v>
      </c>
      <c r="I185" t="s">
        <v>711</v>
      </c>
      <c r="J185" s="18">
        <v>45839</v>
      </c>
      <c r="K185" s="18">
        <v>46568</v>
      </c>
      <c r="L185" s="19" t="s">
        <v>95</v>
      </c>
      <c r="M185" s="19" t="s">
        <v>96</v>
      </c>
      <c r="N185" s="13" t="s">
        <v>94</v>
      </c>
      <c r="O185" s="13" t="s">
        <v>698</v>
      </c>
      <c r="P185" s="13" t="s">
        <v>699</v>
      </c>
      <c r="Q185" s="16">
        <v>1030242</v>
      </c>
      <c r="R185" s="15" t="s">
        <v>1068</v>
      </c>
      <c r="S185" s="15" t="s">
        <v>1068</v>
      </c>
      <c r="T185" t="s">
        <v>1076</v>
      </c>
      <c r="U185" t="s">
        <v>1077</v>
      </c>
      <c r="V185" s="20" t="s">
        <v>923</v>
      </c>
      <c r="W185" s="13"/>
      <c r="X185" s="20" t="s">
        <v>1078</v>
      </c>
      <c r="Y185" t="s">
        <v>1079</v>
      </c>
      <c r="Z185" s="13"/>
      <c r="AA185" s="13"/>
      <c r="AB185" s="16" t="str">
        <f t="shared" si="2"/>
        <v>Completed</v>
      </c>
      <c r="AC185" s="18">
        <v>45988</v>
      </c>
      <c r="AD185" s="18">
        <v>45996</v>
      </c>
      <c r="AE185" s="18">
        <v>45996</v>
      </c>
      <c r="AF185" s="15"/>
      <c r="AG185" s="18">
        <v>46000</v>
      </c>
      <c r="AH185" s="15" t="s">
        <v>37</v>
      </c>
      <c r="AI185" s="18">
        <v>46006</v>
      </c>
      <c r="AJ185" s="21"/>
      <c r="AK185" s="22"/>
      <c r="AL185" s="22"/>
    </row>
    <row r="186" spans="1:38" ht="18" customHeight="1">
      <c r="A186" s="13" t="s">
        <v>693</v>
      </c>
      <c r="B186" s="13" t="s">
        <v>1080</v>
      </c>
      <c r="C186" s="14" t="s">
        <v>1015</v>
      </c>
      <c r="D186" s="15" t="s">
        <v>1081</v>
      </c>
      <c r="E186" s="14" t="s">
        <v>840</v>
      </c>
      <c r="F186" s="15" t="s">
        <v>38</v>
      </c>
      <c r="G186" s="16">
        <v>0</v>
      </c>
      <c r="H186" s="18">
        <v>45809</v>
      </c>
      <c r="I186" t="s">
        <v>488</v>
      </c>
      <c r="J186" s="18">
        <v>45809</v>
      </c>
      <c r="K186" s="18">
        <v>46904</v>
      </c>
      <c r="L186" s="19" t="s">
        <v>95</v>
      </c>
      <c r="M186" s="19" t="s">
        <v>134</v>
      </c>
      <c r="N186" s="13" t="s">
        <v>94</v>
      </c>
      <c r="O186" s="13" t="s">
        <v>698</v>
      </c>
      <c r="P186" s="13" t="s">
        <v>699</v>
      </c>
      <c r="Q186" s="16">
        <v>1030242</v>
      </c>
      <c r="R186" s="15" t="s">
        <v>1082</v>
      </c>
      <c r="S186" s="15" t="s">
        <v>1082</v>
      </c>
      <c r="T186" t="s">
        <v>1083</v>
      </c>
      <c r="U186" t="s">
        <v>886</v>
      </c>
      <c r="V186" s="20" t="s">
        <v>923</v>
      </c>
      <c r="W186" s="13"/>
      <c r="X186" s="20" t="s">
        <v>1084</v>
      </c>
      <c r="Y186" s="20" t="s">
        <v>1085</v>
      </c>
      <c r="Z186" s="13"/>
      <c r="AA186" s="13"/>
      <c r="AB186" s="16" t="str">
        <f t="shared" si="2"/>
        <v>Completed</v>
      </c>
      <c r="AC186" s="18">
        <v>45988</v>
      </c>
      <c r="AD186" s="18">
        <v>45996</v>
      </c>
      <c r="AE186" s="18">
        <v>45996</v>
      </c>
      <c r="AF186" s="15"/>
      <c r="AG186" s="18">
        <v>46000</v>
      </c>
      <c r="AH186" s="15" t="s">
        <v>37</v>
      </c>
      <c r="AI186" s="18">
        <v>46006</v>
      </c>
      <c r="AJ186" s="21"/>
      <c r="AK186" s="22"/>
      <c r="AL186" s="22"/>
    </row>
    <row r="187" spans="1:38" ht="18" customHeight="1">
      <c r="A187" s="13" t="s">
        <v>693</v>
      </c>
      <c r="B187" s="13" t="s">
        <v>1086</v>
      </c>
      <c r="C187" s="14" t="s">
        <v>1015</v>
      </c>
      <c r="D187" s="15" t="s">
        <v>1087</v>
      </c>
      <c r="E187" s="16" t="s">
        <v>696</v>
      </c>
      <c r="F187" s="17">
        <v>595588</v>
      </c>
      <c r="G187" s="16">
        <v>7</v>
      </c>
      <c r="H187" s="18">
        <v>45729</v>
      </c>
      <c r="I187" t="s">
        <v>769</v>
      </c>
      <c r="J187" s="18">
        <v>43875</v>
      </c>
      <c r="K187" s="18">
        <v>46431</v>
      </c>
      <c r="L187" s="19" t="s">
        <v>95</v>
      </c>
      <c r="M187" s="19" t="s">
        <v>1088</v>
      </c>
      <c r="N187" s="13" t="s">
        <v>117</v>
      </c>
      <c r="O187" s="13" t="s">
        <v>698</v>
      </c>
      <c r="P187" s="13" t="s">
        <v>699</v>
      </c>
      <c r="Q187" s="16">
        <v>1030242</v>
      </c>
      <c r="R187" s="28" t="s">
        <v>1045</v>
      </c>
      <c r="S187" s="28" t="s">
        <v>1045</v>
      </c>
      <c r="T187" t="s">
        <v>1089</v>
      </c>
      <c r="U187" s="20" t="s">
        <v>735</v>
      </c>
      <c r="V187" s="20" t="s">
        <v>625</v>
      </c>
      <c r="W187" s="13"/>
      <c r="X187" s="20" t="s">
        <v>1090</v>
      </c>
      <c r="Y187" t="s">
        <v>1091</v>
      </c>
      <c r="Z187" s="13"/>
      <c r="AA187" s="13"/>
      <c r="AB187" s="16" t="str">
        <f t="shared" si="2"/>
        <v>Completed</v>
      </c>
      <c r="AC187" s="18">
        <v>45988</v>
      </c>
      <c r="AD187" s="18">
        <v>45996</v>
      </c>
      <c r="AE187" s="18">
        <v>45996</v>
      </c>
      <c r="AF187" s="15"/>
      <c r="AG187" s="18">
        <v>46000</v>
      </c>
      <c r="AH187" s="15" t="s">
        <v>37</v>
      </c>
      <c r="AI187" s="18">
        <v>46003</v>
      </c>
      <c r="AJ187" s="21"/>
      <c r="AK187" s="22"/>
      <c r="AL187" s="22"/>
    </row>
    <row r="188" spans="1:38" ht="18" customHeight="1">
      <c r="A188" s="13" t="s">
        <v>693</v>
      </c>
      <c r="B188" s="13" t="s">
        <v>1092</v>
      </c>
      <c r="C188" s="14" t="s">
        <v>1015</v>
      </c>
      <c r="D188" s="15" t="s">
        <v>1093</v>
      </c>
      <c r="E188" s="16" t="s">
        <v>840</v>
      </c>
      <c r="F188" s="17">
        <v>660606</v>
      </c>
      <c r="G188" s="16">
        <v>1</v>
      </c>
      <c r="H188" s="18">
        <v>45778</v>
      </c>
      <c r="I188" t="s">
        <v>1094</v>
      </c>
      <c r="J188" s="18">
        <v>45778</v>
      </c>
      <c r="K188" s="18">
        <v>46142</v>
      </c>
      <c r="L188" s="19" t="s">
        <v>54</v>
      </c>
      <c r="M188" s="19" t="s">
        <v>1095</v>
      </c>
      <c r="N188" s="13" t="s">
        <v>117</v>
      </c>
      <c r="O188" s="13" t="s">
        <v>698</v>
      </c>
      <c r="P188" s="13" t="s">
        <v>699</v>
      </c>
      <c r="Q188" s="16">
        <v>1030242</v>
      </c>
      <c r="R188" s="15" t="s">
        <v>1068</v>
      </c>
      <c r="S188" s="15" t="s">
        <v>1068</v>
      </c>
      <c r="T188" t="s">
        <v>1096</v>
      </c>
      <c r="U188" t="s">
        <v>1070</v>
      </c>
      <c r="V188" s="20" t="s">
        <v>671</v>
      </c>
      <c r="W188" s="13"/>
      <c r="X188" s="20" t="s">
        <v>1097</v>
      </c>
      <c r="Y188" t="s">
        <v>1098</v>
      </c>
      <c r="Z188" s="13"/>
      <c r="AA188" s="13"/>
      <c r="AB188" s="16" t="str">
        <f t="shared" si="2"/>
        <v>Completed</v>
      </c>
      <c r="AC188" s="18">
        <v>45988</v>
      </c>
      <c r="AD188" s="18">
        <v>45996</v>
      </c>
      <c r="AE188" s="18">
        <v>46000</v>
      </c>
      <c r="AF188" s="15"/>
      <c r="AG188" s="18">
        <v>46001</v>
      </c>
      <c r="AH188" s="15" t="s">
        <v>37</v>
      </c>
      <c r="AI188" s="18">
        <v>46006</v>
      </c>
      <c r="AJ188" s="21"/>
      <c r="AK188" s="22"/>
      <c r="AL188" s="22"/>
    </row>
    <row r="189" spans="1:38" ht="18" customHeight="1">
      <c r="A189" s="13" t="s">
        <v>693</v>
      </c>
      <c r="B189" s="13" t="s">
        <v>1099</v>
      </c>
      <c r="C189" s="14" t="s">
        <v>1015</v>
      </c>
      <c r="D189" s="15" t="s">
        <v>1100</v>
      </c>
      <c r="E189" s="14" t="s">
        <v>840</v>
      </c>
      <c r="F189" s="15" t="s">
        <v>38</v>
      </c>
      <c r="G189" s="16">
        <v>0</v>
      </c>
      <c r="H189" s="18">
        <v>45824</v>
      </c>
      <c r="I189" t="s">
        <v>711</v>
      </c>
      <c r="J189" s="18">
        <v>45824</v>
      </c>
      <c r="K189" s="18">
        <v>47649</v>
      </c>
      <c r="L189" s="19" t="s">
        <v>95</v>
      </c>
      <c r="M189" s="19" t="s">
        <v>96</v>
      </c>
      <c r="N189" s="13" t="s">
        <v>94</v>
      </c>
      <c r="O189" s="13" t="s">
        <v>698</v>
      </c>
      <c r="P189" s="13" t="s">
        <v>699</v>
      </c>
      <c r="Q189" s="16">
        <v>1030242</v>
      </c>
      <c r="R189" s="28" t="s">
        <v>1033</v>
      </c>
      <c r="S189" s="28" t="s">
        <v>1033</v>
      </c>
      <c r="T189" t="s">
        <v>1101</v>
      </c>
      <c r="U189" s="20" t="s">
        <v>1035</v>
      </c>
      <c r="V189" s="20" t="s">
        <v>625</v>
      </c>
      <c r="W189" s="13"/>
      <c r="X189" s="20" t="s">
        <v>1102</v>
      </c>
      <c r="Y189" s="20" t="s">
        <v>1103</v>
      </c>
      <c r="Z189" s="13"/>
      <c r="AA189" s="13"/>
      <c r="AB189" s="16" t="str">
        <f t="shared" si="2"/>
        <v>Completed</v>
      </c>
      <c r="AC189" s="18">
        <v>45988</v>
      </c>
      <c r="AD189" s="18">
        <v>45996</v>
      </c>
      <c r="AE189" s="18">
        <v>46000</v>
      </c>
      <c r="AF189" s="15"/>
      <c r="AG189" s="18">
        <v>46001</v>
      </c>
      <c r="AH189" s="15" t="s">
        <v>37</v>
      </c>
      <c r="AI189" s="18">
        <v>46006</v>
      </c>
      <c r="AJ189" s="21"/>
      <c r="AK189" s="22"/>
      <c r="AL189" s="22"/>
    </row>
    <row r="190" spans="1:38" ht="18" customHeight="1">
      <c r="A190" s="13" t="s">
        <v>693</v>
      </c>
      <c r="B190" s="13" t="s">
        <v>1104</v>
      </c>
      <c r="C190" s="14" t="s">
        <v>1015</v>
      </c>
      <c r="D190" s="15" t="s">
        <v>1105</v>
      </c>
      <c r="E190" s="14" t="s">
        <v>840</v>
      </c>
      <c r="F190" s="15" t="s">
        <v>38</v>
      </c>
      <c r="G190" s="16">
        <v>0</v>
      </c>
      <c r="H190" s="18">
        <v>45838</v>
      </c>
      <c r="I190" t="s">
        <v>1106</v>
      </c>
      <c r="J190" s="18">
        <v>45838</v>
      </c>
      <c r="K190" s="18">
        <v>46202</v>
      </c>
      <c r="L190" s="19" t="s">
        <v>95</v>
      </c>
      <c r="M190" s="19" t="s">
        <v>134</v>
      </c>
      <c r="N190" s="13" t="s">
        <v>1107</v>
      </c>
      <c r="O190" s="13" t="s">
        <v>698</v>
      </c>
      <c r="P190" s="13" t="s">
        <v>699</v>
      </c>
      <c r="Q190" s="16">
        <v>1030242</v>
      </c>
      <c r="R190" s="28" t="s">
        <v>1108</v>
      </c>
      <c r="S190" s="28" t="s">
        <v>1108</v>
      </c>
      <c r="T190" s="13" t="s">
        <v>1109</v>
      </c>
      <c r="U190" s="20" t="s">
        <v>1110</v>
      </c>
      <c r="V190" s="20" t="s">
        <v>1111</v>
      </c>
      <c r="W190" s="13"/>
      <c r="X190" s="13" t="s">
        <v>1112</v>
      </c>
      <c r="Y190" t="s">
        <v>1113</v>
      </c>
      <c r="Z190" s="13"/>
      <c r="AA190" s="13"/>
      <c r="AB190" s="16" t="str">
        <f t="shared" si="2"/>
        <v>Completed</v>
      </c>
      <c r="AC190" s="18">
        <v>45988</v>
      </c>
      <c r="AD190" s="18">
        <v>46000</v>
      </c>
      <c r="AE190" s="18">
        <v>46000</v>
      </c>
      <c r="AF190" s="15"/>
      <c r="AG190" s="18">
        <v>46001</v>
      </c>
      <c r="AH190" s="15" t="s">
        <v>37</v>
      </c>
      <c r="AI190" s="18">
        <v>46006</v>
      </c>
      <c r="AJ190" s="21"/>
      <c r="AK190" s="22"/>
      <c r="AL190" s="22"/>
    </row>
    <row r="191" spans="1:38" ht="18" customHeight="1">
      <c r="A191" s="13" t="s">
        <v>693</v>
      </c>
      <c r="B191" s="13" t="s">
        <v>1114</v>
      </c>
      <c r="C191" s="14" t="s">
        <v>1015</v>
      </c>
      <c r="D191" s="15" t="s">
        <v>38</v>
      </c>
      <c r="E191" s="16" t="s">
        <v>840</v>
      </c>
      <c r="F191" s="14">
        <v>655453</v>
      </c>
      <c r="G191" s="16">
        <v>1</v>
      </c>
      <c r="H191" s="18">
        <v>45824</v>
      </c>
      <c r="I191" t="s">
        <v>1115</v>
      </c>
      <c r="J191" s="18">
        <v>45632</v>
      </c>
      <c r="K191" s="18">
        <v>46726</v>
      </c>
      <c r="L191" s="19" t="s">
        <v>42</v>
      </c>
      <c r="M191" s="19" t="s">
        <v>544</v>
      </c>
      <c r="N191" s="13" t="s">
        <v>117</v>
      </c>
      <c r="O191" s="13" t="s">
        <v>698</v>
      </c>
      <c r="P191" s="13" t="s">
        <v>699</v>
      </c>
      <c r="Q191" s="16">
        <v>1030242</v>
      </c>
      <c r="R191" s="28" t="s">
        <v>1116</v>
      </c>
      <c r="S191" s="28" t="s">
        <v>1116</v>
      </c>
      <c r="T191" t="s">
        <v>1117</v>
      </c>
      <c r="U191" s="20" t="s">
        <v>1019</v>
      </c>
      <c r="V191" s="20" t="s">
        <v>1020</v>
      </c>
      <c r="W191" s="13"/>
      <c r="X191" s="20" t="s">
        <v>1118</v>
      </c>
      <c r="Y191" t="s">
        <v>1022</v>
      </c>
      <c r="Z191" s="13"/>
      <c r="AA191" s="13"/>
      <c r="AB191" s="16" t="str">
        <f t="shared" si="2"/>
        <v>Completed</v>
      </c>
      <c r="AC191" s="18">
        <v>45988</v>
      </c>
      <c r="AD191" s="18">
        <v>46000</v>
      </c>
      <c r="AE191" s="18">
        <v>46000</v>
      </c>
      <c r="AF191" s="15"/>
      <c r="AG191" s="18">
        <v>46001</v>
      </c>
      <c r="AH191" s="15"/>
      <c r="AI191" s="18">
        <v>46002</v>
      </c>
      <c r="AJ191" s="21"/>
      <c r="AK191" s="22"/>
      <c r="AL191" s="22"/>
    </row>
    <row r="192" spans="1:38" ht="18" customHeight="1">
      <c r="A192" s="13" t="s">
        <v>693</v>
      </c>
      <c r="B192" s="13" t="s">
        <v>1119</v>
      </c>
      <c r="C192" s="14" t="s">
        <v>1015</v>
      </c>
      <c r="D192" s="15" t="s">
        <v>1120</v>
      </c>
      <c r="E192" s="16" t="s">
        <v>840</v>
      </c>
      <c r="F192" s="14">
        <v>651912</v>
      </c>
      <c r="G192" s="16">
        <v>1</v>
      </c>
      <c r="H192" s="18">
        <v>45851</v>
      </c>
      <c r="I192" t="s">
        <v>1121</v>
      </c>
      <c r="J192" s="18">
        <v>45488</v>
      </c>
      <c r="K192" s="18">
        <v>46217</v>
      </c>
      <c r="L192" s="19" t="s">
        <v>95</v>
      </c>
      <c r="M192" s="19" t="s">
        <v>134</v>
      </c>
      <c r="N192" s="13" t="s">
        <v>117</v>
      </c>
      <c r="O192" s="13" t="s">
        <v>698</v>
      </c>
      <c r="P192" s="13" t="s">
        <v>699</v>
      </c>
      <c r="Q192" s="16">
        <v>1030242</v>
      </c>
      <c r="R192" s="28" t="s">
        <v>1122</v>
      </c>
      <c r="S192" s="28" t="s">
        <v>1122</v>
      </c>
      <c r="T192" t="s">
        <v>1123</v>
      </c>
      <c r="U192" s="20" t="s">
        <v>981</v>
      </c>
      <c r="V192" s="20" t="s">
        <v>923</v>
      </c>
      <c r="W192" s="13"/>
      <c r="X192" s="20" t="s">
        <v>1124</v>
      </c>
      <c r="Y192" s="13"/>
      <c r="Z192" s="13"/>
      <c r="AA192" s="13" t="s">
        <v>969</v>
      </c>
      <c r="AB192" s="16" t="str">
        <f t="shared" si="2"/>
        <v>Completed</v>
      </c>
      <c r="AC192" s="18">
        <v>45988</v>
      </c>
      <c r="AD192" s="18">
        <v>46000</v>
      </c>
      <c r="AE192" s="18">
        <v>46000</v>
      </c>
      <c r="AF192" s="15"/>
      <c r="AG192" s="18">
        <v>46001</v>
      </c>
      <c r="AH192" s="15" t="s">
        <v>37</v>
      </c>
      <c r="AI192" s="18">
        <v>46006</v>
      </c>
      <c r="AJ192" s="21"/>
      <c r="AK192" s="22"/>
      <c r="AL192" s="22"/>
    </row>
    <row r="193" spans="1:38" ht="18" customHeight="1">
      <c r="A193" s="13" t="s">
        <v>693</v>
      </c>
      <c r="B193" s="13" t="s">
        <v>1125</v>
      </c>
      <c r="C193" s="14" t="s">
        <v>1015</v>
      </c>
      <c r="D193" s="14">
        <v>227100</v>
      </c>
      <c r="E193" s="14" t="s">
        <v>840</v>
      </c>
      <c r="F193" s="15" t="s">
        <v>38</v>
      </c>
      <c r="G193" s="16">
        <v>0</v>
      </c>
      <c r="H193" s="18">
        <v>45853</v>
      </c>
      <c r="I193" t="s">
        <v>488</v>
      </c>
      <c r="J193" s="18">
        <v>45853</v>
      </c>
      <c r="K193" s="18">
        <v>46948</v>
      </c>
      <c r="L193" s="19" t="s">
        <v>95</v>
      </c>
      <c r="M193" s="19" t="s">
        <v>134</v>
      </c>
      <c r="N193" s="13" t="s">
        <v>94</v>
      </c>
      <c r="O193" s="13" t="s">
        <v>698</v>
      </c>
      <c r="P193" s="13" t="s">
        <v>699</v>
      </c>
      <c r="Q193" s="16">
        <v>1030242</v>
      </c>
      <c r="R193" s="28" t="s">
        <v>1126</v>
      </c>
      <c r="S193" s="28" t="s">
        <v>1126</v>
      </c>
      <c r="T193" s="13" t="s">
        <v>1127</v>
      </c>
      <c r="U193" s="20" t="s">
        <v>1128</v>
      </c>
      <c r="V193" s="20" t="s">
        <v>923</v>
      </c>
      <c r="W193" s="13"/>
      <c r="X193" s="20" t="s">
        <v>1129</v>
      </c>
      <c r="Y193" s="20" t="s">
        <v>1130</v>
      </c>
      <c r="Z193" s="13"/>
      <c r="AA193" s="13"/>
      <c r="AB193" s="16" t="str">
        <f t="shared" si="2"/>
        <v>Completed</v>
      </c>
      <c r="AC193" s="18">
        <v>45988</v>
      </c>
      <c r="AD193" s="18">
        <v>46000</v>
      </c>
      <c r="AE193" s="18">
        <v>46000</v>
      </c>
      <c r="AF193" s="15"/>
      <c r="AG193" s="18">
        <v>46001</v>
      </c>
      <c r="AH193" s="15" t="s">
        <v>37</v>
      </c>
      <c r="AI193" s="18">
        <v>46006</v>
      </c>
      <c r="AJ193" s="21"/>
      <c r="AK193" s="22"/>
      <c r="AL193" s="22"/>
    </row>
    <row r="194" spans="1:38" ht="18" customHeight="1">
      <c r="A194" s="13" t="s">
        <v>693</v>
      </c>
      <c r="B194" s="13" t="s">
        <v>1131</v>
      </c>
      <c r="C194" s="14" t="s">
        <v>1015</v>
      </c>
      <c r="D194" s="14">
        <v>227370</v>
      </c>
      <c r="E194" s="16" t="s">
        <v>696</v>
      </c>
      <c r="F194" s="14">
        <v>606128</v>
      </c>
      <c r="G194" s="16">
        <v>15</v>
      </c>
      <c r="H194" s="18">
        <v>45868</v>
      </c>
      <c r="I194" t="s">
        <v>756</v>
      </c>
      <c r="J194" s="18">
        <v>44136</v>
      </c>
      <c r="K194" s="18">
        <v>46691</v>
      </c>
      <c r="L194" s="19" t="s">
        <v>95</v>
      </c>
      <c r="M194" s="19" t="s">
        <v>718</v>
      </c>
      <c r="N194" s="13" t="s">
        <v>117</v>
      </c>
      <c r="O194" s="13" t="s">
        <v>698</v>
      </c>
      <c r="P194" s="13" t="s">
        <v>699</v>
      </c>
      <c r="Q194" s="16">
        <v>1030242</v>
      </c>
      <c r="R194" s="28" t="s">
        <v>1132</v>
      </c>
      <c r="S194" s="28" t="s">
        <v>1132</v>
      </c>
      <c r="T194" t="s">
        <v>1133</v>
      </c>
      <c r="U194" s="20" t="s">
        <v>1134</v>
      </c>
      <c r="V194" s="20" t="s">
        <v>671</v>
      </c>
      <c r="W194" s="20" t="s">
        <v>1135</v>
      </c>
      <c r="X194" s="20" t="s">
        <v>1136</v>
      </c>
      <c r="Y194" s="13" t="s">
        <v>722</v>
      </c>
      <c r="Z194" s="13"/>
      <c r="AA194" s="13"/>
      <c r="AB194" s="16" t="str">
        <f t="shared" ref="AB194:AB257" si="3">IF(NOT(ISBLANK(AD194)),IF(NOT(ISBLANK(AE194)),IF(NOT(ISBLANK(AG194)),IF(NOT(ISBLANK(AI194)),"Completed","For Final Review"),"For Peer Check"),"In Progress"),"Not Started")</f>
        <v>Completed</v>
      </c>
      <c r="AC194" s="18">
        <v>45988</v>
      </c>
      <c r="AD194" s="18">
        <v>46000</v>
      </c>
      <c r="AE194" s="18">
        <v>46000</v>
      </c>
      <c r="AF194" s="15"/>
      <c r="AG194" s="18">
        <v>46001</v>
      </c>
      <c r="AH194" s="15" t="s">
        <v>37</v>
      </c>
      <c r="AI194" s="18">
        <v>46006</v>
      </c>
      <c r="AJ194" s="21"/>
      <c r="AK194" s="22"/>
      <c r="AL194" s="22"/>
    </row>
    <row r="195" spans="1:38" ht="18" customHeight="1">
      <c r="A195" s="13" t="s">
        <v>693</v>
      </c>
      <c r="B195" s="13" t="s">
        <v>1137</v>
      </c>
      <c r="C195" s="14" t="s">
        <v>1015</v>
      </c>
      <c r="D195" s="14">
        <v>229071</v>
      </c>
      <c r="E195" s="16" t="s">
        <v>840</v>
      </c>
      <c r="F195" s="14">
        <v>640834</v>
      </c>
      <c r="G195" s="16">
        <v>2</v>
      </c>
      <c r="H195" s="18">
        <v>45889</v>
      </c>
      <c r="I195" s="20" t="s">
        <v>943</v>
      </c>
      <c r="J195" s="18">
        <v>45158</v>
      </c>
      <c r="K195" s="18">
        <v>46418</v>
      </c>
      <c r="L195" s="19" t="s">
        <v>95</v>
      </c>
      <c r="M195" s="19" t="s">
        <v>157</v>
      </c>
      <c r="N195" s="13" t="s">
        <v>117</v>
      </c>
      <c r="O195" s="13" t="s">
        <v>698</v>
      </c>
      <c r="P195" s="13" t="s">
        <v>699</v>
      </c>
      <c r="Q195" s="16">
        <v>1030242</v>
      </c>
      <c r="R195" s="56" t="s">
        <v>1068</v>
      </c>
      <c r="S195" s="56" t="s">
        <v>1068</v>
      </c>
      <c r="T195" t="s">
        <v>1138</v>
      </c>
      <c r="U195" s="20" t="s">
        <v>886</v>
      </c>
      <c r="V195" s="20" t="s">
        <v>625</v>
      </c>
      <c r="W195" s="13"/>
      <c r="X195" s="20" t="s">
        <v>1139</v>
      </c>
      <c r="Y195" s="13"/>
      <c r="Z195" s="13"/>
      <c r="AA195" s="13"/>
      <c r="AB195" s="16" t="str">
        <f t="shared" si="3"/>
        <v>Completed</v>
      </c>
      <c r="AC195" s="18">
        <v>45988</v>
      </c>
      <c r="AD195" s="18">
        <v>46000</v>
      </c>
      <c r="AE195" s="18">
        <v>46000</v>
      </c>
      <c r="AF195" s="15"/>
      <c r="AG195" s="18">
        <v>46001</v>
      </c>
      <c r="AH195" s="15" t="s">
        <v>37</v>
      </c>
      <c r="AI195" s="18">
        <v>46006</v>
      </c>
      <c r="AJ195" s="21"/>
      <c r="AK195" s="22"/>
      <c r="AL195" s="22"/>
    </row>
    <row r="196" spans="1:38" ht="18" customHeight="1">
      <c r="A196" s="13" t="s">
        <v>693</v>
      </c>
      <c r="B196" s="13" t="s">
        <v>1140</v>
      </c>
      <c r="C196" s="14" t="s">
        <v>1015</v>
      </c>
      <c r="D196" s="14">
        <v>222858</v>
      </c>
      <c r="E196" s="16" t="s">
        <v>696</v>
      </c>
      <c r="F196" s="14">
        <v>602716</v>
      </c>
      <c r="G196" s="16">
        <v>7</v>
      </c>
      <c r="H196" s="18">
        <v>45879</v>
      </c>
      <c r="I196" s="13" t="s">
        <v>551</v>
      </c>
      <c r="J196" s="18">
        <v>44053</v>
      </c>
      <c r="K196" s="18">
        <v>46608</v>
      </c>
      <c r="L196" s="19" t="s">
        <v>95</v>
      </c>
      <c r="M196" s="19" t="s">
        <v>96</v>
      </c>
      <c r="N196" s="13" t="s">
        <v>117</v>
      </c>
      <c r="O196" s="13" t="s">
        <v>698</v>
      </c>
      <c r="P196" s="13" t="s">
        <v>699</v>
      </c>
      <c r="Q196" s="16">
        <v>1030242</v>
      </c>
      <c r="R196" s="28" t="s">
        <v>1141</v>
      </c>
      <c r="S196" s="28" t="s">
        <v>1141</v>
      </c>
      <c r="T196" t="s">
        <v>1142</v>
      </c>
      <c r="U196" s="20" t="s">
        <v>843</v>
      </c>
      <c r="V196" s="20" t="s">
        <v>532</v>
      </c>
      <c r="W196" s="13"/>
      <c r="X196" s="20" t="s">
        <v>1143</v>
      </c>
      <c r="Y196" t="s">
        <v>1144</v>
      </c>
      <c r="Z196" s="13"/>
      <c r="AA196" s="13"/>
      <c r="AB196" s="16" t="str">
        <f t="shared" si="3"/>
        <v>Completed</v>
      </c>
      <c r="AC196" s="18">
        <v>45988</v>
      </c>
      <c r="AD196" s="18">
        <v>46000</v>
      </c>
      <c r="AE196" s="18">
        <v>46000</v>
      </c>
      <c r="AF196" s="15"/>
      <c r="AG196" s="18">
        <v>46001</v>
      </c>
      <c r="AH196" s="15" t="s">
        <v>37</v>
      </c>
      <c r="AI196" s="18">
        <v>46006</v>
      </c>
      <c r="AJ196" s="21"/>
      <c r="AK196" s="22"/>
      <c r="AL196" s="22"/>
    </row>
    <row r="197" spans="1:38" ht="18" customHeight="1">
      <c r="A197" s="13" t="s">
        <v>693</v>
      </c>
      <c r="B197" s="13" t="s">
        <v>1145</v>
      </c>
      <c r="C197" s="14" t="s">
        <v>1015</v>
      </c>
      <c r="D197" s="14">
        <v>224438</v>
      </c>
      <c r="E197" s="14" t="s">
        <v>840</v>
      </c>
      <c r="F197" s="14">
        <v>664946</v>
      </c>
      <c r="G197" s="16">
        <v>0</v>
      </c>
      <c r="H197" s="18">
        <v>45922</v>
      </c>
      <c r="I197" s="13" t="s">
        <v>711</v>
      </c>
      <c r="J197" s="18">
        <v>45922</v>
      </c>
      <c r="K197" s="18">
        <v>47017</v>
      </c>
      <c r="L197" s="19" t="s">
        <v>95</v>
      </c>
      <c r="M197" s="19" t="s">
        <v>96</v>
      </c>
      <c r="N197" s="13" t="s">
        <v>94</v>
      </c>
      <c r="O197" s="13" t="s">
        <v>698</v>
      </c>
      <c r="P197" s="13" t="s">
        <v>699</v>
      </c>
      <c r="Q197" s="16">
        <v>1030242</v>
      </c>
      <c r="R197" s="28" t="s">
        <v>1146</v>
      </c>
      <c r="S197" s="28" t="s">
        <v>1146</v>
      </c>
      <c r="T197" t="s">
        <v>1147</v>
      </c>
      <c r="U197" s="20" t="s">
        <v>1148</v>
      </c>
      <c r="V197" s="20" t="s">
        <v>923</v>
      </c>
      <c r="W197" s="13"/>
      <c r="X197" s="20" t="s">
        <v>1149</v>
      </c>
      <c r="Y197" t="s">
        <v>1079</v>
      </c>
      <c r="Z197" s="13"/>
      <c r="AA197" s="13"/>
      <c r="AB197" s="16" t="str">
        <f t="shared" si="3"/>
        <v>Completed</v>
      </c>
      <c r="AC197" s="18">
        <v>45988</v>
      </c>
      <c r="AD197" s="18">
        <v>46000</v>
      </c>
      <c r="AE197" s="18">
        <v>46000</v>
      </c>
      <c r="AF197" s="15"/>
      <c r="AG197" s="18">
        <v>46001</v>
      </c>
      <c r="AH197" s="15" t="s">
        <v>37</v>
      </c>
      <c r="AI197" s="18">
        <v>46006</v>
      </c>
      <c r="AJ197" s="21"/>
      <c r="AK197" s="22"/>
      <c r="AL197" s="22"/>
    </row>
    <row r="198" spans="1:38" ht="18" customHeight="1">
      <c r="A198" s="13" t="s">
        <v>693</v>
      </c>
      <c r="B198" s="13" t="s">
        <v>1150</v>
      </c>
      <c r="C198" s="14" t="s">
        <v>1015</v>
      </c>
      <c r="D198" s="14">
        <v>235235</v>
      </c>
      <c r="E198" s="16" t="s">
        <v>696</v>
      </c>
      <c r="F198" s="17">
        <v>606128</v>
      </c>
      <c r="G198" s="16">
        <v>16</v>
      </c>
      <c r="H198" s="18">
        <v>45931</v>
      </c>
      <c r="I198" t="s">
        <v>1151</v>
      </c>
      <c r="J198" s="18">
        <v>44136</v>
      </c>
      <c r="K198" s="18">
        <v>46691</v>
      </c>
      <c r="L198" s="19" t="s">
        <v>95</v>
      </c>
      <c r="M198" s="19" t="s">
        <v>718</v>
      </c>
      <c r="N198" s="13" t="s">
        <v>117</v>
      </c>
      <c r="O198" s="13" t="s">
        <v>698</v>
      </c>
      <c r="P198" s="13" t="s">
        <v>699</v>
      </c>
      <c r="Q198" s="16">
        <v>1030242</v>
      </c>
      <c r="R198" s="28" t="s">
        <v>1152</v>
      </c>
      <c r="S198" s="28" t="s">
        <v>1152</v>
      </c>
      <c r="T198" t="s">
        <v>1153</v>
      </c>
      <c r="U198" s="20" t="s">
        <v>1154</v>
      </c>
      <c r="V198" s="20" t="s">
        <v>299</v>
      </c>
      <c r="W198" s="13"/>
      <c r="X198" s="20" t="s">
        <v>1155</v>
      </c>
      <c r="Y198" t="s">
        <v>1156</v>
      </c>
      <c r="Z198" s="13"/>
      <c r="AA198" s="13"/>
      <c r="AB198" s="16" t="str">
        <f t="shared" si="3"/>
        <v>Completed</v>
      </c>
      <c r="AC198" s="18">
        <v>45988</v>
      </c>
      <c r="AD198" s="18">
        <v>46000</v>
      </c>
      <c r="AE198" s="18">
        <v>46000</v>
      </c>
      <c r="AF198" s="15"/>
      <c r="AG198" s="18">
        <v>46001</v>
      </c>
      <c r="AH198" s="15" t="s">
        <v>37</v>
      </c>
      <c r="AI198" s="18">
        <v>46006</v>
      </c>
      <c r="AJ198" s="21"/>
      <c r="AK198" s="22"/>
      <c r="AL198" s="22"/>
    </row>
    <row r="199" spans="1:38" ht="18" customHeight="1">
      <c r="A199" s="13" t="s">
        <v>693</v>
      </c>
      <c r="B199" s="13" t="s">
        <v>1157</v>
      </c>
      <c r="C199" s="14" t="s">
        <v>1015</v>
      </c>
      <c r="D199" s="14">
        <v>236759</v>
      </c>
      <c r="E199" s="14" t="s">
        <v>840</v>
      </c>
      <c r="F199" s="14">
        <v>664946</v>
      </c>
      <c r="G199" s="16">
        <v>1</v>
      </c>
      <c r="H199" s="18">
        <v>45951</v>
      </c>
      <c r="I199" s="20" t="s">
        <v>551</v>
      </c>
      <c r="J199" s="18">
        <v>45922</v>
      </c>
      <c r="K199" s="18">
        <v>47017</v>
      </c>
      <c r="L199" s="19" t="s">
        <v>95</v>
      </c>
      <c r="M199" s="19" t="s">
        <v>96</v>
      </c>
      <c r="N199" s="13" t="s">
        <v>117</v>
      </c>
      <c r="O199" s="13" t="s">
        <v>698</v>
      </c>
      <c r="P199" s="13" t="s">
        <v>699</v>
      </c>
      <c r="Q199" s="16">
        <v>1030242</v>
      </c>
      <c r="R199" s="28" t="s">
        <v>1146</v>
      </c>
      <c r="S199" s="28" t="s">
        <v>1146</v>
      </c>
      <c r="T199" t="s">
        <v>1158</v>
      </c>
      <c r="U199" s="20" t="s">
        <v>1148</v>
      </c>
      <c r="V199" s="20" t="s">
        <v>923</v>
      </c>
      <c r="W199" s="13"/>
      <c r="X199" s="20" t="s">
        <v>1149</v>
      </c>
      <c r="Y199" t="s">
        <v>1159</v>
      </c>
      <c r="Z199" s="13"/>
      <c r="AA199" s="13"/>
      <c r="AB199" s="16" t="str">
        <f t="shared" si="3"/>
        <v>Completed</v>
      </c>
      <c r="AC199" s="18">
        <v>45988</v>
      </c>
      <c r="AD199" s="18">
        <v>46000</v>
      </c>
      <c r="AE199" s="18">
        <v>46001</v>
      </c>
      <c r="AF199" s="15"/>
      <c r="AG199" s="18">
        <v>46001</v>
      </c>
      <c r="AH199" s="15" t="s">
        <v>37</v>
      </c>
      <c r="AI199" s="18">
        <v>46006</v>
      </c>
      <c r="AJ199" s="21"/>
      <c r="AK199" s="22"/>
      <c r="AL199" s="22"/>
    </row>
    <row r="200" spans="1:38" ht="18" customHeight="1">
      <c r="A200" s="13" t="s">
        <v>693</v>
      </c>
      <c r="B200" s="13" t="s">
        <v>1160</v>
      </c>
      <c r="C200" s="14" t="s">
        <v>1015</v>
      </c>
      <c r="D200" s="15">
        <v>151521</v>
      </c>
      <c r="E200" s="16"/>
      <c r="F200" s="57">
        <v>634630</v>
      </c>
      <c r="G200" s="16">
        <v>0</v>
      </c>
      <c r="H200" s="18">
        <v>44972</v>
      </c>
      <c r="I200" s="13" t="s">
        <v>289</v>
      </c>
      <c r="J200" s="18">
        <v>44972</v>
      </c>
      <c r="K200" s="18">
        <v>45336</v>
      </c>
      <c r="L200" s="19" t="s">
        <v>95</v>
      </c>
      <c r="M200" s="19" t="s">
        <v>369</v>
      </c>
      <c r="N200" s="13" t="s">
        <v>289</v>
      </c>
      <c r="O200" s="13" t="s">
        <v>698</v>
      </c>
      <c r="P200" s="13" t="s">
        <v>699</v>
      </c>
      <c r="Q200" s="16">
        <v>1030242</v>
      </c>
      <c r="R200" s="16">
        <v>1030242</v>
      </c>
      <c r="S200" s="16"/>
      <c r="T200" s="32" t="s">
        <v>1161</v>
      </c>
      <c r="U200" s="26" t="s">
        <v>1162</v>
      </c>
      <c r="V200" s="20" t="s">
        <v>1163</v>
      </c>
      <c r="W200" s="13"/>
      <c r="X200" s="20" t="s">
        <v>1164</v>
      </c>
      <c r="Y200" s="20" t="s">
        <v>1165</v>
      </c>
      <c r="Z200" s="13"/>
      <c r="AA200" s="13"/>
      <c r="AB200" s="16" t="str">
        <f t="shared" si="3"/>
        <v>Completed</v>
      </c>
      <c r="AC200" s="18">
        <v>45988</v>
      </c>
      <c r="AD200" s="18">
        <v>45988</v>
      </c>
      <c r="AE200" s="18">
        <v>45992</v>
      </c>
      <c r="AF200" s="15"/>
      <c r="AG200" s="18">
        <v>45993</v>
      </c>
      <c r="AH200" s="15"/>
      <c r="AI200" s="18">
        <v>45993</v>
      </c>
      <c r="AJ200" s="21"/>
      <c r="AK200" s="22"/>
      <c r="AL200" s="22"/>
    </row>
    <row r="201" spans="1:38" ht="18" customHeight="1">
      <c r="A201" s="13" t="s">
        <v>693</v>
      </c>
      <c r="B201" s="13" t="s">
        <v>1166</v>
      </c>
      <c r="C201" s="14" t="s">
        <v>1015</v>
      </c>
      <c r="D201" s="15">
        <v>168052</v>
      </c>
      <c r="E201" s="16"/>
      <c r="F201" s="57">
        <v>634630</v>
      </c>
      <c r="G201" s="16">
        <v>1</v>
      </c>
      <c r="H201" s="18">
        <v>45166</v>
      </c>
      <c r="I201" s="13" t="s">
        <v>1167</v>
      </c>
      <c r="J201" s="18">
        <v>44972</v>
      </c>
      <c r="K201" s="29">
        <v>45336</v>
      </c>
      <c r="L201" s="19" t="s">
        <v>95</v>
      </c>
      <c r="M201" s="19" t="s">
        <v>369</v>
      </c>
      <c r="N201" s="13" t="s">
        <v>1168</v>
      </c>
      <c r="O201" s="13" t="s">
        <v>698</v>
      </c>
      <c r="P201" s="13" t="s">
        <v>699</v>
      </c>
      <c r="Q201" s="16">
        <v>1030242</v>
      </c>
      <c r="R201" s="16">
        <v>1030242</v>
      </c>
      <c r="S201" s="16"/>
      <c r="T201" s="32" t="s">
        <v>1169</v>
      </c>
      <c r="U201" s="26" t="s">
        <v>1170</v>
      </c>
      <c r="V201" s="20" t="s">
        <v>1163</v>
      </c>
      <c r="W201" s="13"/>
      <c r="X201" s="20" t="s">
        <v>1164</v>
      </c>
      <c r="Y201" s="20" t="s">
        <v>1165</v>
      </c>
      <c r="Z201" s="13"/>
      <c r="AA201" s="13"/>
      <c r="AB201" s="16" t="str">
        <f t="shared" si="3"/>
        <v>Completed</v>
      </c>
      <c r="AC201" s="18">
        <v>45988</v>
      </c>
      <c r="AD201" s="18">
        <v>45988</v>
      </c>
      <c r="AE201" s="18">
        <v>45992</v>
      </c>
      <c r="AF201" s="15"/>
      <c r="AG201" s="18">
        <v>45993</v>
      </c>
      <c r="AH201" s="15"/>
      <c r="AI201" s="18">
        <v>45993</v>
      </c>
      <c r="AJ201" s="21"/>
      <c r="AK201" s="22"/>
      <c r="AL201" s="22"/>
    </row>
    <row r="202" spans="1:38" ht="18" customHeight="1">
      <c r="A202" s="13" t="s">
        <v>693</v>
      </c>
      <c r="B202" s="13" t="s">
        <v>1171</v>
      </c>
      <c r="C202" s="14" t="s">
        <v>1015</v>
      </c>
      <c r="D202" s="15">
        <v>179911</v>
      </c>
      <c r="E202" s="16"/>
      <c r="F202" s="57">
        <v>634630</v>
      </c>
      <c r="G202" s="16">
        <v>2</v>
      </c>
      <c r="H202" s="18">
        <v>45336</v>
      </c>
      <c r="I202" s="13" t="s">
        <v>1172</v>
      </c>
      <c r="J202" s="18">
        <v>44972</v>
      </c>
      <c r="K202" s="18">
        <v>45702</v>
      </c>
      <c r="L202" s="19" t="s">
        <v>95</v>
      </c>
      <c r="M202" s="19" t="s">
        <v>369</v>
      </c>
      <c r="N202" s="13" t="s">
        <v>1173</v>
      </c>
      <c r="O202" s="13" t="s">
        <v>698</v>
      </c>
      <c r="P202" s="13" t="s">
        <v>699</v>
      </c>
      <c r="Q202" s="16">
        <v>1030242</v>
      </c>
      <c r="R202" s="16">
        <v>1030242</v>
      </c>
      <c r="S202" s="16"/>
      <c r="T202" s="32" t="s">
        <v>1174</v>
      </c>
      <c r="U202" s="26" t="s">
        <v>1170</v>
      </c>
      <c r="V202" s="20" t="s">
        <v>1163</v>
      </c>
      <c r="W202" s="13"/>
      <c r="X202" s="20" t="s">
        <v>1164</v>
      </c>
      <c r="Y202" s="20" t="s">
        <v>1165</v>
      </c>
      <c r="Z202" s="13"/>
      <c r="AA202" s="13"/>
      <c r="AB202" s="16" t="str">
        <f t="shared" si="3"/>
        <v>Completed</v>
      </c>
      <c r="AC202" s="18">
        <v>45988</v>
      </c>
      <c r="AD202" s="18">
        <v>45988</v>
      </c>
      <c r="AE202" s="18">
        <v>45992</v>
      </c>
      <c r="AF202" s="15"/>
      <c r="AG202" s="18">
        <v>45993</v>
      </c>
      <c r="AH202" s="15"/>
      <c r="AI202" s="18">
        <v>45993</v>
      </c>
      <c r="AJ202" s="21"/>
      <c r="AK202" s="22"/>
      <c r="AL202" s="22"/>
    </row>
    <row r="203" spans="1:38" ht="18" customHeight="1">
      <c r="A203" s="13" t="s">
        <v>693</v>
      </c>
      <c r="B203" s="13" t="s">
        <v>1175</v>
      </c>
      <c r="C203" s="14" t="s">
        <v>1015</v>
      </c>
      <c r="D203" s="15">
        <v>189993</v>
      </c>
      <c r="E203" s="16"/>
      <c r="F203" s="57">
        <v>634630</v>
      </c>
      <c r="G203" s="16">
        <v>3</v>
      </c>
      <c r="H203" s="18">
        <v>45422</v>
      </c>
      <c r="I203" s="13" t="s">
        <v>1167</v>
      </c>
      <c r="J203" s="18">
        <v>44972</v>
      </c>
      <c r="K203" s="18">
        <v>45702</v>
      </c>
      <c r="L203" s="19" t="s">
        <v>95</v>
      </c>
      <c r="M203" s="19" t="s">
        <v>369</v>
      </c>
      <c r="N203" s="13" t="s">
        <v>1168</v>
      </c>
      <c r="O203" s="13" t="s">
        <v>698</v>
      </c>
      <c r="P203" s="13" t="s">
        <v>699</v>
      </c>
      <c r="Q203" s="16">
        <v>1030242</v>
      </c>
      <c r="R203" s="16">
        <v>1030242</v>
      </c>
      <c r="S203" s="16"/>
      <c r="T203" s="32" t="s">
        <v>1176</v>
      </c>
      <c r="U203" s="26" t="s">
        <v>1177</v>
      </c>
      <c r="V203" s="20" t="s">
        <v>1163</v>
      </c>
      <c r="W203" s="13"/>
      <c r="X203" s="20" t="s">
        <v>1164</v>
      </c>
      <c r="Y203" s="20" t="s">
        <v>1165</v>
      </c>
      <c r="Z203" s="13"/>
      <c r="AA203" s="13"/>
      <c r="AB203" s="16" t="str">
        <f t="shared" si="3"/>
        <v>Completed</v>
      </c>
      <c r="AC203" s="18">
        <v>45988</v>
      </c>
      <c r="AD203" s="18">
        <v>45988</v>
      </c>
      <c r="AE203" s="18">
        <v>45992</v>
      </c>
      <c r="AF203" s="15"/>
      <c r="AG203" s="18">
        <v>45993</v>
      </c>
      <c r="AH203" s="15"/>
      <c r="AI203" s="18">
        <v>45993</v>
      </c>
      <c r="AJ203" s="21"/>
      <c r="AK203" s="22"/>
      <c r="AL203" s="22"/>
    </row>
    <row r="204" spans="1:38" ht="18" customHeight="1">
      <c r="A204" s="13" t="s">
        <v>693</v>
      </c>
      <c r="B204" s="13" t="s">
        <v>1178</v>
      </c>
      <c r="C204" s="14" t="s">
        <v>1015</v>
      </c>
      <c r="D204" s="15">
        <v>192015</v>
      </c>
      <c r="E204" s="16"/>
      <c r="F204" s="17">
        <v>634630</v>
      </c>
      <c r="G204" s="16">
        <v>4</v>
      </c>
      <c r="H204" s="18">
        <v>45440</v>
      </c>
      <c r="I204" s="13" t="s">
        <v>630</v>
      </c>
      <c r="J204" s="18">
        <v>44972</v>
      </c>
      <c r="K204" s="18">
        <v>45702</v>
      </c>
      <c r="L204" s="19" t="s">
        <v>95</v>
      </c>
      <c r="M204" s="19" t="s">
        <v>369</v>
      </c>
      <c r="N204" s="13" t="s">
        <v>1168</v>
      </c>
      <c r="O204" s="13" t="s">
        <v>698</v>
      </c>
      <c r="P204" s="13" t="s">
        <v>699</v>
      </c>
      <c r="Q204" s="16">
        <v>1030242</v>
      </c>
      <c r="R204" s="16">
        <v>1030242</v>
      </c>
      <c r="S204" s="16"/>
      <c r="T204" s="32" t="s">
        <v>1179</v>
      </c>
      <c r="U204" s="26" t="s">
        <v>1180</v>
      </c>
      <c r="V204" s="20" t="s">
        <v>1163</v>
      </c>
      <c r="W204" s="13"/>
      <c r="X204" s="20" t="s">
        <v>1164</v>
      </c>
      <c r="Y204" s="20" t="s">
        <v>1165</v>
      </c>
      <c r="Z204" s="13"/>
      <c r="AA204" s="13"/>
      <c r="AB204" s="16" t="str">
        <f t="shared" si="3"/>
        <v>Completed</v>
      </c>
      <c r="AC204" s="18">
        <v>45988</v>
      </c>
      <c r="AD204" s="18">
        <v>45992</v>
      </c>
      <c r="AE204" s="18">
        <v>45992</v>
      </c>
      <c r="AF204" s="15"/>
      <c r="AG204" s="18">
        <v>45993</v>
      </c>
      <c r="AH204" s="15"/>
      <c r="AI204" s="18">
        <v>45993</v>
      </c>
      <c r="AJ204" s="21"/>
      <c r="AK204" s="22"/>
      <c r="AL204" s="22"/>
    </row>
    <row r="205" spans="1:38" ht="18" customHeight="1">
      <c r="A205" s="13" t="s">
        <v>693</v>
      </c>
      <c r="B205" s="13" t="s">
        <v>1181</v>
      </c>
      <c r="C205" s="14" t="s">
        <v>1015</v>
      </c>
      <c r="D205" s="15">
        <v>192300</v>
      </c>
      <c r="E205" s="16"/>
      <c r="F205" s="17">
        <v>634630</v>
      </c>
      <c r="G205" s="16">
        <v>5</v>
      </c>
      <c r="H205" s="18">
        <v>45443</v>
      </c>
      <c r="I205" s="13" t="s">
        <v>630</v>
      </c>
      <c r="J205" s="18">
        <v>44972</v>
      </c>
      <c r="K205" s="18">
        <v>45702</v>
      </c>
      <c r="L205" s="19" t="s">
        <v>95</v>
      </c>
      <c r="M205" s="19" t="s">
        <v>369</v>
      </c>
      <c r="N205" s="13" t="s">
        <v>1168</v>
      </c>
      <c r="O205" s="13" t="s">
        <v>698</v>
      </c>
      <c r="P205" s="13" t="s">
        <v>699</v>
      </c>
      <c r="Q205" s="16">
        <v>1030242</v>
      </c>
      <c r="R205" s="16">
        <v>1030242</v>
      </c>
      <c r="S205" s="16"/>
      <c r="T205" s="32" t="s">
        <v>1182</v>
      </c>
      <c r="U205" s="26" t="s">
        <v>1183</v>
      </c>
      <c r="V205" s="20" t="s">
        <v>1163</v>
      </c>
      <c r="W205" s="13"/>
      <c r="X205" s="20" t="s">
        <v>1164</v>
      </c>
      <c r="Y205" s="20" t="s">
        <v>1165</v>
      </c>
      <c r="Z205" s="13"/>
      <c r="AA205" s="13"/>
      <c r="AB205" s="16" t="str">
        <f t="shared" si="3"/>
        <v>Completed</v>
      </c>
      <c r="AC205" s="18">
        <v>45988</v>
      </c>
      <c r="AD205" s="18">
        <v>45992</v>
      </c>
      <c r="AE205" s="18">
        <v>45992</v>
      </c>
      <c r="AF205" s="15"/>
      <c r="AG205" s="18">
        <v>45993</v>
      </c>
      <c r="AH205" s="15"/>
      <c r="AI205" s="18">
        <v>45993</v>
      </c>
      <c r="AJ205" s="21"/>
      <c r="AK205" s="22"/>
      <c r="AL205" s="22"/>
    </row>
    <row r="206" spans="1:38" ht="18" customHeight="1">
      <c r="A206" s="13" t="s">
        <v>693</v>
      </c>
      <c r="B206" s="13" t="s">
        <v>1184</v>
      </c>
      <c r="C206" s="14" t="s">
        <v>1015</v>
      </c>
      <c r="D206" s="15">
        <v>203317</v>
      </c>
      <c r="E206" s="16"/>
      <c r="F206" s="17">
        <v>634630</v>
      </c>
      <c r="G206" s="16">
        <v>6</v>
      </c>
      <c r="H206" s="18">
        <v>45573</v>
      </c>
      <c r="I206" s="13" t="s">
        <v>630</v>
      </c>
      <c r="J206" s="18">
        <v>44972</v>
      </c>
      <c r="K206" s="18">
        <v>45702</v>
      </c>
      <c r="L206" s="19" t="s">
        <v>95</v>
      </c>
      <c r="M206" s="19" t="s">
        <v>369</v>
      </c>
      <c r="N206" s="13" t="s">
        <v>1168</v>
      </c>
      <c r="O206" s="13" t="s">
        <v>698</v>
      </c>
      <c r="P206" s="13" t="s">
        <v>699</v>
      </c>
      <c r="Q206" s="16">
        <v>1030242</v>
      </c>
      <c r="R206" s="16">
        <v>1030242</v>
      </c>
      <c r="S206" s="16"/>
      <c r="T206" s="32" t="s">
        <v>1185</v>
      </c>
      <c r="U206" s="26" t="s">
        <v>1186</v>
      </c>
      <c r="V206" s="20" t="s">
        <v>1163</v>
      </c>
      <c r="W206" s="13"/>
      <c r="X206" s="20" t="s">
        <v>1164</v>
      </c>
      <c r="Y206" s="20" t="s">
        <v>1165</v>
      </c>
      <c r="Z206" s="13"/>
      <c r="AA206" s="13"/>
      <c r="AB206" s="16" t="str">
        <f t="shared" si="3"/>
        <v>Completed</v>
      </c>
      <c r="AC206" s="18">
        <v>45988</v>
      </c>
      <c r="AD206" s="18">
        <v>45992</v>
      </c>
      <c r="AE206" s="18">
        <v>45992</v>
      </c>
      <c r="AF206" s="15"/>
      <c r="AG206" s="18">
        <v>45993</v>
      </c>
      <c r="AH206" s="15"/>
      <c r="AI206" s="18">
        <v>45993</v>
      </c>
      <c r="AJ206" s="21"/>
      <c r="AK206" s="22"/>
      <c r="AL206" s="22"/>
    </row>
    <row r="207" spans="1:38" ht="18" customHeight="1">
      <c r="A207" s="13" t="s">
        <v>693</v>
      </c>
      <c r="B207" s="13" t="s">
        <v>1187</v>
      </c>
      <c r="C207" s="14" t="s">
        <v>1015</v>
      </c>
      <c r="D207" s="15">
        <v>213871</v>
      </c>
      <c r="E207" s="16"/>
      <c r="F207" s="17">
        <v>634630</v>
      </c>
      <c r="G207" s="16">
        <v>7</v>
      </c>
      <c r="H207" s="18">
        <v>45702</v>
      </c>
      <c r="I207" s="13" t="s">
        <v>1172</v>
      </c>
      <c r="J207" s="18">
        <v>44972</v>
      </c>
      <c r="K207" s="18">
        <v>46067</v>
      </c>
      <c r="L207" s="19" t="s">
        <v>95</v>
      </c>
      <c r="M207" s="19" t="s">
        <v>369</v>
      </c>
      <c r="N207" s="13" t="s">
        <v>1173</v>
      </c>
      <c r="O207" s="13" t="s">
        <v>698</v>
      </c>
      <c r="P207" s="13" t="s">
        <v>699</v>
      </c>
      <c r="Q207" s="16">
        <v>1030242</v>
      </c>
      <c r="R207" s="16">
        <v>1030242</v>
      </c>
      <c r="S207" s="16"/>
      <c r="T207" s="32" t="s">
        <v>1188</v>
      </c>
      <c r="U207" s="26" t="s">
        <v>1186</v>
      </c>
      <c r="V207" s="20" t="s">
        <v>1163</v>
      </c>
      <c r="W207" s="13"/>
      <c r="X207" s="20" t="s">
        <v>1164</v>
      </c>
      <c r="Y207" s="20" t="s">
        <v>1165</v>
      </c>
      <c r="Z207" s="13"/>
      <c r="AA207" s="13"/>
      <c r="AB207" s="16" t="str">
        <f t="shared" si="3"/>
        <v>Completed</v>
      </c>
      <c r="AC207" s="18">
        <v>45988</v>
      </c>
      <c r="AD207" s="18">
        <v>45992</v>
      </c>
      <c r="AE207" s="18">
        <v>45992</v>
      </c>
      <c r="AF207" s="15"/>
      <c r="AG207" s="18">
        <v>45993</v>
      </c>
      <c r="AH207" s="15"/>
      <c r="AI207" s="18">
        <v>45993</v>
      </c>
      <c r="AJ207" s="21"/>
      <c r="AK207" s="22"/>
      <c r="AL207" s="22"/>
    </row>
    <row r="208" spans="1:38" ht="18" customHeight="1">
      <c r="A208" s="13" t="s">
        <v>693</v>
      </c>
      <c r="B208" s="13" t="s">
        <v>1189</v>
      </c>
      <c r="C208" s="14" t="s">
        <v>1015</v>
      </c>
      <c r="D208" s="58">
        <v>198597</v>
      </c>
      <c r="E208" s="16" t="s">
        <v>1190</v>
      </c>
      <c r="F208" s="17">
        <v>656015</v>
      </c>
      <c r="G208" s="16">
        <v>0</v>
      </c>
      <c r="H208" s="18">
        <v>45658</v>
      </c>
      <c r="I208" s="13" t="s">
        <v>1191</v>
      </c>
      <c r="J208" s="18">
        <v>45658</v>
      </c>
      <c r="K208" s="18">
        <v>47848</v>
      </c>
      <c r="L208" s="19" t="s">
        <v>95</v>
      </c>
      <c r="M208" s="19" t="s">
        <v>409</v>
      </c>
      <c r="N208" s="13" t="s">
        <v>1192</v>
      </c>
      <c r="O208" s="13" t="s">
        <v>698</v>
      </c>
      <c r="P208" s="13" t="s">
        <v>699</v>
      </c>
      <c r="Q208" s="16">
        <v>1030242</v>
      </c>
      <c r="R208" s="16">
        <v>1030242</v>
      </c>
      <c r="S208" s="16"/>
      <c r="T208" s="32" t="s">
        <v>1193</v>
      </c>
      <c r="U208" s="26" t="s">
        <v>1194</v>
      </c>
      <c r="V208" s="20" t="s">
        <v>923</v>
      </c>
      <c r="W208" s="13"/>
      <c r="X208" s="59" t="s">
        <v>1195</v>
      </c>
      <c r="Y208" s="13"/>
      <c r="Z208" s="13"/>
      <c r="AA208" s="13"/>
      <c r="AB208" s="16" t="str">
        <f t="shared" si="3"/>
        <v>Completed</v>
      </c>
      <c r="AC208" s="18">
        <v>45988</v>
      </c>
      <c r="AD208" s="18">
        <v>45992</v>
      </c>
      <c r="AE208" s="18">
        <v>45994</v>
      </c>
      <c r="AF208" s="15"/>
      <c r="AG208" s="18">
        <v>45994</v>
      </c>
      <c r="AH208" s="15"/>
      <c r="AI208" s="18">
        <v>45994</v>
      </c>
      <c r="AJ208" s="21"/>
      <c r="AK208" s="22"/>
      <c r="AL208" s="22"/>
    </row>
    <row r="209" spans="1:38" ht="18" customHeight="1">
      <c r="A209" s="13" t="s">
        <v>693</v>
      </c>
      <c r="B209" s="13" t="s">
        <v>1196</v>
      </c>
      <c r="C209" s="14" t="s">
        <v>1015</v>
      </c>
      <c r="D209" s="15">
        <v>208759</v>
      </c>
      <c r="E209" s="16" t="s">
        <v>1190</v>
      </c>
      <c r="F209" s="17">
        <v>656015</v>
      </c>
      <c r="G209" s="16">
        <v>1</v>
      </c>
      <c r="H209" s="18">
        <v>45698</v>
      </c>
      <c r="I209" s="13" t="s">
        <v>1197</v>
      </c>
      <c r="J209" s="18">
        <v>45658</v>
      </c>
      <c r="K209" s="18">
        <v>47848</v>
      </c>
      <c r="L209" s="19" t="s">
        <v>95</v>
      </c>
      <c r="M209" s="19" t="s">
        <v>409</v>
      </c>
      <c r="N209" s="13" t="s">
        <v>1198</v>
      </c>
      <c r="O209" s="13" t="s">
        <v>698</v>
      </c>
      <c r="P209" s="13" t="s">
        <v>699</v>
      </c>
      <c r="Q209" s="16">
        <v>1030242</v>
      </c>
      <c r="R209" s="16">
        <v>1030242</v>
      </c>
      <c r="S209" s="16"/>
      <c r="T209" s="32" t="s">
        <v>1199</v>
      </c>
      <c r="U209" s="26" t="s">
        <v>1194</v>
      </c>
      <c r="V209" s="20" t="s">
        <v>923</v>
      </c>
      <c r="W209" s="13"/>
      <c r="X209" s="59" t="s">
        <v>1195</v>
      </c>
      <c r="Y209" s="13"/>
      <c r="Z209" s="13"/>
      <c r="AA209" s="13"/>
      <c r="AB209" s="16" t="str">
        <f t="shared" si="3"/>
        <v>Completed</v>
      </c>
      <c r="AC209" s="18">
        <v>45988</v>
      </c>
      <c r="AD209" s="18">
        <v>45992</v>
      </c>
      <c r="AE209" s="18">
        <v>45994</v>
      </c>
      <c r="AF209" s="15"/>
      <c r="AG209" s="18">
        <v>45994</v>
      </c>
      <c r="AH209" s="15"/>
      <c r="AI209" s="18">
        <v>45994</v>
      </c>
      <c r="AJ209" s="21"/>
      <c r="AK209" s="22"/>
      <c r="AL209" s="22"/>
    </row>
    <row r="210" spans="1:38" ht="18" customHeight="1">
      <c r="A210" s="13" t="s">
        <v>693</v>
      </c>
      <c r="B210" s="13" t="s">
        <v>1200</v>
      </c>
      <c r="C210" s="14" t="s">
        <v>1015</v>
      </c>
      <c r="D210" s="15">
        <v>214700</v>
      </c>
      <c r="E210" s="16" t="s">
        <v>1190</v>
      </c>
      <c r="F210" s="17">
        <v>656015</v>
      </c>
      <c r="G210" s="16">
        <v>2</v>
      </c>
      <c r="H210" s="18">
        <v>45748</v>
      </c>
      <c r="I210" s="13" t="s">
        <v>1197</v>
      </c>
      <c r="J210" s="18">
        <v>45658</v>
      </c>
      <c r="K210" s="18">
        <v>47848</v>
      </c>
      <c r="L210" s="19" t="s">
        <v>95</v>
      </c>
      <c r="M210" s="19" t="s">
        <v>409</v>
      </c>
      <c r="N210" s="13" t="s">
        <v>1198</v>
      </c>
      <c r="O210" s="13" t="s">
        <v>698</v>
      </c>
      <c r="P210" s="13" t="s">
        <v>699</v>
      </c>
      <c r="Q210" s="16">
        <v>1030242</v>
      </c>
      <c r="R210" s="16">
        <v>1030242</v>
      </c>
      <c r="S210" s="16"/>
      <c r="T210" s="32" t="s">
        <v>831</v>
      </c>
      <c r="U210" s="60" t="s">
        <v>1201</v>
      </c>
      <c r="V210" s="20" t="s">
        <v>923</v>
      </c>
      <c r="W210" s="13"/>
      <c r="X210" s="59" t="s">
        <v>1195</v>
      </c>
      <c r="Y210" s="13"/>
      <c r="Z210" s="13"/>
      <c r="AA210" s="13"/>
      <c r="AB210" s="16" t="str">
        <f t="shared" si="3"/>
        <v>Completed</v>
      </c>
      <c r="AC210" s="18">
        <v>45988</v>
      </c>
      <c r="AD210" s="18">
        <v>45992</v>
      </c>
      <c r="AE210" s="18">
        <v>45994</v>
      </c>
      <c r="AF210" s="15"/>
      <c r="AG210" s="18">
        <v>45994</v>
      </c>
      <c r="AH210" s="15"/>
      <c r="AI210" s="18">
        <v>45994</v>
      </c>
      <c r="AJ210" s="21"/>
      <c r="AK210" s="22"/>
      <c r="AL210" s="22"/>
    </row>
    <row r="211" spans="1:38" ht="18" customHeight="1">
      <c r="A211" s="13" t="s">
        <v>693</v>
      </c>
      <c r="B211" s="13" t="s">
        <v>1202</v>
      </c>
      <c r="C211" s="14" t="s">
        <v>1015</v>
      </c>
      <c r="D211" s="15">
        <v>219408</v>
      </c>
      <c r="E211" s="16" t="s">
        <v>1190</v>
      </c>
      <c r="F211" s="17">
        <v>656015</v>
      </c>
      <c r="G211" s="16">
        <v>3</v>
      </c>
      <c r="H211" s="18">
        <v>45782</v>
      </c>
      <c r="I211" s="13" t="s">
        <v>1197</v>
      </c>
      <c r="J211" s="18">
        <v>45658</v>
      </c>
      <c r="K211" s="18">
        <v>47848</v>
      </c>
      <c r="L211" s="19" t="s">
        <v>95</v>
      </c>
      <c r="M211" s="19" t="s">
        <v>409</v>
      </c>
      <c r="N211" s="13" t="s">
        <v>1198</v>
      </c>
      <c r="O211" s="13" t="s">
        <v>698</v>
      </c>
      <c r="P211" s="13" t="s">
        <v>699</v>
      </c>
      <c r="Q211" s="16">
        <v>1030242</v>
      </c>
      <c r="R211" s="16" t="s">
        <v>1203</v>
      </c>
      <c r="S211" s="16"/>
      <c r="T211" s="32" t="s">
        <v>1204</v>
      </c>
      <c r="U211" s="60" t="s">
        <v>1201</v>
      </c>
      <c r="V211" s="20" t="s">
        <v>923</v>
      </c>
      <c r="W211" s="13"/>
      <c r="X211" s="59" t="s">
        <v>1195</v>
      </c>
      <c r="Y211" s="13"/>
      <c r="Z211" s="13"/>
      <c r="AA211" s="13"/>
      <c r="AB211" s="16" t="str">
        <f t="shared" si="3"/>
        <v>Completed</v>
      </c>
      <c r="AC211" s="18">
        <v>45988</v>
      </c>
      <c r="AD211" s="18">
        <v>45992</v>
      </c>
      <c r="AE211" s="18">
        <v>45994</v>
      </c>
      <c r="AF211" s="15"/>
      <c r="AG211" s="18">
        <v>45994</v>
      </c>
      <c r="AH211" s="15"/>
      <c r="AI211" s="18">
        <v>45994</v>
      </c>
      <c r="AJ211" s="21"/>
      <c r="AK211" s="22"/>
      <c r="AL211" s="22"/>
    </row>
    <row r="212" spans="1:38" ht="18" customHeight="1">
      <c r="A212" s="13" t="s">
        <v>693</v>
      </c>
      <c r="B212" s="13" t="s">
        <v>1205</v>
      </c>
      <c r="C212" s="14" t="s">
        <v>1015</v>
      </c>
      <c r="D212" s="15">
        <v>226297</v>
      </c>
      <c r="E212" s="16" t="s">
        <v>1190</v>
      </c>
      <c r="F212" s="17">
        <v>656015</v>
      </c>
      <c r="G212" s="16">
        <v>4</v>
      </c>
      <c r="H212" s="18">
        <v>45863</v>
      </c>
      <c r="I212" s="13" t="s">
        <v>1197</v>
      </c>
      <c r="J212" s="18">
        <v>45658</v>
      </c>
      <c r="K212" s="18">
        <v>47848</v>
      </c>
      <c r="L212" s="19" t="s">
        <v>95</v>
      </c>
      <c r="M212" s="19" t="s">
        <v>409</v>
      </c>
      <c r="N212" s="13" t="s">
        <v>1198</v>
      </c>
      <c r="O212" s="13" t="s">
        <v>698</v>
      </c>
      <c r="P212" s="13" t="s">
        <v>699</v>
      </c>
      <c r="Q212" s="16">
        <v>1030242</v>
      </c>
      <c r="R212" s="16">
        <v>1030242</v>
      </c>
      <c r="S212" s="16"/>
      <c r="T212" s="32" t="s">
        <v>1206</v>
      </c>
      <c r="U212" s="60" t="s">
        <v>1207</v>
      </c>
      <c r="V212" s="20" t="s">
        <v>923</v>
      </c>
      <c r="W212" s="13"/>
      <c r="X212" s="59" t="s">
        <v>1195</v>
      </c>
      <c r="Y212" s="13"/>
      <c r="Z212" s="13"/>
      <c r="AA212" s="13"/>
      <c r="AB212" s="16" t="str">
        <f t="shared" si="3"/>
        <v>Completed</v>
      </c>
      <c r="AC212" s="18">
        <v>45988</v>
      </c>
      <c r="AD212" s="18">
        <v>45992</v>
      </c>
      <c r="AE212" s="18">
        <v>45994</v>
      </c>
      <c r="AF212" s="15"/>
      <c r="AG212" s="18">
        <v>45994</v>
      </c>
      <c r="AH212" s="15"/>
      <c r="AI212" s="18">
        <v>45994</v>
      </c>
      <c r="AJ212" s="21"/>
      <c r="AK212" s="22"/>
      <c r="AL212" s="22"/>
    </row>
    <row r="213" spans="1:38" ht="18" customHeight="1">
      <c r="A213" s="61" t="s">
        <v>693</v>
      </c>
      <c r="B213" s="13" t="s">
        <v>1208</v>
      </c>
      <c r="C213" s="14" t="s">
        <v>1015</v>
      </c>
      <c r="D213" s="15" t="s">
        <v>38</v>
      </c>
      <c r="E213" s="16" t="s">
        <v>38</v>
      </c>
      <c r="F213" s="17" t="s">
        <v>38</v>
      </c>
      <c r="G213" s="62">
        <v>0</v>
      </c>
      <c r="H213" s="18">
        <v>45951</v>
      </c>
      <c r="I213" s="13" t="s">
        <v>1209</v>
      </c>
      <c r="J213" s="18">
        <v>45951</v>
      </c>
      <c r="K213" s="18">
        <v>46017</v>
      </c>
      <c r="L213" s="24" t="s">
        <v>322</v>
      </c>
      <c r="M213" s="19" t="s">
        <v>1210</v>
      </c>
      <c r="N213" s="13" t="s">
        <v>1107</v>
      </c>
      <c r="O213" s="13" t="s">
        <v>698</v>
      </c>
      <c r="P213" s="13" t="s">
        <v>699</v>
      </c>
      <c r="Q213" s="16">
        <v>1030242</v>
      </c>
      <c r="R213" s="16">
        <v>1030242</v>
      </c>
      <c r="S213" s="16"/>
      <c r="T213" s="63" t="s">
        <v>1211</v>
      </c>
      <c r="U213" s="32" t="s">
        <v>1212</v>
      </c>
      <c r="V213" s="20" t="s">
        <v>99</v>
      </c>
      <c r="W213" s="13"/>
      <c r="X213" s="20" t="s">
        <v>1213</v>
      </c>
      <c r="Y213" t="s">
        <v>1214</v>
      </c>
      <c r="Z213" s="13"/>
      <c r="AA213" s="20" t="s">
        <v>1215</v>
      </c>
      <c r="AB213" s="16" t="str">
        <f t="shared" si="3"/>
        <v>Completed</v>
      </c>
      <c r="AC213" s="18">
        <v>45988</v>
      </c>
      <c r="AD213" s="18">
        <v>45993</v>
      </c>
      <c r="AE213" s="18">
        <v>45993</v>
      </c>
      <c r="AF213" s="15"/>
      <c r="AG213" s="18">
        <v>45994</v>
      </c>
      <c r="AH213" s="15"/>
      <c r="AI213" s="18">
        <v>45994</v>
      </c>
      <c r="AJ213" s="21"/>
      <c r="AK213" s="22"/>
      <c r="AL213" s="22"/>
    </row>
    <row r="214" spans="1:38" ht="18" customHeight="1">
      <c r="A214" s="13" t="s">
        <v>693</v>
      </c>
      <c r="B214" s="13" t="s">
        <v>1216</v>
      </c>
      <c r="C214" s="14" t="s">
        <v>1015</v>
      </c>
      <c r="D214" s="15">
        <v>224864</v>
      </c>
      <c r="E214" s="16"/>
      <c r="F214" s="17" t="s">
        <v>1217</v>
      </c>
      <c r="G214" s="16">
        <v>0</v>
      </c>
      <c r="H214" s="18">
        <v>45800</v>
      </c>
      <c r="I214" t="s">
        <v>287</v>
      </c>
      <c r="J214" s="18">
        <v>45800</v>
      </c>
      <c r="K214" s="18">
        <v>46112</v>
      </c>
      <c r="L214" s="23" t="s">
        <v>54</v>
      </c>
      <c r="M214" s="24" t="s">
        <v>871</v>
      </c>
      <c r="N214" s="13" t="s">
        <v>289</v>
      </c>
      <c r="O214" s="13" t="s">
        <v>698</v>
      </c>
      <c r="P214" s="13" t="s">
        <v>699</v>
      </c>
      <c r="Q214" s="16">
        <v>1030242</v>
      </c>
      <c r="R214" s="16">
        <v>1030242</v>
      </c>
      <c r="S214" s="16"/>
      <c r="T214" t="s">
        <v>1218</v>
      </c>
      <c r="U214" s="20" t="s">
        <v>1219</v>
      </c>
      <c r="V214" s="20" t="s">
        <v>1163</v>
      </c>
      <c r="W214" s="13"/>
      <c r="X214" s="20" t="s">
        <v>1220</v>
      </c>
      <c r="Y214" s="20" t="s">
        <v>1221</v>
      </c>
      <c r="Z214" s="13"/>
      <c r="AA214" s="13"/>
      <c r="AB214" s="16" t="str">
        <f t="shared" si="3"/>
        <v>Completed</v>
      </c>
      <c r="AC214" s="18">
        <v>45988</v>
      </c>
      <c r="AD214" s="18">
        <v>45993</v>
      </c>
      <c r="AE214" s="18">
        <v>45993</v>
      </c>
      <c r="AF214" s="15"/>
      <c r="AG214" s="18">
        <v>45994</v>
      </c>
      <c r="AH214" s="15"/>
      <c r="AI214" s="18">
        <v>45994</v>
      </c>
      <c r="AJ214" s="21"/>
      <c r="AK214" s="22"/>
      <c r="AL214" s="22"/>
    </row>
    <row r="215" spans="1:38" ht="18" customHeight="1">
      <c r="A215" s="13" t="s">
        <v>693</v>
      </c>
      <c r="B215" s="13" t="s">
        <v>1222</v>
      </c>
      <c r="C215" s="14" t="s">
        <v>1015</v>
      </c>
      <c r="D215" s="16" t="s">
        <v>38</v>
      </c>
      <c r="E215" s="16" t="s">
        <v>38</v>
      </c>
      <c r="F215" s="17" t="s">
        <v>38</v>
      </c>
      <c r="G215" s="16">
        <v>0</v>
      </c>
      <c r="H215" s="18">
        <v>44859</v>
      </c>
      <c r="I215" s="20" t="s">
        <v>336</v>
      </c>
      <c r="J215" s="18">
        <v>44859</v>
      </c>
      <c r="K215" s="18" t="s">
        <v>38</v>
      </c>
      <c r="L215" s="23" t="s">
        <v>54</v>
      </c>
      <c r="M215" s="23" t="s">
        <v>337</v>
      </c>
      <c r="N215" s="13" t="s">
        <v>1223</v>
      </c>
      <c r="O215" s="13" t="s">
        <v>698</v>
      </c>
      <c r="P215" s="13" t="s">
        <v>1224</v>
      </c>
      <c r="Q215" s="16">
        <v>1030242</v>
      </c>
      <c r="R215" s="16">
        <v>1030242</v>
      </c>
      <c r="S215" s="16" t="s">
        <v>38</v>
      </c>
      <c r="T215" t="s">
        <v>1225</v>
      </c>
      <c r="U215" s="20" t="s">
        <v>1226</v>
      </c>
      <c r="V215" s="20" t="s">
        <v>1227</v>
      </c>
      <c r="W215" s="22"/>
      <c r="X215" s="50" t="s">
        <v>1228</v>
      </c>
      <c r="Y215" s="20" t="s">
        <v>1229</v>
      </c>
      <c r="Z215" s="13" t="s">
        <v>1230</v>
      </c>
      <c r="AA215" s="16"/>
      <c r="AB215" s="16" t="str">
        <f t="shared" si="3"/>
        <v>Completed</v>
      </c>
      <c r="AC215" s="18">
        <v>45988</v>
      </c>
      <c r="AD215" s="18">
        <v>45993</v>
      </c>
      <c r="AE215" s="18">
        <v>45994</v>
      </c>
      <c r="AF215" s="15"/>
      <c r="AG215" s="18">
        <v>45995</v>
      </c>
      <c r="AH215" s="15"/>
      <c r="AI215" s="18">
        <v>45996</v>
      </c>
      <c r="AJ215" s="21"/>
      <c r="AK215" s="22"/>
      <c r="AL215" s="22"/>
    </row>
    <row r="216" spans="1:38" ht="18" customHeight="1">
      <c r="A216" s="13" t="s">
        <v>693</v>
      </c>
      <c r="B216" s="13" t="s">
        <v>1231</v>
      </c>
      <c r="C216" s="14" t="s">
        <v>1015</v>
      </c>
      <c r="D216" s="16" t="s">
        <v>38</v>
      </c>
      <c r="E216" s="16" t="s">
        <v>38</v>
      </c>
      <c r="F216" s="17" t="s">
        <v>38</v>
      </c>
      <c r="G216" s="16">
        <v>1</v>
      </c>
      <c r="H216" s="18">
        <v>45474</v>
      </c>
      <c r="I216" t="s">
        <v>1232</v>
      </c>
      <c r="J216" s="18">
        <v>44860</v>
      </c>
      <c r="K216" s="18" t="s">
        <v>38</v>
      </c>
      <c r="L216" s="23" t="s">
        <v>54</v>
      </c>
      <c r="M216" s="23" t="s">
        <v>337</v>
      </c>
      <c r="N216" s="13" t="s">
        <v>1233</v>
      </c>
      <c r="O216" s="13" t="s">
        <v>698</v>
      </c>
      <c r="P216" s="13" t="s">
        <v>699</v>
      </c>
      <c r="Q216" s="16">
        <v>1030242</v>
      </c>
      <c r="R216" s="16">
        <v>1030242</v>
      </c>
      <c r="S216" s="16" t="s">
        <v>38</v>
      </c>
      <c r="T216" t="s">
        <v>1234</v>
      </c>
      <c r="U216" s="20" t="s">
        <v>1226</v>
      </c>
      <c r="V216" s="20" t="s">
        <v>1227</v>
      </c>
      <c r="W216" s="22"/>
      <c r="X216" s="50" t="s">
        <v>1228</v>
      </c>
      <c r="Y216" s="20" t="s">
        <v>1235</v>
      </c>
      <c r="Z216" s="13" t="s">
        <v>1230</v>
      </c>
      <c r="AA216" s="13"/>
      <c r="AB216" s="16" t="str">
        <f t="shared" si="3"/>
        <v>Completed</v>
      </c>
      <c r="AC216" s="18">
        <v>45988</v>
      </c>
      <c r="AD216" s="18">
        <v>45993</v>
      </c>
      <c r="AE216" s="18">
        <v>45994</v>
      </c>
      <c r="AF216" s="15"/>
      <c r="AG216" s="18">
        <v>45995</v>
      </c>
      <c r="AH216" s="15"/>
      <c r="AI216" s="18">
        <v>45996</v>
      </c>
      <c r="AJ216" s="21"/>
      <c r="AK216" s="22"/>
      <c r="AL216" s="22"/>
    </row>
    <row r="217" spans="1:38" ht="18" customHeight="1">
      <c r="A217" s="16" t="s">
        <v>1236</v>
      </c>
      <c r="B217" s="13" t="s">
        <v>694</v>
      </c>
      <c r="C217" s="64" t="s">
        <v>179</v>
      </c>
      <c r="D217" s="14">
        <v>60857</v>
      </c>
      <c r="E217" s="16" t="s">
        <v>696</v>
      </c>
      <c r="F217" s="16" t="s">
        <v>38</v>
      </c>
      <c r="G217" s="28">
        <v>0</v>
      </c>
      <c r="H217" s="18">
        <v>43875</v>
      </c>
      <c r="I217" s="65" t="s">
        <v>434</v>
      </c>
      <c r="J217" s="18">
        <v>43875</v>
      </c>
      <c r="K217" s="18">
        <v>44605</v>
      </c>
      <c r="L217" s="19" t="s">
        <v>95</v>
      </c>
      <c r="M217" s="19" t="s">
        <v>435</v>
      </c>
      <c r="N217" s="13" t="s">
        <v>94</v>
      </c>
      <c r="O217" s="13" t="s">
        <v>698</v>
      </c>
      <c r="P217" s="13" t="s">
        <v>1224</v>
      </c>
      <c r="Q217" s="16"/>
      <c r="R217" s="28" t="s">
        <v>1237</v>
      </c>
      <c r="S217" s="66" t="s">
        <v>1238</v>
      </c>
      <c r="T217" s="13" t="s">
        <v>1239</v>
      </c>
      <c r="U217" s="20" t="s">
        <v>1240</v>
      </c>
      <c r="V217" s="20" t="s">
        <v>272</v>
      </c>
      <c r="W217" s="13"/>
      <c r="X217" s="20" t="s">
        <v>1241</v>
      </c>
      <c r="Y217" s="13" t="s">
        <v>1242</v>
      </c>
      <c r="Z217" s="13" t="s">
        <v>1243</v>
      </c>
      <c r="AA217" s="16"/>
      <c r="AB217" s="16" t="s">
        <v>1244</v>
      </c>
      <c r="AC217" s="18">
        <v>46006</v>
      </c>
      <c r="AD217" s="18">
        <v>46007</v>
      </c>
      <c r="AE217" s="18">
        <v>46007</v>
      </c>
      <c r="AF217" s="15"/>
      <c r="AG217" s="18"/>
      <c r="AH217" s="15"/>
      <c r="AI217" s="18"/>
      <c r="AJ217" s="22"/>
      <c r="AK217" s="22"/>
      <c r="AL217" s="22"/>
    </row>
    <row r="218" spans="1:38" ht="18" customHeight="1">
      <c r="A218" s="16" t="s">
        <v>1245</v>
      </c>
      <c r="B218" s="13" t="s">
        <v>706</v>
      </c>
      <c r="C218" s="64" t="s">
        <v>179</v>
      </c>
      <c r="D218" s="14">
        <v>60857</v>
      </c>
      <c r="E218" s="16" t="s">
        <v>696</v>
      </c>
      <c r="F218" s="14">
        <v>595588</v>
      </c>
      <c r="G218" s="28">
        <v>1</v>
      </c>
      <c r="H218" s="18">
        <v>44029</v>
      </c>
      <c r="I218" s="65" t="s">
        <v>707</v>
      </c>
      <c r="J218" s="18">
        <v>43875</v>
      </c>
      <c r="K218" s="18">
        <v>44605</v>
      </c>
      <c r="L218" s="19" t="s">
        <v>95</v>
      </c>
      <c r="M218" s="19" t="s">
        <v>435</v>
      </c>
      <c r="N218" s="13" t="s">
        <v>94</v>
      </c>
      <c r="O218" s="13" t="s">
        <v>698</v>
      </c>
      <c r="P218" s="13" t="s">
        <v>1224</v>
      </c>
      <c r="Q218" s="16"/>
      <c r="R218" s="28" t="s">
        <v>1237</v>
      </c>
      <c r="S218" s="66" t="s">
        <v>1238</v>
      </c>
      <c r="T218" s="13" t="s">
        <v>1246</v>
      </c>
      <c r="U218" s="20" t="s">
        <v>1240</v>
      </c>
      <c r="V218" s="20" t="s">
        <v>272</v>
      </c>
      <c r="W218" s="13"/>
      <c r="X218" s="20" t="s">
        <v>1247</v>
      </c>
      <c r="Y218" s="13" t="s">
        <v>1242</v>
      </c>
      <c r="Z218" s="13" t="s">
        <v>1248</v>
      </c>
      <c r="AA218" s="16"/>
      <c r="AB218" s="16" t="s">
        <v>1244</v>
      </c>
      <c r="AC218" s="18">
        <v>46006</v>
      </c>
      <c r="AD218" s="18">
        <v>46007</v>
      </c>
      <c r="AE218" s="18">
        <v>46007</v>
      </c>
      <c r="AF218" s="15"/>
      <c r="AG218" s="18"/>
      <c r="AH218" s="15"/>
      <c r="AI218" s="18"/>
      <c r="AJ218" s="22"/>
      <c r="AK218" s="22"/>
      <c r="AL218" s="22"/>
    </row>
    <row r="219" spans="1:38" ht="18" customHeight="1">
      <c r="A219" s="16" t="s">
        <v>1249</v>
      </c>
      <c r="B219" s="13" t="s">
        <v>710</v>
      </c>
      <c r="C219" s="64" t="s">
        <v>179</v>
      </c>
      <c r="D219" s="16" t="s">
        <v>38</v>
      </c>
      <c r="E219" s="16" t="s">
        <v>696</v>
      </c>
      <c r="F219" s="16" t="s">
        <v>38</v>
      </c>
      <c r="G219" s="28">
        <v>0</v>
      </c>
      <c r="H219" s="18">
        <v>44053</v>
      </c>
      <c r="I219" s="65" t="s">
        <v>711</v>
      </c>
      <c r="J219" s="18">
        <v>44053</v>
      </c>
      <c r="K219" s="18">
        <v>45147</v>
      </c>
      <c r="L219" s="19" t="s">
        <v>95</v>
      </c>
      <c r="M219" s="46" t="s">
        <v>369</v>
      </c>
      <c r="N219" s="13" t="s">
        <v>94</v>
      </c>
      <c r="O219" s="13" t="s">
        <v>698</v>
      </c>
      <c r="P219" s="13" t="s">
        <v>1224</v>
      </c>
      <c r="Q219" s="16"/>
      <c r="R219" s="28" t="s">
        <v>1250</v>
      </c>
      <c r="S219" s="28" t="s">
        <v>1250</v>
      </c>
      <c r="T219" s="13" t="s">
        <v>1251</v>
      </c>
      <c r="U219" s="20" t="s">
        <v>1252</v>
      </c>
      <c r="V219" s="20" t="s">
        <v>532</v>
      </c>
      <c r="W219" s="13"/>
      <c r="X219" s="20" t="s">
        <v>1253</v>
      </c>
      <c r="Y219" s="20" t="s">
        <v>1254</v>
      </c>
      <c r="Z219" s="13" t="s">
        <v>1243</v>
      </c>
      <c r="AA219" s="16"/>
      <c r="AB219" s="16" t="s">
        <v>1244</v>
      </c>
      <c r="AC219" s="18">
        <v>46006</v>
      </c>
      <c r="AD219" s="18">
        <v>46007</v>
      </c>
      <c r="AE219" s="18">
        <v>46007</v>
      </c>
      <c r="AF219" s="15"/>
      <c r="AG219" s="18"/>
      <c r="AH219" s="15"/>
      <c r="AI219" s="18"/>
      <c r="AJ219" s="22"/>
      <c r="AK219" s="22"/>
      <c r="AL219" s="22"/>
    </row>
    <row r="220" spans="1:38" ht="18" customHeight="1">
      <c r="A220" s="16" t="s">
        <v>1255</v>
      </c>
      <c r="B220" s="13" t="s">
        <v>716</v>
      </c>
      <c r="C220" s="64" t="s">
        <v>179</v>
      </c>
      <c r="D220" s="16">
        <v>19975</v>
      </c>
      <c r="E220" s="16" t="s">
        <v>696</v>
      </c>
      <c r="F220" s="16">
        <v>606128</v>
      </c>
      <c r="G220" s="16">
        <v>0</v>
      </c>
      <c r="H220" s="18">
        <v>44136</v>
      </c>
      <c r="I220" s="19" t="s">
        <v>717</v>
      </c>
      <c r="J220" s="18">
        <v>44136</v>
      </c>
      <c r="K220" s="18">
        <v>45961</v>
      </c>
      <c r="L220" s="19" t="s">
        <v>95</v>
      </c>
      <c r="M220" s="19" t="s">
        <v>718</v>
      </c>
      <c r="N220" s="13" t="s">
        <v>94</v>
      </c>
      <c r="O220" s="13" t="s">
        <v>698</v>
      </c>
      <c r="P220" s="13" t="s">
        <v>699</v>
      </c>
      <c r="Q220" s="16">
        <v>1030242</v>
      </c>
      <c r="R220" s="16"/>
      <c r="S220" s="16"/>
      <c r="T220" s="13" t="s">
        <v>719</v>
      </c>
      <c r="U220" s="20" t="s">
        <v>720</v>
      </c>
      <c r="V220" s="20" t="s">
        <v>299</v>
      </c>
      <c r="W220" s="13"/>
      <c r="X220" s="20" t="s">
        <v>721</v>
      </c>
      <c r="Y220" s="13"/>
      <c r="Z220" s="13" t="s">
        <v>1256</v>
      </c>
      <c r="AA220" s="16"/>
      <c r="AB220" s="16" t="s">
        <v>1244</v>
      </c>
      <c r="AC220" s="18">
        <v>46006</v>
      </c>
      <c r="AD220" s="18">
        <v>46007</v>
      </c>
      <c r="AE220" s="18">
        <v>46007</v>
      </c>
      <c r="AF220" s="15"/>
      <c r="AG220" s="18"/>
      <c r="AH220" s="15"/>
      <c r="AI220" s="18"/>
      <c r="AJ220" s="22"/>
      <c r="AK220" s="22"/>
      <c r="AL220" s="22"/>
    </row>
    <row r="221" spans="1:38" ht="18" customHeight="1">
      <c r="A221" s="16" t="s">
        <v>1257</v>
      </c>
      <c r="B221" s="13" t="s">
        <v>724</v>
      </c>
      <c r="C221" s="64" t="s">
        <v>179</v>
      </c>
      <c r="D221" s="16">
        <v>78169</v>
      </c>
      <c r="E221" s="16"/>
      <c r="F221" s="16">
        <v>601716</v>
      </c>
      <c r="G221" s="16">
        <v>1</v>
      </c>
      <c r="H221" s="18">
        <v>44137</v>
      </c>
      <c r="I221" s="19" t="s">
        <v>551</v>
      </c>
      <c r="J221" s="18">
        <v>44053</v>
      </c>
      <c r="K221" s="18">
        <v>45147</v>
      </c>
      <c r="L221" s="16" t="s">
        <v>95</v>
      </c>
      <c r="M221" s="19" t="s">
        <v>96</v>
      </c>
      <c r="N221" s="13" t="s">
        <v>94</v>
      </c>
      <c r="O221" s="13" t="s">
        <v>698</v>
      </c>
      <c r="P221" s="13" t="s">
        <v>699</v>
      </c>
      <c r="Q221" s="16">
        <v>1030242</v>
      </c>
      <c r="R221" s="16"/>
      <c r="S221" s="16"/>
      <c r="T221" s="13" t="s">
        <v>725</v>
      </c>
      <c r="U221" s="13" t="s">
        <v>713</v>
      </c>
      <c r="V221" s="20" t="s">
        <v>532</v>
      </c>
      <c r="W221" s="13"/>
      <c r="X221" s="13" t="s">
        <v>726</v>
      </c>
      <c r="Y221" s="13" t="s">
        <v>715</v>
      </c>
      <c r="Z221" s="13" t="s">
        <v>1244</v>
      </c>
      <c r="AA221" s="16"/>
      <c r="AB221" s="16" t="s">
        <v>1244</v>
      </c>
      <c r="AC221" s="18">
        <v>46006</v>
      </c>
      <c r="AD221" s="18">
        <v>46007</v>
      </c>
      <c r="AE221" s="18">
        <v>46007</v>
      </c>
      <c r="AF221" s="15"/>
      <c r="AG221" s="18"/>
      <c r="AH221" s="15"/>
      <c r="AI221" s="18"/>
      <c r="AJ221" s="22"/>
      <c r="AK221" s="22"/>
      <c r="AL221" s="22"/>
    </row>
    <row r="222" spans="1:38" ht="18" customHeight="1">
      <c r="A222" s="16" t="s">
        <v>1258</v>
      </c>
      <c r="B222" s="13" t="s">
        <v>727</v>
      </c>
      <c r="C222" s="64" t="s">
        <v>179</v>
      </c>
      <c r="D222" s="16">
        <v>81099</v>
      </c>
      <c r="E222" s="16" t="s">
        <v>696</v>
      </c>
      <c r="F222" s="16">
        <v>606128</v>
      </c>
      <c r="G222" s="16">
        <v>1</v>
      </c>
      <c r="H222" s="18">
        <v>44176</v>
      </c>
      <c r="I222" s="19" t="s">
        <v>728</v>
      </c>
      <c r="J222" s="18">
        <v>44136</v>
      </c>
      <c r="K222" s="18">
        <v>45961</v>
      </c>
      <c r="L222" s="16" t="s">
        <v>95</v>
      </c>
      <c r="M222" s="19" t="s">
        <v>718</v>
      </c>
      <c r="N222" s="13" t="s">
        <v>117</v>
      </c>
      <c r="O222" s="13" t="s">
        <v>698</v>
      </c>
      <c r="P222" s="13" t="s">
        <v>699</v>
      </c>
      <c r="Q222" s="16">
        <v>1030242</v>
      </c>
      <c r="R222" s="16"/>
      <c r="S222" s="16"/>
      <c r="T222" s="13" t="s">
        <v>729</v>
      </c>
      <c r="U222" s="13" t="s">
        <v>720</v>
      </c>
      <c r="V222" s="20" t="s">
        <v>299</v>
      </c>
      <c r="W222" s="13"/>
      <c r="X222" s="13" t="s">
        <v>730</v>
      </c>
      <c r="Y222" s="13" t="s">
        <v>731</v>
      </c>
      <c r="Z222" s="13" t="s">
        <v>1244</v>
      </c>
      <c r="AA222" s="16"/>
      <c r="AB222" s="16" t="s">
        <v>1244</v>
      </c>
      <c r="AC222" s="18">
        <v>46006</v>
      </c>
      <c r="AD222" s="18">
        <v>46007</v>
      </c>
      <c r="AE222" s="18">
        <v>46007</v>
      </c>
      <c r="AF222" s="15"/>
      <c r="AG222" s="18"/>
      <c r="AH222" s="15"/>
      <c r="AI222" s="18"/>
      <c r="AJ222" s="22"/>
      <c r="AK222" s="22"/>
      <c r="AL222" s="22"/>
    </row>
    <row r="223" spans="1:38" ht="18" customHeight="1">
      <c r="A223" s="16" t="s">
        <v>1259</v>
      </c>
      <c r="B223" s="13" t="s">
        <v>732</v>
      </c>
      <c r="C223" s="64" t="s">
        <v>179</v>
      </c>
      <c r="D223" s="16">
        <v>85611</v>
      </c>
      <c r="E223" s="16" t="s">
        <v>696</v>
      </c>
      <c r="F223" s="16">
        <v>595588</v>
      </c>
      <c r="G223" s="16">
        <v>2</v>
      </c>
      <c r="H223" s="18">
        <v>44197</v>
      </c>
      <c r="I223" s="19" t="s">
        <v>733</v>
      </c>
      <c r="J223" s="18">
        <v>43875</v>
      </c>
      <c r="K223" s="18">
        <v>44605</v>
      </c>
      <c r="L223" s="16" t="s">
        <v>95</v>
      </c>
      <c r="M223" s="19" t="s">
        <v>697</v>
      </c>
      <c r="N223" s="13" t="s">
        <v>94</v>
      </c>
      <c r="O223" s="13" t="s">
        <v>698</v>
      </c>
      <c r="P223" s="13" t="s">
        <v>699</v>
      </c>
      <c r="Q223" s="16">
        <v>1030242</v>
      </c>
      <c r="R223" s="16"/>
      <c r="S223" s="16"/>
      <c r="T223" s="13" t="s">
        <v>734</v>
      </c>
      <c r="U223" s="13" t="s">
        <v>735</v>
      </c>
      <c r="V223" s="20" t="s">
        <v>625</v>
      </c>
      <c r="W223" s="13"/>
      <c r="X223" s="13" t="s">
        <v>709</v>
      </c>
      <c r="Y223" s="13" t="s">
        <v>703</v>
      </c>
      <c r="Z223" s="13" t="s">
        <v>1244</v>
      </c>
      <c r="AA223" s="16"/>
      <c r="AB223" s="16" t="s">
        <v>1244</v>
      </c>
      <c r="AC223" s="18">
        <v>46006</v>
      </c>
      <c r="AD223" s="18">
        <v>46007</v>
      </c>
      <c r="AE223" s="18">
        <v>46007</v>
      </c>
      <c r="AF223" s="15"/>
      <c r="AG223" s="18"/>
      <c r="AH223" s="15"/>
      <c r="AI223" s="18"/>
      <c r="AJ223" s="22"/>
      <c r="AK223" s="22"/>
      <c r="AL223" s="22"/>
    </row>
    <row r="224" spans="1:38" ht="18" customHeight="1">
      <c r="A224" s="16" t="s">
        <v>1260</v>
      </c>
      <c r="B224" s="13" t="s">
        <v>736</v>
      </c>
      <c r="C224" s="64" t="s">
        <v>179</v>
      </c>
      <c r="D224" s="16">
        <v>92617</v>
      </c>
      <c r="E224" s="16" t="s">
        <v>696</v>
      </c>
      <c r="F224" s="16">
        <v>602716</v>
      </c>
      <c r="G224" s="16">
        <v>1</v>
      </c>
      <c r="H224" s="18">
        <v>44300</v>
      </c>
      <c r="I224" s="19" t="s">
        <v>737</v>
      </c>
      <c r="J224" s="18">
        <v>44053</v>
      </c>
      <c r="K224" s="18">
        <v>45147</v>
      </c>
      <c r="L224" s="16" t="s">
        <v>95</v>
      </c>
      <c r="M224" s="19" t="s">
        <v>96</v>
      </c>
      <c r="N224" s="13" t="s">
        <v>94</v>
      </c>
      <c r="O224" s="13" t="s">
        <v>698</v>
      </c>
      <c r="P224" s="13" t="s">
        <v>699</v>
      </c>
      <c r="Q224" s="16">
        <v>1030242</v>
      </c>
      <c r="R224" s="16">
        <v>1030242</v>
      </c>
      <c r="S224" s="16" t="s">
        <v>38</v>
      </c>
      <c r="T224" s="13" t="s">
        <v>738</v>
      </c>
      <c r="U224" s="13" t="s">
        <v>739</v>
      </c>
      <c r="V224" s="20" t="s">
        <v>532</v>
      </c>
      <c r="W224" s="13"/>
      <c r="X224" s="13" t="s">
        <v>740</v>
      </c>
      <c r="Y224" s="13" t="s">
        <v>715</v>
      </c>
      <c r="Z224" s="13" t="s">
        <v>1244</v>
      </c>
      <c r="AA224" s="16"/>
      <c r="AB224" s="16" t="s">
        <v>1244</v>
      </c>
      <c r="AC224" s="18">
        <v>46006</v>
      </c>
      <c r="AD224" s="18">
        <v>46007</v>
      </c>
      <c r="AE224" s="18">
        <v>46007</v>
      </c>
      <c r="AF224" s="15"/>
      <c r="AG224" s="18"/>
      <c r="AH224" s="15"/>
      <c r="AI224" s="18"/>
      <c r="AJ224" s="22"/>
      <c r="AK224" s="22"/>
      <c r="AL224" s="22"/>
    </row>
    <row r="225" spans="1:38" ht="18" customHeight="1">
      <c r="A225" s="16" t="s">
        <v>1261</v>
      </c>
      <c r="B225" s="13" t="s">
        <v>742</v>
      </c>
      <c r="C225" s="64" t="s">
        <v>179</v>
      </c>
      <c r="D225" s="16">
        <v>102657</v>
      </c>
      <c r="E225" s="16" t="s">
        <v>696</v>
      </c>
      <c r="F225" s="16">
        <v>595588</v>
      </c>
      <c r="G225" s="16">
        <v>3</v>
      </c>
      <c r="H225" s="18">
        <v>44403</v>
      </c>
      <c r="I225" s="19" t="s">
        <v>707</v>
      </c>
      <c r="J225" s="18">
        <v>43875</v>
      </c>
      <c r="K225" s="18">
        <v>44605</v>
      </c>
      <c r="L225" s="16" t="s">
        <v>95</v>
      </c>
      <c r="M225" s="19" t="s">
        <v>697</v>
      </c>
      <c r="N225" s="13" t="s">
        <v>117</v>
      </c>
      <c r="O225" s="13" t="s">
        <v>698</v>
      </c>
      <c r="P225" s="13" t="s">
        <v>699</v>
      </c>
      <c r="Q225" s="16">
        <v>1030242</v>
      </c>
      <c r="R225" s="16"/>
      <c r="S225" s="16"/>
      <c r="T225" s="13" t="s">
        <v>743</v>
      </c>
      <c r="U225" s="13" t="s">
        <v>735</v>
      </c>
      <c r="V225" s="20" t="s">
        <v>625</v>
      </c>
      <c r="W225" s="13"/>
      <c r="X225" s="13" t="s">
        <v>744</v>
      </c>
      <c r="Y225" s="13" t="s">
        <v>703</v>
      </c>
      <c r="Z225" s="13" t="s">
        <v>1244</v>
      </c>
      <c r="AA225" s="16"/>
      <c r="AB225" s="16" t="s">
        <v>1244</v>
      </c>
      <c r="AC225" s="18">
        <v>46006</v>
      </c>
      <c r="AD225" s="18">
        <v>46007</v>
      </c>
      <c r="AE225" s="18">
        <v>46007</v>
      </c>
      <c r="AF225" s="15"/>
      <c r="AG225" s="18"/>
      <c r="AH225" s="15"/>
      <c r="AI225" s="18"/>
      <c r="AJ225" s="22"/>
      <c r="AK225" s="22"/>
      <c r="AL225" s="22"/>
    </row>
    <row r="226" spans="1:38" ht="18" customHeight="1">
      <c r="A226" s="16" t="s">
        <v>1262</v>
      </c>
      <c r="B226" s="13" t="s">
        <v>745</v>
      </c>
      <c r="C226" s="64" t="s">
        <v>179</v>
      </c>
      <c r="D226" s="16">
        <v>93138</v>
      </c>
      <c r="E226" s="16" t="s">
        <v>696</v>
      </c>
      <c r="F226" s="16">
        <v>606128</v>
      </c>
      <c r="G226" s="16">
        <v>2</v>
      </c>
      <c r="H226" s="18">
        <v>44435</v>
      </c>
      <c r="I226" s="19" t="s">
        <v>728</v>
      </c>
      <c r="J226" s="18">
        <v>44136</v>
      </c>
      <c r="K226" s="18">
        <v>45961</v>
      </c>
      <c r="L226" s="16" t="s">
        <v>95</v>
      </c>
      <c r="M226" s="19" t="s">
        <v>718</v>
      </c>
      <c r="N226" s="13" t="s">
        <v>117</v>
      </c>
      <c r="O226" s="13" t="s">
        <v>698</v>
      </c>
      <c r="P226" s="13" t="s">
        <v>699</v>
      </c>
      <c r="Q226" s="16">
        <v>1030242</v>
      </c>
      <c r="R226" s="16"/>
      <c r="S226" s="16"/>
      <c r="T226" s="13" t="s">
        <v>746</v>
      </c>
      <c r="U226" s="13" t="s">
        <v>720</v>
      </c>
      <c r="V226" s="20" t="s">
        <v>299</v>
      </c>
      <c r="W226" s="13"/>
      <c r="X226" s="13" t="s">
        <v>747</v>
      </c>
      <c r="Y226" s="13" t="s">
        <v>731</v>
      </c>
      <c r="Z226" s="13" t="s">
        <v>1244</v>
      </c>
      <c r="AA226" s="16"/>
      <c r="AB226" s="16" t="s">
        <v>1244</v>
      </c>
      <c r="AC226" s="18">
        <v>46006</v>
      </c>
      <c r="AD226" s="18">
        <v>46007</v>
      </c>
      <c r="AE226" s="18">
        <v>46007</v>
      </c>
      <c r="AF226" s="15"/>
      <c r="AG226" s="18"/>
      <c r="AH226" s="15"/>
      <c r="AI226" s="18"/>
      <c r="AJ226" s="22"/>
      <c r="AK226" s="22"/>
      <c r="AL226" s="22"/>
    </row>
    <row r="227" spans="1:38" ht="18" customHeight="1">
      <c r="A227" s="16" t="s">
        <v>1263</v>
      </c>
      <c r="B227" s="13" t="s">
        <v>748</v>
      </c>
      <c r="C227" s="64" t="s">
        <v>179</v>
      </c>
      <c r="D227" s="16"/>
      <c r="E227" s="16" t="s">
        <v>696</v>
      </c>
      <c r="F227" s="16"/>
      <c r="G227" s="16">
        <v>0</v>
      </c>
      <c r="H227" s="18">
        <v>44470</v>
      </c>
      <c r="I227" s="19" t="s">
        <v>749</v>
      </c>
      <c r="J227" s="18">
        <v>44470</v>
      </c>
      <c r="K227" s="18">
        <v>45199</v>
      </c>
      <c r="L227" s="16" t="s">
        <v>54</v>
      </c>
      <c r="M227" s="19" t="s">
        <v>750</v>
      </c>
      <c r="N227" s="13" t="s">
        <v>94</v>
      </c>
      <c r="O227" s="13" t="s">
        <v>698</v>
      </c>
      <c r="P227" s="13" t="s">
        <v>699</v>
      </c>
      <c r="Q227" s="16">
        <v>1030242</v>
      </c>
      <c r="R227" s="16"/>
      <c r="S227" s="16"/>
      <c r="T227" s="13" t="s">
        <v>748</v>
      </c>
      <c r="U227" s="13" t="s">
        <v>751</v>
      </c>
      <c r="V227" s="20" t="s">
        <v>752</v>
      </c>
      <c r="W227" s="13"/>
      <c r="X227" s="13" t="s">
        <v>753</v>
      </c>
      <c r="Y227" s="13" t="s">
        <v>754</v>
      </c>
      <c r="Z227" s="13" t="s">
        <v>1244</v>
      </c>
      <c r="AA227" s="16"/>
      <c r="AB227" s="16" t="s">
        <v>1244</v>
      </c>
      <c r="AC227" s="18">
        <v>46006</v>
      </c>
      <c r="AD227" s="18">
        <v>46007</v>
      </c>
      <c r="AE227" s="18">
        <v>46007</v>
      </c>
      <c r="AF227" s="15"/>
      <c r="AG227" s="18"/>
      <c r="AH227" s="15"/>
      <c r="AI227" s="18"/>
      <c r="AJ227" s="22"/>
      <c r="AK227" s="22"/>
      <c r="AL227" s="22"/>
    </row>
    <row r="228" spans="1:38" ht="18" customHeight="1">
      <c r="A228" s="16" t="s">
        <v>1264</v>
      </c>
      <c r="B228" s="13" t="s">
        <v>755</v>
      </c>
      <c r="C228" s="64" t="s">
        <v>179</v>
      </c>
      <c r="D228" s="16">
        <v>108986</v>
      </c>
      <c r="E228" s="16" t="s">
        <v>696</v>
      </c>
      <c r="F228" s="16">
        <v>606128</v>
      </c>
      <c r="G228" s="16">
        <v>3</v>
      </c>
      <c r="H228" s="18">
        <v>44475</v>
      </c>
      <c r="I228" s="19" t="s">
        <v>756</v>
      </c>
      <c r="J228" s="18">
        <v>44136</v>
      </c>
      <c r="K228" s="18">
        <v>45961</v>
      </c>
      <c r="L228" s="16" t="s">
        <v>95</v>
      </c>
      <c r="M228" s="19" t="s">
        <v>718</v>
      </c>
      <c r="N228" s="13" t="s">
        <v>117</v>
      </c>
      <c r="O228" s="13" t="s">
        <v>698</v>
      </c>
      <c r="P228" s="13" t="s">
        <v>699</v>
      </c>
      <c r="Q228" s="16">
        <v>1030242</v>
      </c>
      <c r="R228" s="16"/>
      <c r="S228" s="16"/>
      <c r="T228" s="13" t="s">
        <v>757</v>
      </c>
      <c r="U228" s="13" t="s">
        <v>720</v>
      </c>
      <c r="V228" s="20" t="s">
        <v>299</v>
      </c>
      <c r="W228" s="13"/>
      <c r="X228" s="13" t="s">
        <v>758</v>
      </c>
      <c r="Y228" s="13" t="s">
        <v>731</v>
      </c>
      <c r="Z228" s="13" t="s">
        <v>1244</v>
      </c>
      <c r="AA228" s="16"/>
      <c r="AB228" s="16" t="s">
        <v>1244</v>
      </c>
      <c r="AC228" s="18">
        <v>46006</v>
      </c>
      <c r="AD228" s="18">
        <v>46007</v>
      </c>
      <c r="AE228" s="18">
        <v>46007</v>
      </c>
      <c r="AF228" s="15"/>
      <c r="AG228" s="18"/>
      <c r="AH228" s="15"/>
      <c r="AI228" s="18"/>
      <c r="AJ228" s="22"/>
      <c r="AK228" s="22"/>
      <c r="AL228" s="22"/>
    </row>
    <row r="229" spans="1:38" ht="18" customHeight="1">
      <c r="A229" s="16" t="s">
        <v>1265</v>
      </c>
      <c r="B229" s="13" t="s">
        <v>759</v>
      </c>
      <c r="C229" s="64" t="s">
        <v>179</v>
      </c>
      <c r="D229" s="16">
        <v>108315</v>
      </c>
      <c r="E229" s="16" t="s">
        <v>696</v>
      </c>
      <c r="F229" s="16">
        <v>602716</v>
      </c>
      <c r="G229" s="16">
        <v>2</v>
      </c>
      <c r="H229" s="18">
        <v>44486</v>
      </c>
      <c r="I229" s="19" t="s">
        <v>551</v>
      </c>
      <c r="J229" s="18">
        <v>44053</v>
      </c>
      <c r="K229" s="18">
        <v>45147</v>
      </c>
      <c r="L229" s="16" t="s">
        <v>95</v>
      </c>
      <c r="M229" s="19" t="s">
        <v>96</v>
      </c>
      <c r="N229" s="13" t="s">
        <v>117</v>
      </c>
      <c r="O229" s="13" t="s">
        <v>698</v>
      </c>
      <c r="P229" s="13" t="s">
        <v>699</v>
      </c>
      <c r="Q229" s="16">
        <v>1030242</v>
      </c>
      <c r="R229" s="16">
        <v>1030242</v>
      </c>
      <c r="S229" s="16" t="s">
        <v>38</v>
      </c>
      <c r="T229" s="13" t="s">
        <v>760</v>
      </c>
      <c r="U229" s="13" t="s">
        <v>739</v>
      </c>
      <c r="V229" s="20" t="s">
        <v>532</v>
      </c>
      <c r="W229" s="13"/>
      <c r="X229" s="13" t="s">
        <v>761</v>
      </c>
      <c r="Y229" s="13" t="s">
        <v>715</v>
      </c>
      <c r="Z229" s="13" t="s">
        <v>1244</v>
      </c>
      <c r="AA229" s="16"/>
      <c r="AB229" s="16" t="s">
        <v>1244</v>
      </c>
      <c r="AC229" s="18">
        <v>46006</v>
      </c>
      <c r="AD229" s="18">
        <v>46007</v>
      </c>
      <c r="AE229" s="18">
        <v>46007</v>
      </c>
      <c r="AF229" s="15"/>
      <c r="AG229" s="18"/>
      <c r="AH229" s="15"/>
      <c r="AI229" s="18"/>
      <c r="AJ229" s="22"/>
      <c r="AK229" s="22"/>
      <c r="AL229" s="22"/>
    </row>
    <row r="230" spans="1:38" ht="18" customHeight="1">
      <c r="A230" s="16" t="s">
        <v>1266</v>
      </c>
      <c r="B230" s="13" t="s">
        <v>762</v>
      </c>
      <c r="C230" s="64" t="s">
        <v>179</v>
      </c>
      <c r="D230" s="16">
        <v>113936</v>
      </c>
      <c r="E230" s="16" t="s">
        <v>696</v>
      </c>
      <c r="F230" s="16">
        <v>602716</v>
      </c>
      <c r="G230" s="16">
        <v>3</v>
      </c>
      <c r="H230" s="18">
        <v>44536</v>
      </c>
      <c r="I230" s="19" t="s">
        <v>551</v>
      </c>
      <c r="J230" s="18">
        <v>44053</v>
      </c>
      <c r="K230" s="18">
        <v>45147</v>
      </c>
      <c r="L230" s="16" t="s">
        <v>95</v>
      </c>
      <c r="M230" s="19" t="s">
        <v>96</v>
      </c>
      <c r="N230" s="13" t="s">
        <v>117</v>
      </c>
      <c r="O230" s="13" t="s">
        <v>698</v>
      </c>
      <c r="P230" s="13" t="s">
        <v>699</v>
      </c>
      <c r="Q230" s="16">
        <v>1030242</v>
      </c>
      <c r="R230" s="16">
        <v>1030242</v>
      </c>
      <c r="S230" s="16" t="s">
        <v>38</v>
      </c>
      <c r="T230" s="13" t="s">
        <v>763</v>
      </c>
      <c r="U230" s="13" t="s">
        <v>739</v>
      </c>
      <c r="V230" s="20" t="s">
        <v>532</v>
      </c>
      <c r="W230" s="13"/>
      <c r="X230" s="13" t="s">
        <v>764</v>
      </c>
      <c r="Y230" s="13" t="s">
        <v>715</v>
      </c>
      <c r="Z230" s="13" t="s">
        <v>1244</v>
      </c>
      <c r="AA230" s="16"/>
      <c r="AB230" s="16" t="s">
        <v>1244</v>
      </c>
      <c r="AC230" s="18">
        <v>46006</v>
      </c>
      <c r="AD230" s="18">
        <v>46007</v>
      </c>
      <c r="AE230" s="18">
        <v>46007</v>
      </c>
      <c r="AF230" s="15"/>
      <c r="AG230" s="18"/>
      <c r="AH230" s="15"/>
      <c r="AI230" s="18"/>
      <c r="AJ230" s="22"/>
      <c r="AK230" s="22"/>
      <c r="AL230" s="22"/>
    </row>
    <row r="231" spans="1:38" ht="18" customHeight="1">
      <c r="A231" s="16" t="s">
        <v>1267</v>
      </c>
      <c r="B231" s="13" t="s">
        <v>765</v>
      </c>
      <c r="C231" s="64" t="s">
        <v>179</v>
      </c>
      <c r="D231" s="16">
        <v>115538</v>
      </c>
      <c r="E231" s="16" t="s">
        <v>696</v>
      </c>
      <c r="F231" s="16">
        <v>606128</v>
      </c>
      <c r="G231" s="16">
        <v>4</v>
      </c>
      <c r="H231" s="18">
        <v>44572</v>
      </c>
      <c r="I231" s="19" t="s">
        <v>728</v>
      </c>
      <c r="J231" s="18">
        <v>44136</v>
      </c>
      <c r="K231" s="18">
        <v>45961</v>
      </c>
      <c r="L231" s="16" t="s">
        <v>95</v>
      </c>
      <c r="M231" s="19" t="s">
        <v>718</v>
      </c>
      <c r="N231" s="13" t="s">
        <v>117</v>
      </c>
      <c r="O231" s="13" t="s">
        <v>698</v>
      </c>
      <c r="P231" s="13" t="s">
        <v>699</v>
      </c>
      <c r="Q231" s="16">
        <v>1030242</v>
      </c>
      <c r="R231" s="16"/>
      <c r="S231" s="16"/>
      <c r="T231" s="13" t="s">
        <v>766</v>
      </c>
      <c r="U231" s="13" t="s">
        <v>720</v>
      </c>
      <c r="V231" s="20" t="s">
        <v>299</v>
      </c>
      <c r="W231" s="13"/>
      <c r="X231" s="13" t="s">
        <v>767</v>
      </c>
      <c r="Y231" s="13" t="s">
        <v>731</v>
      </c>
      <c r="Z231" s="13" t="s">
        <v>1244</v>
      </c>
      <c r="AA231" s="16"/>
      <c r="AB231" s="16" t="s">
        <v>1244</v>
      </c>
      <c r="AC231" s="18">
        <v>46006</v>
      </c>
      <c r="AD231" s="18">
        <v>46007</v>
      </c>
      <c r="AE231" s="18">
        <v>46007</v>
      </c>
      <c r="AF231" s="15"/>
      <c r="AG231" s="18"/>
      <c r="AH231" s="15"/>
      <c r="AI231" s="18"/>
      <c r="AJ231" s="22"/>
      <c r="AK231" s="22"/>
      <c r="AL231" s="22"/>
    </row>
    <row r="232" spans="1:38" ht="18" customHeight="1">
      <c r="A232" s="16" t="s">
        <v>1268</v>
      </c>
      <c r="B232" s="13" t="s">
        <v>768</v>
      </c>
      <c r="C232" s="64" t="s">
        <v>179</v>
      </c>
      <c r="D232" s="16">
        <v>120701</v>
      </c>
      <c r="E232" s="16" t="s">
        <v>696</v>
      </c>
      <c r="F232" s="16">
        <v>595588</v>
      </c>
      <c r="G232" s="16">
        <v>5</v>
      </c>
      <c r="H232" s="18">
        <v>44970</v>
      </c>
      <c r="I232" s="19" t="s">
        <v>769</v>
      </c>
      <c r="J232" s="18">
        <v>43875</v>
      </c>
      <c r="K232" s="18">
        <v>44970</v>
      </c>
      <c r="L232" s="16" t="s">
        <v>95</v>
      </c>
      <c r="M232" s="19" t="s">
        <v>697</v>
      </c>
      <c r="N232" s="13" t="s">
        <v>117</v>
      </c>
      <c r="O232" s="13" t="s">
        <v>698</v>
      </c>
      <c r="P232" s="13" t="s">
        <v>699</v>
      </c>
      <c r="Q232" s="16">
        <v>1030242</v>
      </c>
      <c r="R232" s="16"/>
      <c r="S232" s="16"/>
      <c r="T232" s="13" t="s">
        <v>770</v>
      </c>
      <c r="U232" s="13" t="s">
        <v>735</v>
      </c>
      <c r="V232" s="20" t="s">
        <v>625</v>
      </c>
      <c r="W232" s="13"/>
      <c r="X232" s="13" t="s">
        <v>771</v>
      </c>
      <c r="Y232" s="13" t="s">
        <v>703</v>
      </c>
      <c r="Z232" s="13" t="s">
        <v>1244</v>
      </c>
      <c r="AA232" s="16"/>
      <c r="AB232" s="16" t="s">
        <v>1244</v>
      </c>
      <c r="AC232" s="18">
        <v>46006</v>
      </c>
      <c r="AD232" s="18">
        <v>46007</v>
      </c>
      <c r="AE232" s="18">
        <v>46007</v>
      </c>
      <c r="AF232" s="15"/>
      <c r="AG232" s="18"/>
      <c r="AH232" s="15"/>
      <c r="AI232" s="18"/>
      <c r="AJ232" s="22"/>
      <c r="AK232" s="22"/>
      <c r="AL232" s="22"/>
    </row>
    <row r="233" spans="1:38" ht="18" customHeight="1">
      <c r="A233" s="16" t="s">
        <v>1269</v>
      </c>
      <c r="B233" s="13" t="s">
        <v>1270</v>
      </c>
      <c r="C233" s="64" t="s">
        <v>486</v>
      </c>
      <c r="D233" s="16" t="s">
        <v>38</v>
      </c>
      <c r="E233" s="16" t="s">
        <v>1271</v>
      </c>
      <c r="F233" s="16" t="s">
        <v>38</v>
      </c>
      <c r="G233" s="28">
        <v>0</v>
      </c>
      <c r="H233" s="18">
        <v>43466</v>
      </c>
      <c r="I233" s="24" t="s">
        <v>1272</v>
      </c>
      <c r="J233" s="18">
        <v>43466</v>
      </c>
      <c r="K233" s="18">
        <v>44196</v>
      </c>
      <c r="L233" s="19" t="s">
        <v>95</v>
      </c>
      <c r="M233" s="19" t="s">
        <v>435</v>
      </c>
      <c r="N233" s="13" t="s">
        <v>94</v>
      </c>
      <c r="O233" s="13" t="s">
        <v>45</v>
      </c>
      <c r="P233" s="13" t="s">
        <v>46</v>
      </c>
      <c r="Q233" s="16">
        <v>1018471</v>
      </c>
      <c r="R233" t="s">
        <v>1273</v>
      </c>
      <c r="S233" t="s">
        <v>1273</v>
      </c>
      <c r="T233" s="13" t="s">
        <v>1274</v>
      </c>
      <c r="U233" t="s">
        <v>1275</v>
      </c>
      <c r="V233" s="20" t="s">
        <v>532</v>
      </c>
      <c r="W233" s="13"/>
      <c r="X233" t="s">
        <v>1276</v>
      </c>
      <c r="Y233" s="13" t="s">
        <v>1277</v>
      </c>
      <c r="Z233" s="13"/>
      <c r="AA233" s="16"/>
      <c r="AB233" s="16" t="str">
        <f>IF(NOT(ISBLANK(AD233)),IF(NOT(ISBLANK(AE233)),IF(NOT(ISBLANK(AG233)),IF(NOT(ISBLANK(AI233)),"Completed","For Final Review"),"For Peer Check"),"In Progress"),"Not Started")</f>
        <v>Completed</v>
      </c>
      <c r="AC233" s="18">
        <v>46006</v>
      </c>
      <c r="AD233" s="18">
        <v>46007</v>
      </c>
      <c r="AE233" s="18">
        <v>46010</v>
      </c>
      <c r="AF233" s="15" t="s">
        <v>773</v>
      </c>
      <c r="AG233" s="18">
        <v>46013</v>
      </c>
      <c r="AH233" s="15" t="s">
        <v>773</v>
      </c>
      <c r="AI233" s="18">
        <v>46013</v>
      </c>
      <c r="AJ233" s="22"/>
      <c r="AK233" s="22"/>
      <c r="AL233" s="22"/>
    </row>
    <row r="234" spans="1:38" ht="18" customHeight="1">
      <c r="A234" s="16" t="s">
        <v>1278</v>
      </c>
      <c r="B234" s="13" t="s">
        <v>1279</v>
      </c>
      <c r="C234" s="64" t="s">
        <v>486</v>
      </c>
      <c r="D234" s="16" t="s">
        <v>38</v>
      </c>
      <c r="E234" s="16" t="s">
        <v>1271</v>
      </c>
      <c r="F234" s="16" t="s">
        <v>38</v>
      </c>
      <c r="G234" s="28">
        <v>1</v>
      </c>
      <c r="H234" s="18">
        <v>43550</v>
      </c>
      <c r="I234" s="24" t="s">
        <v>1280</v>
      </c>
      <c r="J234" s="18">
        <v>43466</v>
      </c>
      <c r="K234" s="18">
        <v>44196</v>
      </c>
      <c r="L234" s="19" t="s">
        <v>95</v>
      </c>
      <c r="M234" s="19" t="s">
        <v>435</v>
      </c>
      <c r="N234" s="13" t="s">
        <v>117</v>
      </c>
      <c r="O234" s="13" t="s">
        <v>45</v>
      </c>
      <c r="P234" s="67" t="s">
        <v>46</v>
      </c>
      <c r="Q234" s="16">
        <v>1018471</v>
      </c>
      <c r="R234" t="s">
        <v>1273</v>
      </c>
      <c r="S234" t="s">
        <v>1273</v>
      </c>
      <c r="T234" s="13" t="s">
        <v>1281</v>
      </c>
      <c r="U234" t="s">
        <v>1275</v>
      </c>
      <c r="V234" s="20" t="s">
        <v>625</v>
      </c>
      <c r="W234" s="13" t="s">
        <v>1282</v>
      </c>
      <c r="X234" t="s">
        <v>1276</v>
      </c>
      <c r="Y234" s="13" t="s">
        <v>1277</v>
      </c>
      <c r="Z234" s="13"/>
      <c r="AA234" s="16"/>
      <c r="AB234" s="16" t="str">
        <f>IF(NOT(ISBLANK(AD234)),IF(NOT(ISBLANK(AE234)),IF(NOT(ISBLANK(AG234)),IF(NOT(ISBLANK(AI234)),"Completed","For Final Review"),"For Peer Check"),"In Progress"),"Not Started")</f>
        <v>Completed</v>
      </c>
      <c r="AC234" s="18">
        <v>46006</v>
      </c>
      <c r="AD234" s="18">
        <v>46007</v>
      </c>
      <c r="AE234" s="18">
        <v>46010</v>
      </c>
      <c r="AF234" s="15" t="s">
        <v>773</v>
      </c>
      <c r="AG234" s="18">
        <v>46013</v>
      </c>
      <c r="AH234" s="15" t="s">
        <v>773</v>
      </c>
      <c r="AI234" s="18">
        <v>46013</v>
      </c>
      <c r="AJ234" s="22"/>
      <c r="AK234" s="22"/>
      <c r="AL234" s="22"/>
    </row>
    <row r="235" spans="1:38" ht="18" customHeight="1">
      <c r="A235" s="16" t="s">
        <v>1283</v>
      </c>
      <c r="B235" s="13" t="s">
        <v>1284</v>
      </c>
      <c r="C235" s="64" t="s">
        <v>486</v>
      </c>
      <c r="D235" s="16" t="s">
        <v>38</v>
      </c>
      <c r="E235" s="16" t="s">
        <v>1271</v>
      </c>
      <c r="F235" s="16" t="s">
        <v>38</v>
      </c>
      <c r="G235" s="28">
        <v>2</v>
      </c>
      <c r="H235" s="18">
        <v>43683</v>
      </c>
      <c r="I235" s="24" t="s">
        <v>1280</v>
      </c>
      <c r="J235" s="18">
        <v>43466</v>
      </c>
      <c r="K235" s="18">
        <v>44196</v>
      </c>
      <c r="L235" s="19" t="s">
        <v>95</v>
      </c>
      <c r="M235" s="19" t="s">
        <v>435</v>
      </c>
      <c r="N235" s="13" t="s">
        <v>117</v>
      </c>
      <c r="O235" s="13" t="s">
        <v>45</v>
      </c>
      <c r="P235" s="67" t="s">
        <v>46</v>
      </c>
      <c r="Q235" s="16">
        <v>1018471</v>
      </c>
      <c r="R235" t="s">
        <v>1273</v>
      </c>
      <c r="S235" t="s">
        <v>1273</v>
      </c>
      <c r="T235" s="13" t="s">
        <v>1285</v>
      </c>
      <c r="U235" t="s">
        <v>1275</v>
      </c>
      <c r="V235" s="20" t="s">
        <v>625</v>
      </c>
      <c r="W235" s="13" t="s">
        <v>1282</v>
      </c>
      <c r="X235" t="s">
        <v>1276</v>
      </c>
      <c r="Y235" s="13" t="s">
        <v>1277</v>
      </c>
      <c r="Z235" s="13"/>
      <c r="AA235" s="16"/>
      <c r="AB235" s="16" t="str">
        <f>IF(NOT(ISBLANK(AD235)),IF(NOT(ISBLANK(AE235)),IF(NOT(ISBLANK(AG235)),IF(NOT(ISBLANK(AI235)),"Completed","For Final Review"),"For Peer Check"),"In Progress"),"Not Started")</f>
        <v>Completed</v>
      </c>
      <c r="AC235" s="18">
        <v>46006</v>
      </c>
      <c r="AD235" s="18">
        <v>46007</v>
      </c>
      <c r="AE235" s="18">
        <v>46010</v>
      </c>
      <c r="AF235" s="15" t="s">
        <v>773</v>
      </c>
      <c r="AG235" s="18">
        <v>46013</v>
      </c>
      <c r="AH235" s="15" t="s">
        <v>773</v>
      </c>
      <c r="AI235" s="18">
        <v>46013</v>
      </c>
      <c r="AJ235" s="22"/>
      <c r="AK235" s="22"/>
      <c r="AL235" s="22"/>
    </row>
    <row r="236" spans="1:38" ht="18" customHeight="1">
      <c r="A236" s="16" t="s">
        <v>1286</v>
      </c>
      <c r="B236" s="13" t="s">
        <v>1287</v>
      </c>
      <c r="C236" s="64" t="s">
        <v>486</v>
      </c>
      <c r="D236" s="16" t="s">
        <v>38</v>
      </c>
      <c r="E236" s="16" t="s">
        <v>1271</v>
      </c>
      <c r="F236" s="16" t="s">
        <v>38</v>
      </c>
      <c r="G236" s="28">
        <v>3</v>
      </c>
      <c r="H236" s="18">
        <v>43749</v>
      </c>
      <c r="I236" s="24" t="s">
        <v>1280</v>
      </c>
      <c r="J236" s="18">
        <v>43466</v>
      </c>
      <c r="K236" s="18">
        <v>44196</v>
      </c>
      <c r="L236" s="19" t="s">
        <v>95</v>
      </c>
      <c r="M236" s="19" t="s">
        <v>435</v>
      </c>
      <c r="N236" s="13" t="s">
        <v>117</v>
      </c>
      <c r="O236" s="13" t="s">
        <v>45</v>
      </c>
      <c r="P236" s="67" t="s">
        <v>46</v>
      </c>
      <c r="Q236" s="16">
        <v>1018471</v>
      </c>
      <c r="R236" t="s">
        <v>1273</v>
      </c>
      <c r="S236" t="s">
        <v>1273</v>
      </c>
      <c r="T236" s="13" t="s">
        <v>1288</v>
      </c>
      <c r="U236" t="s">
        <v>1275</v>
      </c>
      <c r="V236" s="20" t="s">
        <v>625</v>
      </c>
      <c r="W236" s="13" t="s">
        <v>1282</v>
      </c>
      <c r="X236" t="s">
        <v>1276</v>
      </c>
      <c r="Y236" s="13" t="s">
        <v>1277</v>
      </c>
      <c r="Z236" s="13"/>
      <c r="AA236" s="16"/>
      <c r="AB236" s="16" t="str">
        <f>IF(NOT(ISBLANK(AD236)),IF(NOT(ISBLANK(AE236)),IF(NOT(ISBLANK(AG236)),IF(NOT(ISBLANK(AI236)),"Completed","For Final Review"),"For Peer Check"),"In Progress"),"Not Started")</f>
        <v>Completed</v>
      </c>
      <c r="AC236" s="18">
        <v>46006</v>
      </c>
      <c r="AD236" s="18">
        <v>46007</v>
      </c>
      <c r="AE236" s="18">
        <v>46010</v>
      </c>
      <c r="AF236" s="15" t="s">
        <v>773</v>
      </c>
      <c r="AG236" s="18">
        <v>46013</v>
      </c>
      <c r="AH236" s="15" t="s">
        <v>773</v>
      </c>
      <c r="AI236" s="18">
        <v>46013</v>
      </c>
      <c r="AJ236" s="22"/>
      <c r="AK236" s="22"/>
      <c r="AL236" s="22"/>
    </row>
    <row r="237" spans="1:38" ht="18" customHeight="1">
      <c r="A237" s="16" t="s">
        <v>1289</v>
      </c>
      <c r="B237" s="13" t="s">
        <v>355</v>
      </c>
      <c r="C237" s="64" t="s">
        <v>179</v>
      </c>
      <c r="D237" s="16" t="s">
        <v>38</v>
      </c>
      <c r="E237" s="16" t="s">
        <v>356</v>
      </c>
      <c r="F237" s="16" t="s">
        <v>356</v>
      </c>
      <c r="G237" s="16">
        <v>0</v>
      </c>
      <c r="H237" s="18">
        <v>43060</v>
      </c>
      <c r="I237" s="19" t="s">
        <v>357</v>
      </c>
      <c r="J237" s="18">
        <v>43060</v>
      </c>
      <c r="K237" s="18">
        <v>44885</v>
      </c>
      <c r="L237" s="16" t="s">
        <v>63</v>
      </c>
      <c r="M237" s="19" t="s">
        <v>38</v>
      </c>
      <c r="N237" s="13" t="s">
        <v>358</v>
      </c>
      <c r="O237" s="13" t="s">
        <v>350</v>
      </c>
      <c r="P237" s="13" t="s">
        <v>351</v>
      </c>
      <c r="Q237" s="16">
        <v>1018845</v>
      </c>
      <c r="R237" s="16" t="s">
        <v>38</v>
      </c>
      <c r="S237" s="16" t="s">
        <v>38</v>
      </c>
      <c r="T237" s="13" t="s">
        <v>359</v>
      </c>
      <c r="U237" s="13" t="s">
        <v>38</v>
      </c>
      <c r="V237" s="20" t="s">
        <v>360</v>
      </c>
      <c r="W237" s="13"/>
      <c r="X237" s="13" t="s">
        <v>38</v>
      </c>
      <c r="Y237" s="13" t="s">
        <v>361</v>
      </c>
      <c r="Z237" s="13" t="s">
        <v>1244</v>
      </c>
      <c r="AA237" s="16"/>
      <c r="AB237" s="16" t="s">
        <v>1244</v>
      </c>
      <c r="AC237" s="18">
        <v>46006</v>
      </c>
      <c r="AD237" s="18">
        <v>46007</v>
      </c>
      <c r="AE237" s="18">
        <v>46007</v>
      </c>
      <c r="AF237" s="15"/>
      <c r="AG237" s="18"/>
      <c r="AH237" s="15"/>
      <c r="AI237" s="18"/>
      <c r="AJ237" s="22"/>
      <c r="AK237" s="22"/>
      <c r="AL237" s="22"/>
    </row>
    <row r="238" spans="1:38" ht="18" customHeight="1">
      <c r="A238" s="16" t="s">
        <v>1290</v>
      </c>
      <c r="B238" s="13" t="s">
        <v>363</v>
      </c>
      <c r="C238" s="64" t="s">
        <v>179</v>
      </c>
      <c r="D238" s="16" t="s">
        <v>38</v>
      </c>
      <c r="E238" s="16" t="s">
        <v>356</v>
      </c>
      <c r="F238" s="16" t="s">
        <v>356</v>
      </c>
      <c r="G238" s="16">
        <v>1</v>
      </c>
      <c r="H238" s="18">
        <v>43556</v>
      </c>
      <c r="I238" s="19" t="s">
        <v>364</v>
      </c>
      <c r="J238" s="18">
        <v>43060</v>
      </c>
      <c r="K238" s="18">
        <v>44885</v>
      </c>
      <c r="L238" s="16" t="s">
        <v>63</v>
      </c>
      <c r="M238" s="19" t="s">
        <v>38</v>
      </c>
      <c r="N238" s="13" t="s">
        <v>365</v>
      </c>
      <c r="O238" s="13" t="s">
        <v>350</v>
      </c>
      <c r="P238" s="13" t="s">
        <v>351</v>
      </c>
      <c r="Q238" s="16">
        <v>1018845</v>
      </c>
      <c r="R238" s="16" t="s">
        <v>38</v>
      </c>
      <c r="S238" s="16" t="s">
        <v>38</v>
      </c>
      <c r="T238" s="13" t="s">
        <v>359</v>
      </c>
      <c r="U238" s="13" t="s">
        <v>38</v>
      </c>
      <c r="V238" s="20" t="s">
        <v>360</v>
      </c>
      <c r="W238" s="13"/>
      <c r="X238" s="13" t="s">
        <v>38</v>
      </c>
      <c r="Y238" s="13" t="s">
        <v>361</v>
      </c>
      <c r="Z238" s="13" t="s">
        <v>1244</v>
      </c>
      <c r="AA238" s="16"/>
      <c r="AB238" s="16" t="s">
        <v>1244</v>
      </c>
      <c r="AC238" s="18">
        <v>46006</v>
      </c>
      <c r="AD238" s="18">
        <v>46007</v>
      </c>
      <c r="AE238" s="18">
        <v>46007</v>
      </c>
      <c r="AF238" s="15"/>
      <c r="AG238" s="18"/>
      <c r="AH238" s="15"/>
      <c r="AI238" s="18"/>
      <c r="AJ238" s="22"/>
      <c r="AK238" s="22"/>
      <c r="AL238" s="22"/>
    </row>
    <row r="239" spans="1:38" ht="18" customHeight="1">
      <c r="A239" s="16" t="s">
        <v>1291</v>
      </c>
      <c r="B239" s="13" t="s">
        <v>367</v>
      </c>
      <c r="C239" s="64" t="s">
        <v>179</v>
      </c>
      <c r="D239" s="16">
        <v>101039</v>
      </c>
      <c r="E239" s="16" t="s">
        <v>356</v>
      </c>
      <c r="F239" s="16">
        <v>616874</v>
      </c>
      <c r="G239" s="16">
        <v>0</v>
      </c>
      <c r="H239" s="18">
        <v>44446</v>
      </c>
      <c r="I239" s="19" t="s">
        <v>368</v>
      </c>
      <c r="J239" s="18">
        <v>44446</v>
      </c>
      <c r="K239" s="18">
        <v>45175</v>
      </c>
      <c r="L239" s="16" t="s">
        <v>95</v>
      </c>
      <c r="M239" s="19" t="s">
        <v>369</v>
      </c>
      <c r="N239" s="13" t="s">
        <v>94</v>
      </c>
      <c r="O239" s="13" t="s">
        <v>350</v>
      </c>
      <c r="P239" s="13" t="s">
        <v>351</v>
      </c>
      <c r="Q239" s="16">
        <v>1018845</v>
      </c>
      <c r="R239" s="16" t="s">
        <v>38</v>
      </c>
      <c r="S239" s="16" t="s">
        <v>38</v>
      </c>
      <c r="T239" s="13" t="s">
        <v>370</v>
      </c>
      <c r="U239" s="13" t="s">
        <v>371</v>
      </c>
      <c r="V239" s="20" t="s">
        <v>372</v>
      </c>
      <c r="W239" s="13"/>
      <c r="X239" s="13" t="s">
        <v>373</v>
      </c>
      <c r="Y239" s="13" t="s">
        <v>374</v>
      </c>
      <c r="Z239" s="13" t="s">
        <v>1244</v>
      </c>
      <c r="AA239" s="16"/>
      <c r="AB239" s="16" t="s">
        <v>1244</v>
      </c>
      <c r="AC239" s="18">
        <v>46006</v>
      </c>
      <c r="AD239" s="18">
        <v>46007</v>
      </c>
      <c r="AE239" s="18">
        <v>46007</v>
      </c>
      <c r="AF239" s="15"/>
      <c r="AG239" s="18"/>
      <c r="AH239" s="15"/>
      <c r="AI239" s="18"/>
      <c r="AJ239" s="22"/>
      <c r="AK239" s="22"/>
      <c r="AL239" s="22"/>
    </row>
    <row r="240" spans="1:38" ht="18" customHeight="1">
      <c r="A240" s="16" t="s">
        <v>1292</v>
      </c>
      <c r="B240" s="13" t="s">
        <v>376</v>
      </c>
      <c r="C240" s="64" t="s">
        <v>179</v>
      </c>
      <c r="D240" s="16">
        <v>110354</v>
      </c>
      <c r="E240" s="16" t="s">
        <v>356</v>
      </c>
      <c r="F240" s="16">
        <v>616874</v>
      </c>
      <c r="G240" s="16">
        <v>1</v>
      </c>
      <c r="H240" s="18">
        <v>44475</v>
      </c>
      <c r="I240" s="19" t="s">
        <v>377</v>
      </c>
      <c r="J240" s="18">
        <v>44446</v>
      </c>
      <c r="K240" s="18">
        <v>45175</v>
      </c>
      <c r="L240" s="16" t="s">
        <v>95</v>
      </c>
      <c r="M240" s="19" t="s">
        <v>369</v>
      </c>
      <c r="N240" s="13" t="s">
        <v>377</v>
      </c>
      <c r="O240" s="13" t="s">
        <v>350</v>
      </c>
      <c r="P240" s="13" t="s">
        <v>351</v>
      </c>
      <c r="Q240" s="16">
        <v>1018845</v>
      </c>
      <c r="R240" s="16" t="s">
        <v>378</v>
      </c>
      <c r="S240" s="16" t="s">
        <v>378</v>
      </c>
      <c r="T240" s="13" t="s">
        <v>379</v>
      </c>
      <c r="U240" s="13" t="s">
        <v>380</v>
      </c>
      <c r="V240" s="20" t="s">
        <v>372</v>
      </c>
      <c r="W240" s="13"/>
      <c r="X240" s="13" t="s">
        <v>373</v>
      </c>
      <c r="Y240" s="13" t="s">
        <v>374</v>
      </c>
      <c r="Z240" s="13" t="s">
        <v>1244</v>
      </c>
      <c r="AA240" s="16"/>
      <c r="AB240" s="16" t="s">
        <v>1244</v>
      </c>
      <c r="AC240" s="18">
        <v>46006</v>
      </c>
      <c r="AD240" s="18">
        <v>46007</v>
      </c>
      <c r="AE240" s="18">
        <v>46007</v>
      </c>
      <c r="AF240" s="15"/>
      <c r="AG240" s="18"/>
      <c r="AH240" s="15"/>
      <c r="AI240" s="18"/>
      <c r="AJ240" s="22"/>
      <c r="AK240" s="22"/>
      <c r="AL240" s="22"/>
    </row>
    <row r="241" spans="1:38" ht="18" customHeight="1">
      <c r="A241" s="16" t="s">
        <v>1293</v>
      </c>
      <c r="B241" s="13" t="s">
        <v>382</v>
      </c>
      <c r="C241" s="64" t="s">
        <v>179</v>
      </c>
      <c r="D241" s="16" t="s">
        <v>38</v>
      </c>
      <c r="E241" s="16" t="s">
        <v>356</v>
      </c>
      <c r="F241" s="16" t="s">
        <v>356</v>
      </c>
      <c r="G241" s="16">
        <v>2</v>
      </c>
      <c r="H241" s="18">
        <v>44588</v>
      </c>
      <c r="I241" s="19" t="s">
        <v>383</v>
      </c>
      <c r="J241" s="18">
        <v>43060</v>
      </c>
      <c r="K241" s="18">
        <v>45981</v>
      </c>
      <c r="L241" s="16" t="s">
        <v>63</v>
      </c>
      <c r="M241" s="19" t="s">
        <v>38</v>
      </c>
      <c r="N241" s="13" t="s">
        <v>384</v>
      </c>
      <c r="O241" s="13" t="s">
        <v>350</v>
      </c>
      <c r="P241" s="13" t="s">
        <v>351</v>
      </c>
      <c r="Q241" s="16">
        <v>1018845</v>
      </c>
      <c r="R241" s="16" t="s">
        <v>38</v>
      </c>
      <c r="S241" s="16" t="s">
        <v>38</v>
      </c>
      <c r="T241" s="13" t="s">
        <v>385</v>
      </c>
      <c r="U241" s="13" t="s">
        <v>38</v>
      </c>
      <c r="V241" s="20" t="s">
        <v>360</v>
      </c>
      <c r="W241" s="13"/>
      <c r="X241" s="13" t="s">
        <v>38</v>
      </c>
      <c r="Y241" s="13" t="s">
        <v>361</v>
      </c>
      <c r="Z241" s="13" t="s">
        <v>1244</v>
      </c>
      <c r="AA241" s="16"/>
      <c r="AB241" s="16" t="s">
        <v>1244</v>
      </c>
      <c r="AC241" s="18">
        <v>46006</v>
      </c>
      <c r="AD241" s="18">
        <v>46007</v>
      </c>
      <c r="AE241" s="18">
        <v>46007</v>
      </c>
      <c r="AF241" s="15"/>
      <c r="AG241" s="18"/>
      <c r="AH241" s="15"/>
      <c r="AI241" s="18"/>
      <c r="AJ241" s="22"/>
      <c r="AK241" s="22"/>
      <c r="AL241" s="22"/>
    </row>
    <row r="242" spans="1:38" ht="18" customHeight="1">
      <c r="A242" s="16" t="s">
        <v>1294</v>
      </c>
      <c r="B242" s="13" t="s">
        <v>387</v>
      </c>
      <c r="C242" s="64" t="s">
        <v>179</v>
      </c>
      <c r="D242" s="16">
        <v>116032</v>
      </c>
      <c r="E242" s="16" t="s">
        <v>356</v>
      </c>
      <c r="F242" s="16">
        <v>623074</v>
      </c>
      <c r="G242" s="16">
        <v>0</v>
      </c>
      <c r="H242" s="18">
        <v>44629</v>
      </c>
      <c r="I242" s="19" t="s">
        <v>94</v>
      </c>
      <c r="J242" s="18">
        <v>44629</v>
      </c>
      <c r="K242" s="18">
        <v>46089</v>
      </c>
      <c r="L242" s="16" t="s">
        <v>95</v>
      </c>
      <c r="M242" s="19" t="s">
        <v>388</v>
      </c>
      <c r="N242" s="13" t="s">
        <v>94</v>
      </c>
      <c r="O242" s="13" t="s">
        <v>350</v>
      </c>
      <c r="P242" s="13" t="s">
        <v>351</v>
      </c>
      <c r="Q242" s="16">
        <v>1018845</v>
      </c>
      <c r="R242" s="16" t="s">
        <v>38</v>
      </c>
      <c r="S242" s="16" t="s">
        <v>38</v>
      </c>
      <c r="T242" s="13" t="s">
        <v>389</v>
      </c>
      <c r="U242" s="13" t="s">
        <v>390</v>
      </c>
      <c r="V242" s="20" t="s">
        <v>391</v>
      </c>
      <c r="W242" s="13"/>
      <c r="X242" s="13" t="s">
        <v>392</v>
      </c>
      <c r="Y242" s="13" t="s">
        <v>393</v>
      </c>
      <c r="Z242" s="13" t="s">
        <v>1244</v>
      </c>
      <c r="AA242" s="16"/>
      <c r="AB242" s="16" t="s">
        <v>1244</v>
      </c>
      <c r="AC242" s="18">
        <v>46006</v>
      </c>
      <c r="AD242" s="18">
        <v>46007</v>
      </c>
      <c r="AE242" s="18">
        <v>46007</v>
      </c>
      <c r="AF242" s="15"/>
      <c r="AG242" s="18"/>
      <c r="AH242" s="15"/>
      <c r="AI242" s="18"/>
      <c r="AJ242" s="22"/>
      <c r="AK242" s="22"/>
      <c r="AL242" s="22"/>
    </row>
    <row r="243" spans="1:38" ht="18" customHeight="1">
      <c r="A243" s="16" t="s">
        <v>1295</v>
      </c>
      <c r="B243" s="13" t="s">
        <v>395</v>
      </c>
      <c r="C243" s="64" t="s">
        <v>179</v>
      </c>
      <c r="D243" s="16">
        <v>128888</v>
      </c>
      <c r="E243" s="16" t="s">
        <v>356</v>
      </c>
      <c r="F243" s="16">
        <v>616874</v>
      </c>
      <c r="G243" s="16">
        <v>2</v>
      </c>
      <c r="H243" s="18">
        <v>44705</v>
      </c>
      <c r="I243" s="19" t="s">
        <v>377</v>
      </c>
      <c r="J243" s="18">
        <v>44446</v>
      </c>
      <c r="K243" s="18">
        <v>45175</v>
      </c>
      <c r="L243" s="16" t="s">
        <v>95</v>
      </c>
      <c r="M243" s="19" t="s">
        <v>369</v>
      </c>
      <c r="N243" s="13" t="s">
        <v>377</v>
      </c>
      <c r="O243" s="13" t="s">
        <v>350</v>
      </c>
      <c r="P243" s="13" t="s">
        <v>351</v>
      </c>
      <c r="Q243" s="16">
        <v>1018845</v>
      </c>
      <c r="R243" s="16">
        <v>1514288</v>
      </c>
      <c r="S243" s="16">
        <v>1514288</v>
      </c>
      <c r="T243" s="13" t="s">
        <v>396</v>
      </c>
      <c r="U243" s="13" t="s">
        <v>397</v>
      </c>
      <c r="V243" s="20" t="s">
        <v>372</v>
      </c>
      <c r="W243" s="13"/>
      <c r="X243" s="13" t="s">
        <v>373</v>
      </c>
      <c r="Y243" s="13" t="s">
        <v>374</v>
      </c>
      <c r="Z243" s="13" t="s">
        <v>1244</v>
      </c>
      <c r="AA243" s="16"/>
      <c r="AB243" s="16" t="s">
        <v>1244</v>
      </c>
      <c r="AC243" s="18">
        <v>46006</v>
      </c>
      <c r="AD243" s="18">
        <v>46007</v>
      </c>
      <c r="AE243" s="18">
        <v>46007</v>
      </c>
      <c r="AF243" s="15"/>
      <c r="AG243" s="18"/>
      <c r="AH243" s="15"/>
      <c r="AI243" s="18"/>
      <c r="AJ243" s="22"/>
      <c r="AK243" s="22"/>
      <c r="AL243" s="22"/>
    </row>
    <row r="244" spans="1:38" ht="18" customHeight="1">
      <c r="A244" s="16" t="s">
        <v>1296</v>
      </c>
      <c r="B244" s="13" t="s">
        <v>399</v>
      </c>
      <c r="C244" s="64" t="s">
        <v>179</v>
      </c>
      <c r="D244" s="16">
        <v>136627</v>
      </c>
      <c r="E244" s="16" t="s">
        <v>356</v>
      </c>
      <c r="F244" s="16">
        <v>623074</v>
      </c>
      <c r="G244" s="16">
        <v>1</v>
      </c>
      <c r="H244" s="18">
        <v>44827</v>
      </c>
      <c r="I244" s="19" t="s">
        <v>116</v>
      </c>
      <c r="J244" s="18">
        <v>44629</v>
      </c>
      <c r="K244" s="18">
        <v>46089</v>
      </c>
      <c r="L244" s="16" t="s">
        <v>95</v>
      </c>
      <c r="M244" s="19" t="s">
        <v>388</v>
      </c>
      <c r="N244" s="13" t="s">
        <v>117</v>
      </c>
      <c r="O244" s="13" t="s">
        <v>350</v>
      </c>
      <c r="P244" s="13" t="s">
        <v>351</v>
      </c>
      <c r="Q244" s="16">
        <v>1018845</v>
      </c>
      <c r="R244" s="16" t="s">
        <v>38</v>
      </c>
      <c r="S244" s="16" t="s">
        <v>38</v>
      </c>
      <c r="T244" s="13" t="s">
        <v>400</v>
      </c>
      <c r="U244" s="13" t="s">
        <v>390</v>
      </c>
      <c r="V244" s="20" t="s">
        <v>401</v>
      </c>
      <c r="W244" s="13"/>
      <c r="X244" s="13" t="s">
        <v>392</v>
      </c>
      <c r="Y244" s="13" t="s">
        <v>393</v>
      </c>
      <c r="Z244" s="13" t="s">
        <v>1244</v>
      </c>
      <c r="AA244" s="16"/>
      <c r="AB244" s="16" t="s">
        <v>1244</v>
      </c>
      <c r="AC244" s="18">
        <v>46006</v>
      </c>
      <c r="AD244" s="18">
        <v>46007</v>
      </c>
      <c r="AE244" s="18">
        <v>46007</v>
      </c>
      <c r="AF244" s="15"/>
      <c r="AG244" s="18"/>
      <c r="AH244" s="15"/>
      <c r="AI244" s="18"/>
      <c r="AJ244" s="22"/>
      <c r="AK244" s="22"/>
      <c r="AL244" s="22"/>
    </row>
    <row r="245" spans="1:38" ht="18" customHeight="1">
      <c r="A245" s="16" t="s">
        <v>1297</v>
      </c>
      <c r="B245" s="13" t="s">
        <v>408</v>
      </c>
      <c r="C245" s="64" t="s">
        <v>179</v>
      </c>
      <c r="D245" s="16">
        <v>146334</v>
      </c>
      <c r="E245" s="16" t="s">
        <v>356</v>
      </c>
      <c r="F245" s="16">
        <v>634604</v>
      </c>
      <c r="G245" s="16">
        <v>0</v>
      </c>
      <c r="H245" s="18">
        <v>44974</v>
      </c>
      <c r="I245" s="19" t="s">
        <v>94</v>
      </c>
      <c r="J245" s="18">
        <v>44974</v>
      </c>
      <c r="K245" s="18">
        <v>45338</v>
      </c>
      <c r="L245" s="16" t="s">
        <v>95</v>
      </c>
      <c r="M245" s="19" t="s">
        <v>409</v>
      </c>
      <c r="N245" s="13" t="s">
        <v>94</v>
      </c>
      <c r="O245" s="13" t="s">
        <v>350</v>
      </c>
      <c r="P245" s="13" t="s">
        <v>351</v>
      </c>
      <c r="Q245" s="16">
        <v>1018845</v>
      </c>
      <c r="R245" s="16" t="s">
        <v>38</v>
      </c>
      <c r="S245" s="16" t="s">
        <v>38</v>
      </c>
      <c r="T245" s="13" t="s">
        <v>408</v>
      </c>
      <c r="U245" s="13" t="s">
        <v>410</v>
      </c>
      <c r="V245" s="20" t="s">
        <v>243</v>
      </c>
      <c r="W245" s="13"/>
      <c r="X245" s="13" t="s">
        <v>411</v>
      </c>
      <c r="Y245" s="13" t="s">
        <v>412</v>
      </c>
      <c r="Z245" s="13" t="s">
        <v>1244</v>
      </c>
      <c r="AA245" s="16"/>
      <c r="AB245" s="16" t="s">
        <v>1244</v>
      </c>
      <c r="AC245" s="18">
        <v>46006</v>
      </c>
      <c r="AD245" s="18">
        <v>46007</v>
      </c>
      <c r="AE245" s="18">
        <v>46007</v>
      </c>
      <c r="AF245" s="15"/>
      <c r="AG245" s="18"/>
      <c r="AH245" s="15"/>
      <c r="AI245" s="18"/>
      <c r="AJ245" s="22"/>
      <c r="AK245" s="22"/>
      <c r="AL245" s="22"/>
    </row>
    <row r="246" spans="1:38" ht="18" customHeight="1">
      <c r="A246" s="16" t="s">
        <v>1298</v>
      </c>
      <c r="B246" s="13" t="s">
        <v>414</v>
      </c>
      <c r="C246" s="64" t="s">
        <v>179</v>
      </c>
      <c r="D246" s="16">
        <v>152195</v>
      </c>
      <c r="E246" s="16" t="s">
        <v>356</v>
      </c>
      <c r="F246" s="16">
        <v>623074</v>
      </c>
      <c r="G246" s="16">
        <v>2</v>
      </c>
      <c r="H246" s="18">
        <v>45014</v>
      </c>
      <c r="I246" s="19" t="s">
        <v>415</v>
      </c>
      <c r="J246" s="18">
        <v>44629</v>
      </c>
      <c r="K246" s="18">
        <v>46089</v>
      </c>
      <c r="L246" s="16" t="s">
        <v>95</v>
      </c>
      <c r="M246" s="19" t="s">
        <v>388</v>
      </c>
      <c r="N246" s="13" t="s">
        <v>117</v>
      </c>
      <c r="O246" s="13" t="s">
        <v>350</v>
      </c>
      <c r="P246" s="13" t="s">
        <v>351</v>
      </c>
      <c r="Q246" s="16">
        <v>1018845</v>
      </c>
      <c r="R246" s="16" t="s">
        <v>38</v>
      </c>
      <c r="S246" s="16" t="s">
        <v>38</v>
      </c>
      <c r="T246" s="13" t="s">
        <v>416</v>
      </c>
      <c r="U246" s="13" t="s">
        <v>390</v>
      </c>
      <c r="V246" s="20" t="s">
        <v>391</v>
      </c>
      <c r="W246" s="13"/>
      <c r="X246" s="13" t="s">
        <v>392</v>
      </c>
      <c r="Y246" s="13" t="s">
        <v>393</v>
      </c>
      <c r="Z246" s="13" t="s">
        <v>1244</v>
      </c>
      <c r="AA246" s="16"/>
      <c r="AB246" s="16" t="s">
        <v>1244</v>
      </c>
      <c r="AC246" s="18">
        <v>46006</v>
      </c>
      <c r="AD246" s="18">
        <v>46007</v>
      </c>
      <c r="AE246" s="18">
        <v>46007</v>
      </c>
      <c r="AF246" s="15"/>
      <c r="AG246" s="18"/>
      <c r="AH246" s="15"/>
      <c r="AI246" s="18"/>
      <c r="AJ246" s="22"/>
      <c r="AK246" s="22"/>
      <c r="AL246" s="22"/>
    </row>
    <row r="247" spans="1:38" ht="18" customHeight="1">
      <c r="A247" s="16" t="s">
        <v>1299</v>
      </c>
      <c r="B247" s="13" t="s">
        <v>417</v>
      </c>
      <c r="C247" s="64" t="s">
        <v>179</v>
      </c>
      <c r="D247" s="16" t="s">
        <v>38</v>
      </c>
      <c r="E247" s="16" t="s">
        <v>356</v>
      </c>
      <c r="F247" s="16" t="s">
        <v>356</v>
      </c>
      <c r="G247" s="16">
        <v>3</v>
      </c>
      <c r="H247" s="18">
        <v>45006</v>
      </c>
      <c r="I247" s="19" t="s">
        <v>67</v>
      </c>
      <c r="J247" s="18">
        <v>43060</v>
      </c>
      <c r="K247" s="18">
        <v>45981</v>
      </c>
      <c r="L247" s="16" t="s">
        <v>63</v>
      </c>
      <c r="M247" s="19" t="s">
        <v>38</v>
      </c>
      <c r="N247" s="13" t="s">
        <v>365</v>
      </c>
      <c r="O247" s="13" t="s">
        <v>350</v>
      </c>
      <c r="P247" s="13" t="s">
        <v>351</v>
      </c>
      <c r="Q247" s="16">
        <v>1018845</v>
      </c>
      <c r="R247" s="16" t="s">
        <v>38</v>
      </c>
      <c r="S247" s="16" t="s">
        <v>38</v>
      </c>
      <c r="T247" s="13" t="s">
        <v>417</v>
      </c>
      <c r="U247" s="13" t="s">
        <v>38</v>
      </c>
      <c r="V247" s="20" t="s">
        <v>360</v>
      </c>
      <c r="W247" s="13"/>
      <c r="X247" s="13" t="s">
        <v>38</v>
      </c>
      <c r="Y247" s="13" t="s">
        <v>361</v>
      </c>
      <c r="Z247" s="13" t="s">
        <v>1244</v>
      </c>
      <c r="AA247" s="16"/>
      <c r="AB247" s="16" t="s">
        <v>1244</v>
      </c>
      <c r="AC247" s="18">
        <v>46006</v>
      </c>
      <c r="AD247" s="18">
        <v>46007</v>
      </c>
      <c r="AE247" s="18">
        <v>46007</v>
      </c>
      <c r="AF247" s="15"/>
      <c r="AG247" s="18"/>
      <c r="AH247" s="15"/>
      <c r="AI247" s="18"/>
      <c r="AJ247" s="22"/>
      <c r="AK247" s="22"/>
      <c r="AL247" s="22"/>
    </row>
    <row r="248" spans="1:38" ht="18" customHeight="1">
      <c r="A248" s="16" t="s">
        <v>1300</v>
      </c>
      <c r="B248" s="13" t="s">
        <v>418</v>
      </c>
      <c r="C248" s="64" t="s">
        <v>179</v>
      </c>
      <c r="D248" s="16">
        <v>156648</v>
      </c>
      <c r="E248" s="16" t="s">
        <v>356</v>
      </c>
      <c r="F248" s="16">
        <v>616874</v>
      </c>
      <c r="G248" s="16">
        <v>3</v>
      </c>
      <c r="H248" s="18">
        <v>45176</v>
      </c>
      <c r="I248" s="19" t="s">
        <v>419</v>
      </c>
      <c r="J248" s="18">
        <v>44446</v>
      </c>
      <c r="K248" s="18">
        <v>45906</v>
      </c>
      <c r="L248" s="16" t="s">
        <v>95</v>
      </c>
      <c r="M248" s="19" t="s">
        <v>369</v>
      </c>
      <c r="N248" s="13" t="s">
        <v>117</v>
      </c>
      <c r="O248" s="13" t="s">
        <v>350</v>
      </c>
      <c r="P248" s="13" t="s">
        <v>351</v>
      </c>
      <c r="Q248" s="16">
        <v>1018845</v>
      </c>
      <c r="R248" s="16" t="s">
        <v>38</v>
      </c>
      <c r="S248" s="16" t="s">
        <v>38</v>
      </c>
      <c r="T248" s="13" t="s">
        <v>420</v>
      </c>
      <c r="U248" s="13" t="s">
        <v>397</v>
      </c>
      <c r="V248" s="20" t="s">
        <v>372</v>
      </c>
      <c r="W248" s="13"/>
      <c r="X248" s="13" t="s">
        <v>373</v>
      </c>
      <c r="Y248" s="13" t="s">
        <v>421</v>
      </c>
      <c r="Z248" s="13" t="s">
        <v>1244</v>
      </c>
      <c r="AA248" s="16"/>
      <c r="AB248" s="16" t="s">
        <v>1244</v>
      </c>
      <c r="AC248" s="18">
        <v>46006</v>
      </c>
      <c r="AD248" s="18">
        <v>46007</v>
      </c>
      <c r="AE248" s="18">
        <v>46007</v>
      </c>
      <c r="AF248" s="15"/>
      <c r="AG248" s="18"/>
      <c r="AH248" s="15"/>
      <c r="AI248" s="18"/>
      <c r="AJ248" s="22"/>
      <c r="AK248" s="22"/>
      <c r="AL248" s="22"/>
    </row>
    <row r="249" spans="1:38" ht="18" customHeight="1">
      <c r="A249" s="16" t="s">
        <v>1301</v>
      </c>
      <c r="B249" s="13" t="s">
        <v>422</v>
      </c>
      <c r="C249" s="64" t="s">
        <v>179</v>
      </c>
      <c r="D249" s="16">
        <v>163474</v>
      </c>
      <c r="E249" s="16" t="s">
        <v>356</v>
      </c>
      <c r="F249" s="16">
        <v>623074</v>
      </c>
      <c r="G249" s="16">
        <v>3</v>
      </c>
      <c r="H249" s="18">
        <v>44832</v>
      </c>
      <c r="I249" s="19" t="s">
        <v>423</v>
      </c>
      <c r="J249" s="18">
        <v>44629</v>
      </c>
      <c r="K249" s="18">
        <v>46089</v>
      </c>
      <c r="L249" s="16" t="s">
        <v>95</v>
      </c>
      <c r="M249" s="19" t="s">
        <v>388</v>
      </c>
      <c r="N249" s="13" t="s">
        <v>117</v>
      </c>
      <c r="O249" s="13" t="s">
        <v>350</v>
      </c>
      <c r="P249" s="13" t="s">
        <v>351</v>
      </c>
      <c r="Q249" s="16">
        <v>1018845</v>
      </c>
      <c r="R249" s="16" t="s">
        <v>38</v>
      </c>
      <c r="S249" s="16" t="s">
        <v>38</v>
      </c>
      <c r="T249" s="13" t="s">
        <v>424</v>
      </c>
      <c r="U249" s="13" t="s">
        <v>390</v>
      </c>
      <c r="V249" s="20" t="s">
        <v>391</v>
      </c>
      <c r="W249" s="13"/>
      <c r="X249" s="13" t="s">
        <v>392</v>
      </c>
      <c r="Y249" s="13" t="s">
        <v>393</v>
      </c>
      <c r="Z249" s="13" t="s">
        <v>1244</v>
      </c>
      <c r="AA249" s="16"/>
      <c r="AB249" s="16" t="s">
        <v>1244</v>
      </c>
      <c r="AC249" s="18">
        <v>46006</v>
      </c>
      <c r="AD249" s="18">
        <v>46007</v>
      </c>
      <c r="AE249" s="18">
        <v>46007</v>
      </c>
      <c r="AF249" s="15"/>
      <c r="AG249" s="18"/>
      <c r="AH249" s="15"/>
      <c r="AI249" s="18"/>
      <c r="AJ249" s="22"/>
      <c r="AK249" s="22"/>
      <c r="AL249" s="22"/>
    </row>
    <row r="250" spans="1:38" ht="18" customHeight="1">
      <c r="A250" s="16" t="s">
        <v>1302</v>
      </c>
      <c r="B250" s="13" t="s">
        <v>425</v>
      </c>
      <c r="C250" s="64" t="s">
        <v>179</v>
      </c>
      <c r="D250" s="16" t="s">
        <v>38</v>
      </c>
      <c r="E250" s="16" t="s">
        <v>356</v>
      </c>
      <c r="F250" s="16" t="s">
        <v>38</v>
      </c>
      <c r="G250" s="16">
        <v>0</v>
      </c>
      <c r="H250" s="18">
        <v>45292</v>
      </c>
      <c r="I250" s="19" t="s">
        <v>426</v>
      </c>
      <c r="J250" s="18">
        <v>45292</v>
      </c>
      <c r="K250" s="18">
        <v>46022</v>
      </c>
      <c r="L250" s="16" t="s">
        <v>54</v>
      </c>
      <c r="M250" s="19" t="s">
        <v>427</v>
      </c>
      <c r="N250" s="13" t="s">
        <v>94</v>
      </c>
      <c r="O250" s="13" t="s">
        <v>350</v>
      </c>
      <c r="P250" s="13" t="s">
        <v>351</v>
      </c>
      <c r="Q250" s="16">
        <v>1018845</v>
      </c>
      <c r="R250" s="16" t="s">
        <v>428</v>
      </c>
      <c r="S250" s="16" t="s">
        <v>428</v>
      </c>
      <c r="T250" s="13" t="s">
        <v>429</v>
      </c>
      <c r="U250" s="13" t="s">
        <v>430</v>
      </c>
      <c r="V250" s="20" t="s">
        <v>391</v>
      </c>
      <c r="W250" s="13"/>
      <c r="X250" s="13" t="s">
        <v>431</v>
      </c>
      <c r="Y250" s="13" t="s">
        <v>432</v>
      </c>
      <c r="Z250" s="13" t="s">
        <v>1244</v>
      </c>
      <c r="AA250" s="16"/>
      <c r="AB250" s="16" t="s">
        <v>1244</v>
      </c>
      <c r="AC250" s="18">
        <v>46006</v>
      </c>
      <c r="AD250" s="18">
        <v>46007</v>
      </c>
      <c r="AE250" s="18">
        <v>46007</v>
      </c>
      <c r="AF250" s="15"/>
      <c r="AG250" s="18"/>
      <c r="AH250" s="15"/>
      <c r="AI250" s="18"/>
      <c r="AJ250" s="22"/>
      <c r="AK250" s="22"/>
      <c r="AL250" s="22"/>
    </row>
    <row r="251" spans="1:38" ht="18" customHeight="1">
      <c r="A251" s="16" t="s">
        <v>1303</v>
      </c>
      <c r="B251" s="13" t="s">
        <v>433</v>
      </c>
      <c r="C251" s="64" t="s">
        <v>179</v>
      </c>
      <c r="D251" s="16">
        <v>177624</v>
      </c>
      <c r="E251" s="16" t="s">
        <v>356</v>
      </c>
      <c r="F251" s="16">
        <v>25739</v>
      </c>
      <c r="G251" s="16">
        <v>0</v>
      </c>
      <c r="H251" s="18">
        <v>45338</v>
      </c>
      <c r="I251" s="19" t="s">
        <v>434</v>
      </c>
      <c r="J251" s="18">
        <v>45338</v>
      </c>
      <c r="K251" s="18">
        <v>46434</v>
      </c>
      <c r="L251" s="16" t="s">
        <v>95</v>
      </c>
      <c r="M251" s="19" t="s">
        <v>435</v>
      </c>
      <c r="N251" s="13" t="s">
        <v>94</v>
      </c>
      <c r="O251" s="13" t="s">
        <v>350</v>
      </c>
      <c r="P251" s="13" t="s">
        <v>351</v>
      </c>
      <c r="Q251" s="16">
        <v>1018845</v>
      </c>
      <c r="R251" s="16" t="s">
        <v>436</v>
      </c>
      <c r="S251" s="16" t="s">
        <v>436</v>
      </c>
      <c r="T251" s="13" t="s">
        <v>437</v>
      </c>
      <c r="U251" s="13" t="s">
        <v>438</v>
      </c>
      <c r="V251" s="20" t="s">
        <v>391</v>
      </c>
      <c r="W251" s="13"/>
      <c r="X251" s="13" t="s">
        <v>439</v>
      </c>
      <c r="Y251" s="13" t="s">
        <v>440</v>
      </c>
      <c r="Z251" s="13" t="s">
        <v>1244</v>
      </c>
      <c r="AA251" s="16"/>
      <c r="AB251" s="16" t="s">
        <v>1244</v>
      </c>
      <c r="AC251" s="18">
        <v>46006</v>
      </c>
      <c r="AD251" s="18">
        <v>46007</v>
      </c>
      <c r="AE251" s="18">
        <v>46007</v>
      </c>
      <c r="AF251" s="15"/>
      <c r="AG251" s="18"/>
      <c r="AH251" s="15"/>
      <c r="AI251" s="18"/>
      <c r="AJ251" s="22"/>
      <c r="AK251" s="22"/>
      <c r="AL251" s="22"/>
    </row>
    <row r="252" spans="1:38" ht="18" customHeight="1">
      <c r="A252" s="16" t="s">
        <v>1304</v>
      </c>
      <c r="B252" s="13" t="s">
        <v>441</v>
      </c>
      <c r="C252" s="64" t="s">
        <v>179</v>
      </c>
      <c r="D252" s="16">
        <v>175670</v>
      </c>
      <c r="E252" s="16" t="s">
        <v>356</v>
      </c>
      <c r="F252" s="16">
        <v>634604</v>
      </c>
      <c r="G252" s="16">
        <v>1</v>
      </c>
      <c r="H252" s="18">
        <v>45338</v>
      </c>
      <c r="I252" s="19" t="s">
        <v>442</v>
      </c>
      <c r="J252" s="18">
        <v>44974</v>
      </c>
      <c r="K252" s="18">
        <v>46069</v>
      </c>
      <c r="L252" s="16" t="s">
        <v>95</v>
      </c>
      <c r="M252" s="19" t="s">
        <v>409</v>
      </c>
      <c r="N252" s="13" t="s">
        <v>117</v>
      </c>
      <c r="O252" s="13" t="s">
        <v>350</v>
      </c>
      <c r="P252" s="13" t="s">
        <v>351</v>
      </c>
      <c r="Q252" s="16">
        <v>1018845</v>
      </c>
      <c r="R252" s="16" t="s">
        <v>428</v>
      </c>
      <c r="S252" s="16" t="s">
        <v>428</v>
      </c>
      <c r="T252" s="13" t="s">
        <v>443</v>
      </c>
      <c r="U252" s="13" t="s">
        <v>410</v>
      </c>
      <c r="V252" s="20" t="s">
        <v>137</v>
      </c>
      <c r="W252" s="13"/>
      <c r="X252" s="13" t="s">
        <v>444</v>
      </c>
      <c r="Y252" s="13" t="s">
        <v>412</v>
      </c>
      <c r="Z252" s="13" t="s">
        <v>1244</v>
      </c>
      <c r="AA252" s="16"/>
      <c r="AB252" s="16" t="s">
        <v>1244</v>
      </c>
      <c r="AC252" s="18">
        <v>46006</v>
      </c>
      <c r="AD252" s="18">
        <v>46007</v>
      </c>
      <c r="AE252" s="18">
        <v>46007</v>
      </c>
      <c r="AF252" s="15"/>
      <c r="AG252" s="18"/>
      <c r="AH252" s="15"/>
      <c r="AI252" s="18"/>
      <c r="AJ252" s="22"/>
      <c r="AK252" s="22"/>
      <c r="AL252" s="22"/>
    </row>
    <row r="253" spans="1:38" ht="18" customHeight="1">
      <c r="A253" s="16" t="s">
        <v>1305</v>
      </c>
      <c r="B253" s="13" t="s">
        <v>445</v>
      </c>
      <c r="C253" s="64" t="s">
        <v>179</v>
      </c>
      <c r="D253" s="16" t="s">
        <v>446</v>
      </c>
      <c r="E253" s="16" t="s">
        <v>356</v>
      </c>
      <c r="F253" s="16">
        <v>623074</v>
      </c>
      <c r="G253" s="16">
        <v>4</v>
      </c>
      <c r="H253" s="18">
        <v>45392</v>
      </c>
      <c r="I253" s="19" t="s">
        <v>447</v>
      </c>
      <c r="J253" s="18">
        <v>44629</v>
      </c>
      <c r="K253" s="18">
        <v>46089</v>
      </c>
      <c r="L253" s="16" t="s">
        <v>95</v>
      </c>
      <c r="M253" s="19" t="s">
        <v>388</v>
      </c>
      <c r="N253" s="13" t="s">
        <v>117</v>
      </c>
      <c r="O253" s="13" t="s">
        <v>350</v>
      </c>
      <c r="P253" s="13" t="s">
        <v>351</v>
      </c>
      <c r="Q253" s="16">
        <v>1018845</v>
      </c>
      <c r="R253" s="16" t="s">
        <v>38</v>
      </c>
      <c r="S253" s="16" t="s">
        <v>38</v>
      </c>
      <c r="T253" s="13" t="s">
        <v>448</v>
      </c>
      <c r="U253" s="13" t="s">
        <v>390</v>
      </c>
      <c r="V253" s="20" t="s">
        <v>391</v>
      </c>
      <c r="W253" s="13"/>
      <c r="X253" s="13" t="s">
        <v>392</v>
      </c>
      <c r="Y253" s="13" t="s">
        <v>393</v>
      </c>
      <c r="Z253" s="13" t="s">
        <v>1244</v>
      </c>
      <c r="AA253" s="16"/>
      <c r="AB253" s="16" t="s">
        <v>1244</v>
      </c>
      <c r="AC253" s="18">
        <v>46006</v>
      </c>
      <c r="AD253" s="18">
        <v>46007</v>
      </c>
      <c r="AE253" s="18">
        <v>46007</v>
      </c>
      <c r="AF253" s="15"/>
      <c r="AG253" s="18"/>
      <c r="AH253" s="15"/>
      <c r="AI253" s="18"/>
      <c r="AJ253" s="22"/>
      <c r="AK253" s="22"/>
      <c r="AL253" s="22"/>
    </row>
    <row r="254" spans="1:38" ht="18" customHeight="1">
      <c r="A254" s="16" t="s">
        <v>1306</v>
      </c>
      <c r="B254" s="13" t="s">
        <v>449</v>
      </c>
      <c r="C254" s="64" t="s">
        <v>179</v>
      </c>
      <c r="D254" s="16" t="s">
        <v>450</v>
      </c>
      <c r="E254" s="16" t="s">
        <v>356</v>
      </c>
      <c r="F254" s="16">
        <v>623074</v>
      </c>
      <c r="G254" s="16">
        <v>5</v>
      </c>
      <c r="H254" s="18">
        <v>45530</v>
      </c>
      <c r="I254" s="19" t="s">
        <v>451</v>
      </c>
      <c r="J254" s="18">
        <v>44629</v>
      </c>
      <c r="K254" s="18">
        <v>46089</v>
      </c>
      <c r="L254" s="16" t="s">
        <v>95</v>
      </c>
      <c r="M254" s="19" t="s">
        <v>388</v>
      </c>
      <c r="N254" s="13" t="s">
        <v>117</v>
      </c>
      <c r="O254" s="13" t="s">
        <v>350</v>
      </c>
      <c r="P254" s="13" t="s">
        <v>351</v>
      </c>
      <c r="Q254" s="16">
        <v>1018845</v>
      </c>
      <c r="R254" s="16" t="s">
        <v>38</v>
      </c>
      <c r="S254" s="16" t="s">
        <v>38</v>
      </c>
      <c r="T254" s="13" t="s">
        <v>452</v>
      </c>
      <c r="U254" s="13" t="s">
        <v>390</v>
      </c>
      <c r="V254" s="20" t="s">
        <v>391</v>
      </c>
      <c r="W254" s="13"/>
      <c r="X254" s="13" t="s">
        <v>392</v>
      </c>
      <c r="Y254" s="13" t="s">
        <v>393</v>
      </c>
      <c r="Z254" s="13" t="s">
        <v>1244</v>
      </c>
      <c r="AA254" s="16"/>
      <c r="AB254" s="16" t="s">
        <v>1244</v>
      </c>
      <c r="AC254" s="18">
        <v>46006</v>
      </c>
      <c r="AD254" s="18">
        <v>46007</v>
      </c>
      <c r="AE254" s="18">
        <v>46007</v>
      </c>
      <c r="AF254" s="15"/>
      <c r="AG254" s="18"/>
      <c r="AH254" s="15"/>
      <c r="AI254" s="18"/>
      <c r="AJ254" s="22"/>
      <c r="AK254" s="22"/>
      <c r="AL254" s="22"/>
    </row>
    <row r="255" spans="1:38" ht="18" customHeight="1">
      <c r="A255" s="16" t="s">
        <v>1307</v>
      </c>
      <c r="B255" s="13" t="s">
        <v>453</v>
      </c>
      <c r="C255" s="64" t="s">
        <v>179</v>
      </c>
      <c r="D255" s="16" t="s">
        <v>454</v>
      </c>
      <c r="E255" s="16" t="s">
        <v>356</v>
      </c>
      <c r="F255" s="16">
        <v>647338</v>
      </c>
      <c r="G255" s="16">
        <v>1</v>
      </c>
      <c r="H255" s="18">
        <v>45561</v>
      </c>
      <c r="I255" s="19" t="s">
        <v>455</v>
      </c>
      <c r="J255" s="18">
        <v>45338</v>
      </c>
      <c r="K255" s="18">
        <v>46434</v>
      </c>
      <c r="L255" s="16" t="s">
        <v>95</v>
      </c>
      <c r="M255" s="19" t="s">
        <v>435</v>
      </c>
      <c r="N255" s="13" t="s">
        <v>117</v>
      </c>
      <c r="O255" s="13" t="s">
        <v>350</v>
      </c>
      <c r="P255" s="13" t="s">
        <v>351</v>
      </c>
      <c r="Q255" s="16">
        <v>1018845</v>
      </c>
      <c r="R255" s="16" t="s">
        <v>436</v>
      </c>
      <c r="S255" s="16" t="s">
        <v>436</v>
      </c>
      <c r="T255" s="13" t="s">
        <v>456</v>
      </c>
      <c r="U255" s="13" t="s">
        <v>438</v>
      </c>
      <c r="V255" s="20" t="s">
        <v>391</v>
      </c>
      <c r="W255" s="13"/>
      <c r="X255" s="13" t="s">
        <v>439</v>
      </c>
      <c r="Y255" s="13" t="s">
        <v>457</v>
      </c>
      <c r="Z255" s="13" t="s">
        <v>1244</v>
      </c>
      <c r="AA255" s="16"/>
      <c r="AB255" s="16" t="s">
        <v>1244</v>
      </c>
      <c r="AC255" s="18">
        <v>46006</v>
      </c>
      <c r="AD255" s="18">
        <v>46007</v>
      </c>
      <c r="AE255" s="18">
        <v>46007</v>
      </c>
      <c r="AF255" s="15"/>
      <c r="AG255" s="18"/>
      <c r="AH255" s="15"/>
      <c r="AI255" s="18"/>
      <c r="AJ255" s="22"/>
      <c r="AK255" s="22"/>
      <c r="AL255" s="22"/>
    </row>
    <row r="256" spans="1:38" ht="18" customHeight="1">
      <c r="A256" s="16" t="s">
        <v>1308</v>
      </c>
      <c r="B256" s="13" t="s">
        <v>458</v>
      </c>
      <c r="C256" s="64" t="s">
        <v>179</v>
      </c>
      <c r="D256" s="16" t="s">
        <v>459</v>
      </c>
      <c r="E256" s="16" t="s">
        <v>356</v>
      </c>
      <c r="F256" s="16">
        <v>623074</v>
      </c>
      <c r="G256" s="16">
        <v>6</v>
      </c>
      <c r="H256" s="18">
        <v>45561</v>
      </c>
      <c r="I256" s="19" t="s">
        <v>460</v>
      </c>
      <c r="J256" s="18">
        <v>44629</v>
      </c>
      <c r="K256" s="18">
        <v>46089</v>
      </c>
      <c r="L256" s="16" t="s">
        <v>95</v>
      </c>
      <c r="M256" s="19" t="s">
        <v>388</v>
      </c>
      <c r="N256" s="13" t="s">
        <v>117</v>
      </c>
      <c r="O256" s="13" t="s">
        <v>350</v>
      </c>
      <c r="P256" s="13" t="s">
        <v>351</v>
      </c>
      <c r="Q256" s="16">
        <v>1018845</v>
      </c>
      <c r="R256" s="16" t="s">
        <v>38</v>
      </c>
      <c r="S256" s="16" t="s">
        <v>38</v>
      </c>
      <c r="T256" s="13" t="s">
        <v>461</v>
      </c>
      <c r="U256" s="13" t="s">
        <v>390</v>
      </c>
      <c r="V256" s="20" t="s">
        <v>391</v>
      </c>
      <c r="W256" s="13"/>
      <c r="X256" s="13" t="s">
        <v>392</v>
      </c>
      <c r="Y256" s="13" t="s">
        <v>393</v>
      </c>
      <c r="Z256" s="13" t="s">
        <v>1244</v>
      </c>
      <c r="AA256" s="16"/>
      <c r="AB256" s="16" t="s">
        <v>1244</v>
      </c>
      <c r="AC256" s="18">
        <v>46006</v>
      </c>
      <c r="AD256" s="18">
        <v>46007</v>
      </c>
      <c r="AE256" s="18">
        <v>46007</v>
      </c>
      <c r="AF256" s="15"/>
      <c r="AG256" s="18"/>
      <c r="AH256" s="15"/>
      <c r="AI256" s="18"/>
      <c r="AJ256" s="22"/>
      <c r="AK256" s="22"/>
      <c r="AL256" s="22"/>
    </row>
    <row r="257" spans="1:38" ht="18" customHeight="1">
      <c r="A257" s="16" t="s">
        <v>1309</v>
      </c>
      <c r="B257" s="13" t="s">
        <v>462</v>
      </c>
      <c r="C257" s="64" t="s">
        <v>179</v>
      </c>
      <c r="D257" s="16" t="s">
        <v>463</v>
      </c>
      <c r="E257" s="16" t="s">
        <v>356</v>
      </c>
      <c r="F257" s="16">
        <v>634604</v>
      </c>
      <c r="G257" s="16">
        <v>2</v>
      </c>
      <c r="H257" s="18">
        <v>45597</v>
      </c>
      <c r="I257" s="19" t="s">
        <v>442</v>
      </c>
      <c r="J257" s="18">
        <v>44974</v>
      </c>
      <c r="K257" s="18">
        <v>45338</v>
      </c>
      <c r="L257" s="16" t="s">
        <v>95</v>
      </c>
      <c r="M257" s="19" t="s">
        <v>409</v>
      </c>
      <c r="N257" s="13" t="s">
        <v>117</v>
      </c>
      <c r="O257" s="13" t="s">
        <v>350</v>
      </c>
      <c r="P257" s="13" t="s">
        <v>351</v>
      </c>
      <c r="Q257" s="16">
        <v>1018845</v>
      </c>
      <c r="R257" s="16" t="s">
        <v>436</v>
      </c>
      <c r="S257" s="16" t="s">
        <v>436</v>
      </c>
      <c r="T257" s="13" t="s">
        <v>464</v>
      </c>
      <c r="U257" s="13" t="s">
        <v>410</v>
      </c>
      <c r="V257" s="20" t="s">
        <v>465</v>
      </c>
      <c r="W257" s="13"/>
      <c r="X257" s="13" t="s">
        <v>444</v>
      </c>
      <c r="Y257" s="13" t="s">
        <v>412</v>
      </c>
      <c r="Z257" s="13" t="s">
        <v>1244</v>
      </c>
      <c r="AA257" s="16"/>
      <c r="AB257" s="16" t="s">
        <v>1244</v>
      </c>
      <c r="AC257" s="18">
        <v>46006</v>
      </c>
      <c r="AD257" s="18">
        <v>46007</v>
      </c>
      <c r="AE257" s="18">
        <v>46007</v>
      </c>
      <c r="AF257" s="15"/>
      <c r="AG257" s="18"/>
      <c r="AH257" s="15"/>
      <c r="AI257" s="18"/>
      <c r="AJ257" s="22"/>
      <c r="AK257" s="22"/>
      <c r="AL257" s="22"/>
    </row>
    <row r="258" spans="1:38" ht="18" customHeight="1">
      <c r="A258" s="16" t="s">
        <v>1310</v>
      </c>
      <c r="B258" s="13" t="s">
        <v>475</v>
      </c>
      <c r="C258" s="64" t="s">
        <v>179</v>
      </c>
      <c r="D258" s="16" t="s">
        <v>476</v>
      </c>
      <c r="E258" s="16" t="s">
        <v>356</v>
      </c>
      <c r="F258" s="16" t="s">
        <v>477</v>
      </c>
      <c r="G258" s="16">
        <v>0</v>
      </c>
      <c r="H258" s="18">
        <v>45701</v>
      </c>
      <c r="I258" s="19" t="s">
        <v>478</v>
      </c>
      <c r="J258" s="18">
        <v>45701</v>
      </c>
      <c r="K258" s="18">
        <v>47527</v>
      </c>
      <c r="L258" s="16" t="s">
        <v>54</v>
      </c>
      <c r="M258" s="19" t="s">
        <v>479</v>
      </c>
      <c r="N258" s="13" t="s">
        <v>94</v>
      </c>
      <c r="O258" s="13" t="s">
        <v>350</v>
      </c>
      <c r="P258" s="13" t="s">
        <v>351</v>
      </c>
      <c r="Q258" s="16">
        <v>1018845</v>
      </c>
      <c r="R258" s="16" t="s">
        <v>405</v>
      </c>
      <c r="S258" s="16" t="s">
        <v>405</v>
      </c>
      <c r="T258" s="13" t="s">
        <v>480</v>
      </c>
      <c r="U258" s="13" t="s">
        <v>481</v>
      </c>
      <c r="V258" s="20" t="s">
        <v>482</v>
      </c>
      <c r="W258" s="13"/>
      <c r="X258" s="13" t="s">
        <v>483</v>
      </c>
      <c r="Y258" s="13" t="s">
        <v>484</v>
      </c>
      <c r="Z258" s="13" t="s">
        <v>1244</v>
      </c>
      <c r="AA258" s="16"/>
      <c r="AB258" s="16" t="s">
        <v>1244</v>
      </c>
      <c r="AC258" s="18">
        <v>46006</v>
      </c>
      <c r="AD258" s="18">
        <v>46007</v>
      </c>
      <c r="AE258" s="18">
        <v>46007</v>
      </c>
      <c r="AF258" s="15"/>
      <c r="AG258" s="18"/>
      <c r="AH258" s="15"/>
      <c r="AI258" s="18"/>
      <c r="AJ258" s="22"/>
      <c r="AK258" s="22"/>
      <c r="AL258" s="22"/>
    </row>
    <row r="259" spans="1:38" ht="18" customHeight="1">
      <c r="A259" s="16" t="s">
        <v>1311</v>
      </c>
      <c r="B259" s="13" t="s">
        <v>485</v>
      </c>
      <c r="C259" s="64" t="s">
        <v>179</v>
      </c>
      <c r="D259" s="16" t="s">
        <v>487</v>
      </c>
      <c r="E259" s="16" t="s">
        <v>356</v>
      </c>
      <c r="F259" s="16" t="s">
        <v>38</v>
      </c>
      <c r="G259" s="16">
        <v>0</v>
      </c>
      <c r="H259" s="18">
        <v>45740</v>
      </c>
      <c r="I259" s="19" t="s">
        <v>488</v>
      </c>
      <c r="J259" s="18">
        <v>45740</v>
      </c>
      <c r="K259" s="18">
        <v>46469</v>
      </c>
      <c r="L259" s="16" t="s">
        <v>95</v>
      </c>
      <c r="M259" s="19" t="s">
        <v>134</v>
      </c>
      <c r="N259" s="13" t="s">
        <v>94</v>
      </c>
      <c r="O259" s="13" t="s">
        <v>350</v>
      </c>
      <c r="P259" s="13" t="s">
        <v>351</v>
      </c>
      <c r="Q259" s="16">
        <v>1018845</v>
      </c>
      <c r="R259" s="16" t="s">
        <v>489</v>
      </c>
      <c r="S259" s="16" t="s">
        <v>489</v>
      </c>
      <c r="T259" s="13" t="s">
        <v>490</v>
      </c>
      <c r="U259" s="13" t="s">
        <v>491</v>
      </c>
      <c r="V259" s="20" t="s">
        <v>137</v>
      </c>
      <c r="W259" s="13"/>
      <c r="X259" s="13" t="s">
        <v>492</v>
      </c>
      <c r="Y259" s="13" t="s">
        <v>493</v>
      </c>
      <c r="Z259" s="13" t="s">
        <v>1244</v>
      </c>
      <c r="AA259" s="16"/>
      <c r="AB259" s="16" t="s">
        <v>1244</v>
      </c>
      <c r="AC259" s="18">
        <v>46006</v>
      </c>
      <c r="AD259" s="18">
        <v>46007</v>
      </c>
      <c r="AE259" s="18">
        <v>46007</v>
      </c>
      <c r="AF259" s="15"/>
      <c r="AG259" s="18"/>
      <c r="AH259" s="15"/>
      <c r="AI259" s="18"/>
      <c r="AJ259" s="22"/>
      <c r="AK259" s="22"/>
      <c r="AL259" s="22"/>
    </row>
    <row r="260" spans="1:38" ht="18" customHeight="1">
      <c r="A260" s="16" t="s">
        <v>1312</v>
      </c>
      <c r="B260" s="13" t="s">
        <v>495</v>
      </c>
      <c r="C260" s="64" t="s">
        <v>179</v>
      </c>
      <c r="D260" s="16" t="s">
        <v>38</v>
      </c>
      <c r="E260" s="16" t="s">
        <v>356</v>
      </c>
      <c r="F260" s="16" t="s">
        <v>477</v>
      </c>
      <c r="G260" s="16">
        <v>1</v>
      </c>
      <c r="H260" s="18">
        <v>45749</v>
      </c>
      <c r="I260" s="19" t="s">
        <v>496</v>
      </c>
      <c r="J260" s="18">
        <v>45701</v>
      </c>
      <c r="K260" s="18">
        <v>47527</v>
      </c>
      <c r="L260" s="16" t="s">
        <v>54</v>
      </c>
      <c r="M260" s="19" t="s">
        <v>479</v>
      </c>
      <c r="N260" s="13" t="s">
        <v>117</v>
      </c>
      <c r="O260" s="13" t="s">
        <v>350</v>
      </c>
      <c r="P260" s="13" t="s">
        <v>351</v>
      </c>
      <c r="Q260" s="16">
        <v>1018845</v>
      </c>
      <c r="R260" s="16">
        <v>2932</v>
      </c>
      <c r="S260" s="16">
        <v>2932</v>
      </c>
      <c r="T260" s="13" t="s">
        <v>497</v>
      </c>
      <c r="U260" s="13" t="s">
        <v>481</v>
      </c>
      <c r="V260" s="20" t="s">
        <v>482</v>
      </c>
      <c r="W260" s="13"/>
      <c r="X260" s="13" t="s">
        <v>498</v>
      </c>
      <c r="Y260" s="13" t="s">
        <v>499</v>
      </c>
      <c r="Z260" s="13" t="s">
        <v>1244</v>
      </c>
      <c r="AA260" s="16"/>
      <c r="AB260" s="16" t="s">
        <v>1244</v>
      </c>
      <c r="AC260" s="18">
        <v>46006</v>
      </c>
      <c r="AD260" s="18">
        <v>46007</v>
      </c>
      <c r="AE260" s="18">
        <v>46007</v>
      </c>
      <c r="AF260" s="15"/>
      <c r="AG260" s="18"/>
      <c r="AH260" s="15"/>
      <c r="AI260" s="18"/>
      <c r="AJ260" s="22"/>
      <c r="AK260" s="22"/>
      <c r="AL260" s="22"/>
    </row>
    <row r="261" spans="1:38" ht="18" customHeight="1">
      <c r="A261" s="16" t="s">
        <v>1313</v>
      </c>
      <c r="B261" s="13" t="s">
        <v>501</v>
      </c>
      <c r="C261" s="64" t="s">
        <v>179</v>
      </c>
      <c r="D261" s="16" t="s">
        <v>502</v>
      </c>
      <c r="E261" s="16" t="s">
        <v>356</v>
      </c>
      <c r="F261" s="16">
        <v>661394</v>
      </c>
      <c r="G261" s="16">
        <v>0</v>
      </c>
      <c r="H261" s="18">
        <v>45791</v>
      </c>
      <c r="I261" s="19" t="s">
        <v>94</v>
      </c>
      <c r="J261" s="18">
        <v>45791</v>
      </c>
      <c r="K261" s="18">
        <v>46904</v>
      </c>
      <c r="L261" s="16" t="s">
        <v>54</v>
      </c>
      <c r="M261" s="19" t="s">
        <v>503</v>
      </c>
      <c r="N261" s="13" t="s">
        <v>94</v>
      </c>
      <c r="O261" s="13" t="s">
        <v>350</v>
      </c>
      <c r="P261" s="13" t="s">
        <v>351</v>
      </c>
      <c r="Q261" s="16">
        <v>1018845</v>
      </c>
      <c r="R261" s="16" t="s">
        <v>504</v>
      </c>
      <c r="S261" s="16" t="s">
        <v>504</v>
      </c>
      <c r="T261" s="13" t="s">
        <v>505</v>
      </c>
      <c r="U261" s="13" t="s">
        <v>506</v>
      </c>
      <c r="V261" s="20" t="s">
        <v>316</v>
      </c>
      <c r="W261" s="13"/>
      <c r="X261" s="13" t="s">
        <v>507</v>
      </c>
      <c r="Y261" s="13" t="s">
        <v>508</v>
      </c>
      <c r="Z261" s="13" t="s">
        <v>1244</v>
      </c>
      <c r="AA261" s="16"/>
      <c r="AB261" s="16" t="s">
        <v>1244</v>
      </c>
      <c r="AC261" s="18">
        <v>46006</v>
      </c>
      <c r="AD261" s="18">
        <v>46007</v>
      </c>
      <c r="AE261" s="18">
        <v>46007</v>
      </c>
      <c r="AF261" s="15"/>
      <c r="AG261" s="18"/>
      <c r="AH261" s="15"/>
      <c r="AI261" s="18"/>
      <c r="AJ261" s="22"/>
      <c r="AK261" s="22"/>
      <c r="AL261" s="22"/>
    </row>
    <row r="262" spans="1:38" ht="18" customHeight="1">
      <c r="A262" s="16" t="s">
        <v>1314</v>
      </c>
      <c r="B262" s="13" t="s">
        <v>510</v>
      </c>
      <c r="C262" s="64" t="s">
        <v>179</v>
      </c>
      <c r="D262" s="16" t="s">
        <v>511</v>
      </c>
      <c r="E262" s="16" t="s">
        <v>356</v>
      </c>
      <c r="F262" s="16" t="s">
        <v>38</v>
      </c>
      <c r="G262" s="16">
        <v>0</v>
      </c>
      <c r="H262" s="18">
        <v>45845</v>
      </c>
      <c r="I262" s="19" t="s">
        <v>512</v>
      </c>
      <c r="J262" s="18">
        <v>45845</v>
      </c>
      <c r="K262" s="18">
        <v>46574</v>
      </c>
      <c r="L262" s="16" t="s">
        <v>322</v>
      </c>
      <c r="M262" s="19" t="s">
        <v>513</v>
      </c>
      <c r="N262" s="13" t="s">
        <v>94</v>
      </c>
      <c r="O262" s="13" t="s">
        <v>350</v>
      </c>
      <c r="P262" s="13" t="s">
        <v>351</v>
      </c>
      <c r="Q262" s="16">
        <v>1018845</v>
      </c>
      <c r="R262" s="16" t="s">
        <v>514</v>
      </c>
      <c r="S262" s="16" t="s">
        <v>514</v>
      </c>
      <c r="T262" s="13" t="s">
        <v>515</v>
      </c>
      <c r="U262" s="13" t="s">
        <v>516</v>
      </c>
      <c r="V262" s="20" t="s">
        <v>517</v>
      </c>
      <c r="W262" s="13"/>
      <c r="X262" s="13" t="s">
        <v>518</v>
      </c>
      <c r="Y262" s="13" t="s">
        <v>519</v>
      </c>
      <c r="Z262" s="13" t="s">
        <v>1244</v>
      </c>
      <c r="AA262" s="16"/>
      <c r="AB262" s="16" t="s">
        <v>1244</v>
      </c>
      <c r="AC262" s="18">
        <v>46006</v>
      </c>
      <c r="AD262" s="18">
        <v>46007</v>
      </c>
      <c r="AE262" s="18">
        <v>46007</v>
      </c>
      <c r="AF262" s="15"/>
      <c r="AG262" s="18"/>
      <c r="AH262" s="15"/>
      <c r="AI262" s="18"/>
      <c r="AJ262" s="22"/>
      <c r="AK262" s="22"/>
      <c r="AL262" s="22"/>
    </row>
    <row r="263" spans="1:38" ht="18" customHeight="1">
      <c r="A263" s="16" t="s">
        <v>1315</v>
      </c>
      <c r="B263" s="13" t="s">
        <v>526</v>
      </c>
      <c r="C263" s="64" t="s">
        <v>179</v>
      </c>
      <c r="D263" s="16" t="s">
        <v>527</v>
      </c>
      <c r="E263" s="16" t="s">
        <v>356</v>
      </c>
      <c r="F263" s="16" t="s">
        <v>38</v>
      </c>
      <c r="G263" s="16">
        <v>0</v>
      </c>
      <c r="H263" s="18">
        <v>45866</v>
      </c>
      <c r="I263" s="19" t="s">
        <v>94</v>
      </c>
      <c r="J263" s="18">
        <v>45866</v>
      </c>
      <c r="K263" s="18">
        <v>46965</v>
      </c>
      <c r="L263" s="16" t="s">
        <v>54</v>
      </c>
      <c r="M263" s="19" t="s">
        <v>528</v>
      </c>
      <c r="N263" s="13" t="s">
        <v>94</v>
      </c>
      <c r="O263" s="13" t="s">
        <v>350</v>
      </c>
      <c r="P263" s="13" t="s">
        <v>351</v>
      </c>
      <c r="Q263" s="16">
        <v>1018845</v>
      </c>
      <c r="R263" s="16" t="s">
        <v>529</v>
      </c>
      <c r="S263" s="16" t="s">
        <v>529</v>
      </c>
      <c r="T263" s="13" t="s">
        <v>530</v>
      </c>
      <c r="U263" s="13" t="s">
        <v>531</v>
      </c>
      <c r="V263" s="20" t="s">
        <v>532</v>
      </c>
      <c r="W263" s="13"/>
      <c r="X263" s="13"/>
      <c r="Y263" s="13" t="s">
        <v>533</v>
      </c>
      <c r="Z263" s="13" t="s">
        <v>1244</v>
      </c>
      <c r="AA263" s="16"/>
      <c r="AB263" s="16" t="s">
        <v>1244</v>
      </c>
      <c r="AC263" s="18">
        <v>46006</v>
      </c>
      <c r="AD263" s="18">
        <v>46007</v>
      </c>
      <c r="AE263" s="18">
        <v>46007</v>
      </c>
      <c r="AF263" s="15"/>
      <c r="AG263" s="18"/>
      <c r="AH263" s="15"/>
      <c r="AI263" s="18"/>
      <c r="AJ263" s="22"/>
      <c r="AK263" s="22"/>
      <c r="AL263" s="22"/>
    </row>
    <row r="264" spans="1:38" ht="18" customHeight="1">
      <c r="A264" s="16" t="s">
        <v>1316</v>
      </c>
      <c r="B264" s="13" t="s">
        <v>535</v>
      </c>
      <c r="C264" s="64" t="s">
        <v>179</v>
      </c>
      <c r="D264" s="16" t="s">
        <v>536</v>
      </c>
      <c r="E264" s="16" t="s">
        <v>356</v>
      </c>
      <c r="F264" s="16">
        <v>616874</v>
      </c>
      <c r="G264" s="16">
        <v>4</v>
      </c>
      <c r="H264" s="18">
        <v>45906</v>
      </c>
      <c r="I264" s="19" t="s">
        <v>116</v>
      </c>
      <c r="J264" s="18">
        <v>44446</v>
      </c>
      <c r="K264" s="18">
        <v>45967</v>
      </c>
      <c r="L264" s="16" t="s">
        <v>95</v>
      </c>
      <c r="M264" s="19" t="s">
        <v>369</v>
      </c>
      <c r="N264" s="13" t="s">
        <v>537</v>
      </c>
      <c r="O264" s="13" t="s">
        <v>350</v>
      </c>
      <c r="P264" s="13" t="s">
        <v>351</v>
      </c>
      <c r="Q264" s="16">
        <v>1018845</v>
      </c>
      <c r="R264" s="16" t="s">
        <v>38</v>
      </c>
      <c r="S264" s="16" t="s">
        <v>38</v>
      </c>
      <c r="T264" s="13" t="s">
        <v>538</v>
      </c>
      <c r="U264" s="13" t="s">
        <v>371</v>
      </c>
      <c r="V264" s="20" t="s">
        <v>372</v>
      </c>
      <c r="W264" s="13"/>
      <c r="X264" s="13" t="s">
        <v>373</v>
      </c>
      <c r="Y264" s="13" t="s">
        <v>374</v>
      </c>
      <c r="Z264" s="13" t="s">
        <v>1244</v>
      </c>
      <c r="AA264" s="16"/>
      <c r="AB264" s="16" t="s">
        <v>1244</v>
      </c>
      <c r="AC264" s="18">
        <v>46006</v>
      </c>
      <c r="AD264" s="18">
        <v>46007</v>
      </c>
      <c r="AE264" s="18">
        <v>46007</v>
      </c>
      <c r="AF264" s="15"/>
      <c r="AG264" s="18"/>
      <c r="AH264" s="15"/>
      <c r="AI264" s="18"/>
      <c r="AJ264" s="22"/>
      <c r="AK264" s="22"/>
      <c r="AL264" s="22"/>
    </row>
    <row r="265" spans="1:38" ht="18" customHeight="1">
      <c r="A265" s="16" t="s">
        <v>1317</v>
      </c>
      <c r="B265" s="13" t="s">
        <v>540</v>
      </c>
      <c r="C265" s="64" t="s">
        <v>179</v>
      </c>
      <c r="D265" s="16" t="s">
        <v>502</v>
      </c>
      <c r="E265" s="16" t="s">
        <v>356</v>
      </c>
      <c r="F265" s="16">
        <v>661394</v>
      </c>
      <c r="G265" s="16">
        <v>1</v>
      </c>
      <c r="H265" s="18">
        <v>45947</v>
      </c>
      <c r="I265" s="19" t="s">
        <v>116</v>
      </c>
      <c r="J265" s="18">
        <v>45791</v>
      </c>
      <c r="K265" s="18">
        <v>46904</v>
      </c>
      <c r="L265" s="16" t="s">
        <v>54</v>
      </c>
      <c r="M265" s="19" t="s">
        <v>503</v>
      </c>
      <c r="N265" s="13" t="s">
        <v>537</v>
      </c>
      <c r="O265" s="13" t="s">
        <v>350</v>
      </c>
      <c r="P265" s="13" t="s">
        <v>351</v>
      </c>
      <c r="Q265" s="16">
        <v>1018845</v>
      </c>
      <c r="R265" s="16" t="s">
        <v>504</v>
      </c>
      <c r="S265" s="16" t="s">
        <v>504</v>
      </c>
      <c r="T265" s="13" t="s">
        <v>541</v>
      </c>
      <c r="U265" s="13" t="s">
        <v>506</v>
      </c>
      <c r="V265" s="20" t="s">
        <v>542</v>
      </c>
      <c r="W265" s="13"/>
      <c r="X265" s="13" t="s">
        <v>507</v>
      </c>
      <c r="Y265" s="13" t="s">
        <v>508</v>
      </c>
      <c r="Z265" s="13" t="s">
        <v>1244</v>
      </c>
      <c r="AA265" s="16"/>
      <c r="AB265" s="16" t="s">
        <v>1244</v>
      </c>
      <c r="AC265" s="18">
        <v>46006</v>
      </c>
      <c r="AD265" s="18">
        <v>46007</v>
      </c>
      <c r="AE265" s="18">
        <v>46007</v>
      </c>
      <c r="AF265" s="15"/>
      <c r="AG265" s="18"/>
      <c r="AH265" s="15"/>
      <c r="AI265" s="18"/>
      <c r="AJ265" s="22"/>
      <c r="AK265" s="22"/>
      <c r="AL265" s="22"/>
    </row>
    <row r="266" spans="1:38" ht="18" customHeight="1">
      <c r="A266" s="16" t="s">
        <v>1318</v>
      </c>
      <c r="B266" s="13" t="s">
        <v>543</v>
      </c>
      <c r="C266" s="64" t="s">
        <v>179</v>
      </c>
      <c r="D266" s="16" t="s">
        <v>38</v>
      </c>
      <c r="E266" s="16" t="s">
        <v>356</v>
      </c>
      <c r="F266" s="16">
        <v>662781</v>
      </c>
      <c r="G266" s="16">
        <v>0</v>
      </c>
      <c r="H266" s="18">
        <v>45870</v>
      </c>
      <c r="I266" s="19" t="s">
        <v>94</v>
      </c>
      <c r="J266" s="18">
        <v>45870</v>
      </c>
      <c r="K266" s="18">
        <v>46599</v>
      </c>
      <c r="L266" s="16" t="s">
        <v>42</v>
      </c>
      <c r="M266" s="19" t="s">
        <v>544</v>
      </c>
      <c r="N266" s="13" t="s">
        <v>94</v>
      </c>
      <c r="O266" s="13" t="s">
        <v>350</v>
      </c>
      <c r="P266" s="13" t="s">
        <v>351</v>
      </c>
      <c r="Q266" s="16">
        <v>1018845</v>
      </c>
      <c r="R266" s="16" t="s">
        <v>545</v>
      </c>
      <c r="S266" s="16" t="s">
        <v>545</v>
      </c>
      <c r="T266" s="13" t="s">
        <v>546</v>
      </c>
      <c r="U266" s="13" t="s">
        <v>547</v>
      </c>
      <c r="V266" s="20" t="s">
        <v>517</v>
      </c>
      <c r="W266" s="13"/>
      <c r="X266" s="13" t="s">
        <v>548</v>
      </c>
      <c r="Y266" s="13" t="s">
        <v>549</v>
      </c>
      <c r="Z266" s="13" t="s">
        <v>1244</v>
      </c>
      <c r="AA266" s="16"/>
      <c r="AB266" s="16" t="s">
        <v>1244</v>
      </c>
      <c r="AC266" s="18">
        <v>46006</v>
      </c>
      <c r="AD266" s="18">
        <v>46007</v>
      </c>
      <c r="AE266" s="18">
        <v>46007</v>
      </c>
      <c r="AF266" s="15"/>
      <c r="AG266" s="18"/>
      <c r="AH266" s="15"/>
      <c r="AI266" s="18"/>
      <c r="AJ266" s="22"/>
      <c r="AK266" s="22"/>
      <c r="AL266" s="22"/>
    </row>
    <row r="267" spans="1:38" ht="18" customHeight="1">
      <c r="A267" s="16" t="s">
        <v>1319</v>
      </c>
      <c r="B267" s="13" t="s">
        <v>550</v>
      </c>
      <c r="C267" s="64" t="s">
        <v>179</v>
      </c>
      <c r="D267" s="16">
        <v>239413</v>
      </c>
      <c r="E267" s="16" t="s">
        <v>356</v>
      </c>
      <c r="F267" s="16">
        <v>616874</v>
      </c>
      <c r="G267" s="16">
        <v>5</v>
      </c>
      <c r="H267" s="18">
        <v>45967</v>
      </c>
      <c r="I267" s="19" t="s">
        <v>551</v>
      </c>
      <c r="J267" s="18">
        <v>44446</v>
      </c>
      <c r="K267" s="18">
        <v>46028</v>
      </c>
      <c r="L267" s="16" t="s">
        <v>95</v>
      </c>
      <c r="M267" s="19" t="s">
        <v>369</v>
      </c>
      <c r="N267" s="13" t="s">
        <v>537</v>
      </c>
      <c r="O267" s="13" t="s">
        <v>350</v>
      </c>
      <c r="P267" s="13" t="s">
        <v>351</v>
      </c>
      <c r="Q267" s="16">
        <v>1018845</v>
      </c>
      <c r="R267" s="16" t="s">
        <v>38</v>
      </c>
      <c r="S267" s="16" t="s">
        <v>38</v>
      </c>
      <c r="T267" s="13" t="s">
        <v>552</v>
      </c>
      <c r="U267" s="13" t="s">
        <v>371</v>
      </c>
      <c r="V267" s="20" t="s">
        <v>372</v>
      </c>
      <c r="W267" s="13"/>
      <c r="X267" s="13" t="s">
        <v>373</v>
      </c>
      <c r="Y267" s="13" t="s">
        <v>374</v>
      </c>
      <c r="Z267" s="13" t="s">
        <v>1244</v>
      </c>
      <c r="AA267" s="16"/>
      <c r="AB267" s="16" t="s">
        <v>1244</v>
      </c>
      <c r="AC267" s="18">
        <v>46006</v>
      </c>
      <c r="AD267" s="18">
        <v>46007</v>
      </c>
      <c r="AE267" s="18">
        <v>46007</v>
      </c>
      <c r="AF267" s="15"/>
      <c r="AG267" s="18"/>
      <c r="AH267" s="15"/>
      <c r="AI267" s="18"/>
      <c r="AJ267" s="22"/>
      <c r="AK267" s="22"/>
      <c r="AL267" s="22"/>
    </row>
    <row r="268" spans="1:38" ht="18" customHeight="1">
      <c r="A268" s="16" t="s">
        <v>1320</v>
      </c>
      <c r="B268" s="13" t="s">
        <v>466</v>
      </c>
      <c r="C268" s="64" t="s">
        <v>179</v>
      </c>
      <c r="D268" s="16" t="s">
        <v>467</v>
      </c>
      <c r="E268" s="16" t="s">
        <v>356</v>
      </c>
      <c r="F268" s="16" t="s">
        <v>38</v>
      </c>
      <c r="G268" s="16">
        <v>0</v>
      </c>
      <c r="H268" s="18">
        <v>45658</v>
      </c>
      <c r="I268" s="19" t="s">
        <v>468</v>
      </c>
      <c r="J268" s="18">
        <v>45658</v>
      </c>
      <c r="K268" s="18">
        <v>46387</v>
      </c>
      <c r="L268" s="16" t="s">
        <v>54</v>
      </c>
      <c r="M268" s="19" t="s">
        <v>469</v>
      </c>
      <c r="N268" s="13" t="s">
        <v>94</v>
      </c>
      <c r="O268" s="13" t="s">
        <v>350</v>
      </c>
      <c r="P268" s="13" t="s">
        <v>351</v>
      </c>
      <c r="Q268" s="16">
        <v>1018845</v>
      </c>
      <c r="R268" s="16" t="s">
        <v>470</v>
      </c>
      <c r="S268" s="16" t="s">
        <v>470</v>
      </c>
      <c r="T268" s="13" t="s">
        <v>471</v>
      </c>
      <c r="U268" s="13" t="s">
        <v>472</v>
      </c>
      <c r="V268" s="20" t="s">
        <v>391</v>
      </c>
      <c r="W268" s="13"/>
      <c r="X268" s="13" t="s">
        <v>473</v>
      </c>
      <c r="Y268" s="13" t="s">
        <v>474</v>
      </c>
      <c r="Z268" s="13" t="s">
        <v>1244</v>
      </c>
      <c r="AA268" s="16"/>
      <c r="AB268" s="16" t="s">
        <v>1244</v>
      </c>
      <c r="AC268" s="18">
        <v>46006</v>
      </c>
      <c r="AD268" s="18">
        <v>46007</v>
      </c>
      <c r="AE268" s="18">
        <v>46007</v>
      </c>
      <c r="AF268" s="15"/>
      <c r="AG268" s="18"/>
      <c r="AH268" s="15"/>
      <c r="AI268" s="18"/>
      <c r="AJ268" s="22"/>
      <c r="AK268" s="22"/>
      <c r="AL268" s="22"/>
    </row>
    <row r="269" spans="1:38" ht="18" customHeight="1">
      <c r="A269" s="16" t="s">
        <v>1321</v>
      </c>
      <c r="B269" s="13" t="s">
        <v>521</v>
      </c>
      <c r="C269" s="64" t="s">
        <v>179</v>
      </c>
      <c r="D269" s="16" t="s">
        <v>522</v>
      </c>
      <c r="E269" s="16" t="s">
        <v>356</v>
      </c>
      <c r="F269" s="16" t="s">
        <v>356</v>
      </c>
      <c r="G269" s="16">
        <v>4</v>
      </c>
      <c r="H269" s="18">
        <v>45852</v>
      </c>
      <c r="I269" s="19" t="s">
        <v>523</v>
      </c>
      <c r="J269" s="18">
        <v>43060</v>
      </c>
      <c r="K269" s="18">
        <v>47087</v>
      </c>
      <c r="L269" s="16" t="s">
        <v>63</v>
      </c>
      <c r="M269" s="19" t="s">
        <v>38</v>
      </c>
      <c r="N269" s="13" t="s">
        <v>524</v>
      </c>
      <c r="O269" s="13" t="s">
        <v>350</v>
      </c>
      <c r="P269" s="13" t="s">
        <v>351</v>
      </c>
      <c r="Q269" s="16">
        <v>1018845</v>
      </c>
      <c r="R269" s="16" t="s">
        <v>38</v>
      </c>
      <c r="S269" s="16" t="s">
        <v>38</v>
      </c>
      <c r="T269" s="13" t="s">
        <v>521</v>
      </c>
      <c r="U269" s="13" t="s">
        <v>525</v>
      </c>
      <c r="V269" s="20" t="s">
        <v>360</v>
      </c>
      <c r="W269" s="13"/>
      <c r="X269" s="13" t="s">
        <v>38</v>
      </c>
      <c r="Y269" s="13" t="s">
        <v>361</v>
      </c>
      <c r="Z269" s="13" t="s">
        <v>1244</v>
      </c>
      <c r="AA269" s="16"/>
      <c r="AB269" s="16" t="s">
        <v>1244</v>
      </c>
      <c r="AC269" s="18">
        <v>46006</v>
      </c>
      <c r="AD269" s="18">
        <v>46007</v>
      </c>
      <c r="AE269" s="18">
        <v>46007</v>
      </c>
      <c r="AF269" s="15"/>
      <c r="AG269" s="18"/>
      <c r="AH269" s="15"/>
      <c r="AI269" s="18"/>
      <c r="AJ269" s="22"/>
      <c r="AK269" s="22"/>
      <c r="AL269" s="22"/>
    </row>
    <row r="270" spans="1:38" ht="18" customHeight="1">
      <c r="A270" s="16" t="s">
        <v>1322</v>
      </c>
      <c r="B270" s="13" t="s">
        <v>553</v>
      </c>
      <c r="C270" s="64" t="s">
        <v>486</v>
      </c>
      <c r="D270" s="16" t="s">
        <v>38</v>
      </c>
      <c r="E270" s="16" t="s">
        <v>554</v>
      </c>
      <c r="F270" s="16" t="s">
        <v>554</v>
      </c>
      <c r="G270" s="28">
        <v>0</v>
      </c>
      <c r="H270" s="18">
        <v>43466</v>
      </c>
      <c r="I270" s="24" t="s">
        <v>1323</v>
      </c>
      <c r="J270" s="18">
        <v>43466</v>
      </c>
      <c r="K270" s="18">
        <v>45291</v>
      </c>
      <c r="L270" s="19" t="s">
        <v>63</v>
      </c>
      <c r="M270" s="19" t="s">
        <v>38</v>
      </c>
      <c r="N270" s="13" t="s">
        <v>555</v>
      </c>
      <c r="O270" s="13" t="s">
        <v>525</v>
      </c>
      <c r="P270" s="13" t="s">
        <v>351</v>
      </c>
      <c r="Q270" s="16">
        <v>1018845</v>
      </c>
      <c r="R270" s="16"/>
      <c r="S270" s="16"/>
      <c r="T270" s="13" t="s">
        <v>553</v>
      </c>
      <c r="U270" s="13"/>
      <c r="V270" s="20" t="s">
        <v>38</v>
      </c>
      <c r="W270" s="13"/>
      <c r="X270" s="13" t="s">
        <v>38</v>
      </c>
      <c r="Y270" s="13" t="s">
        <v>38</v>
      </c>
      <c r="Z270" s="51" t="s">
        <v>1244</v>
      </c>
      <c r="AA270" s="16"/>
      <c r="AB270" s="16" t="s">
        <v>1244</v>
      </c>
      <c r="AC270" s="18">
        <v>46006</v>
      </c>
      <c r="AD270" s="18">
        <v>46007</v>
      </c>
      <c r="AE270" s="18">
        <v>46007</v>
      </c>
      <c r="AF270" s="15"/>
      <c r="AG270" s="18"/>
      <c r="AH270" s="15"/>
      <c r="AI270" s="18"/>
      <c r="AJ270" s="22"/>
      <c r="AK270" s="22"/>
      <c r="AL270" s="22"/>
    </row>
    <row r="271" spans="1:38" ht="18" customHeight="1">
      <c r="A271" s="16" t="s">
        <v>1324</v>
      </c>
      <c r="B271" s="13" t="s">
        <v>560</v>
      </c>
      <c r="C271" s="64" t="s">
        <v>486</v>
      </c>
      <c r="D271" s="16" t="s">
        <v>38</v>
      </c>
      <c r="E271" s="16" t="s">
        <v>554</v>
      </c>
      <c r="F271" s="16" t="s">
        <v>554</v>
      </c>
      <c r="G271" s="16">
        <v>0</v>
      </c>
      <c r="H271" s="18">
        <v>44439</v>
      </c>
      <c r="I271" s="24" t="s">
        <v>561</v>
      </c>
      <c r="J271" s="18">
        <v>44074</v>
      </c>
      <c r="K271" s="18">
        <v>44803</v>
      </c>
      <c r="L271" s="19" t="s">
        <v>322</v>
      </c>
      <c r="M271" s="19" t="s">
        <v>38</v>
      </c>
      <c r="N271" s="13" t="s">
        <v>562</v>
      </c>
      <c r="O271" s="13" t="s">
        <v>350</v>
      </c>
      <c r="P271" s="13" t="s">
        <v>351</v>
      </c>
      <c r="Q271" s="16">
        <v>1018845</v>
      </c>
      <c r="R271" s="16"/>
      <c r="S271" s="16"/>
      <c r="T271" s="13" t="s">
        <v>1325</v>
      </c>
      <c r="U271" s="13"/>
      <c r="V271" s="20" t="s">
        <v>38</v>
      </c>
      <c r="W271" s="13"/>
      <c r="X271" s="13"/>
      <c r="Y271" s="20" t="s">
        <v>1326</v>
      </c>
      <c r="Z271" s="51" t="s">
        <v>1244</v>
      </c>
      <c r="AA271" s="16"/>
      <c r="AB271" s="16" t="s">
        <v>1244</v>
      </c>
      <c r="AC271" s="18">
        <v>46006</v>
      </c>
      <c r="AD271" s="18">
        <v>46007</v>
      </c>
      <c r="AE271" s="18">
        <v>46007</v>
      </c>
      <c r="AF271" s="15"/>
      <c r="AG271" s="18"/>
      <c r="AH271" s="15"/>
      <c r="AI271" s="18"/>
      <c r="AJ271" s="22"/>
      <c r="AK271" s="22"/>
      <c r="AL271" s="22"/>
    </row>
    <row r="272" spans="1:38" ht="18" customHeight="1">
      <c r="A272" s="16" t="s">
        <v>1327</v>
      </c>
      <c r="B272" s="13" t="s">
        <v>567</v>
      </c>
      <c r="C272" s="64" t="s">
        <v>486</v>
      </c>
      <c r="D272" s="16" t="s">
        <v>38</v>
      </c>
      <c r="E272" s="16" t="s">
        <v>554</v>
      </c>
      <c r="F272" s="16" t="s">
        <v>554</v>
      </c>
      <c r="G272" s="16">
        <v>1</v>
      </c>
      <c r="H272" s="18">
        <v>45006</v>
      </c>
      <c r="I272" s="19" t="s">
        <v>67</v>
      </c>
      <c r="J272" s="18">
        <v>43466</v>
      </c>
      <c r="K272" s="18">
        <v>45291</v>
      </c>
      <c r="L272" s="19" t="s">
        <v>63</v>
      </c>
      <c r="M272" s="19" t="s">
        <v>38</v>
      </c>
      <c r="N272" s="13" t="s">
        <v>568</v>
      </c>
      <c r="O272" s="13" t="s">
        <v>350</v>
      </c>
      <c r="P272" s="13" t="s">
        <v>556</v>
      </c>
      <c r="Q272" s="16">
        <v>1018845</v>
      </c>
      <c r="R272" s="16"/>
      <c r="S272" s="16"/>
      <c r="T272" s="13" t="s">
        <v>567</v>
      </c>
      <c r="U272" s="20"/>
      <c r="V272" s="20" t="s">
        <v>38</v>
      </c>
      <c r="W272" s="13"/>
      <c r="X272" s="13" t="s">
        <v>38</v>
      </c>
      <c r="Y272" s="13" t="s">
        <v>38</v>
      </c>
      <c r="Z272" s="51" t="s">
        <v>1244</v>
      </c>
      <c r="AA272" s="16"/>
      <c r="AB272" s="16" t="s">
        <v>1244</v>
      </c>
      <c r="AC272" s="18">
        <v>46006</v>
      </c>
      <c r="AD272" s="18">
        <v>46007</v>
      </c>
      <c r="AE272" s="18">
        <v>46007</v>
      </c>
      <c r="AF272" s="15"/>
      <c r="AG272" s="18"/>
      <c r="AH272" s="15"/>
      <c r="AI272" s="18"/>
      <c r="AJ272" s="22"/>
      <c r="AK272" s="22"/>
      <c r="AL272" s="22"/>
    </row>
    <row r="273" spans="1:38" ht="18" customHeight="1">
      <c r="A273" s="16" t="s">
        <v>1328</v>
      </c>
      <c r="B273" s="13" t="s">
        <v>570</v>
      </c>
      <c r="C273" s="64" t="s">
        <v>486</v>
      </c>
      <c r="D273" s="16" t="s">
        <v>571</v>
      </c>
      <c r="E273" s="16" t="s">
        <v>554</v>
      </c>
      <c r="F273" s="16" t="s">
        <v>38</v>
      </c>
      <c r="G273" s="16">
        <v>2</v>
      </c>
      <c r="H273" s="18">
        <v>45222</v>
      </c>
      <c r="I273" s="19" t="s">
        <v>572</v>
      </c>
      <c r="J273" s="18">
        <v>43466</v>
      </c>
      <c r="K273" s="18">
        <v>46387</v>
      </c>
      <c r="L273" s="19" t="s">
        <v>63</v>
      </c>
      <c r="M273" s="19" t="s">
        <v>38</v>
      </c>
      <c r="N273" s="13" t="s">
        <v>562</v>
      </c>
      <c r="O273" s="13" t="s">
        <v>350</v>
      </c>
      <c r="P273" s="13" t="s">
        <v>556</v>
      </c>
      <c r="Q273" s="16">
        <v>1018845</v>
      </c>
      <c r="R273" s="16"/>
      <c r="S273" s="16"/>
      <c r="T273" s="13" t="s">
        <v>573</v>
      </c>
      <c r="U273" s="20"/>
      <c r="V273" s="20" t="s">
        <v>38</v>
      </c>
      <c r="W273" s="13"/>
      <c r="X273" s="13" t="s">
        <v>38</v>
      </c>
      <c r="Y273" s="13" t="s">
        <v>38</v>
      </c>
      <c r="Z273" s="51" t="s">
        <v>1244</v>
      </c>
      <c r="AA273" s="16"/>
      <c r="AB273" s="16" t="s">
        <v>1244</v>
      </c>
      <c r="AC273" s="18">
        <v>46006</v>
      </c>
      <c r="AD273" s="18">
        <v>46007</v>
      </c>
      <c r="AE273" s="18">
        <v>46007</v>
      </c>
      <c r="AF273" s="15"/>
      <c r="AG273" s="18"/>
      <c r="AH273" s="15"/>
      <c r="AI273" s="18"/>
      <c r="AJ273" s="22"/>
      <c r="AK273" s="22"/>
      <c r="AL273" s="22"/>
    </row>
    <row r="274" spans="1:38" ht="18" customHeight="1">
      <c r="A274" s="16" t="s">
        <v>1329</v>
      </c>
      <c r="B274" s="13" t="s">
        <v>61</v>
      </c>
      <c r="C274" s="64" t="s">
        <v>486</v>
      </c>
      <c r="D274" s="16" t="s">
        <v>38</v>
      </c>
      <c r="E274" s="16" t="s">
        <v>39</v>
      </c>
      <c r="F274" s="16" t="s">
        <v>39</v>
      </c>
      <c r="G274" s="28">
        <v>0</v>
      </c>
      <c r="H274" s="18">
        <v>43922</v>
      </c>
      <c r="I274" s="24" t="s">
        <v>62</v>
      </c>
      <c r="J274" s="18">
        <v>43922</v>
      </c>
      <c r="K274" s="18">
        <v>45747</v>
      </c>
      <c r="L274" s="19" t="s">
        <v>63</v>
      </c>
      <c r="M274" s="19" t="s">
        <v>38</v>
      </c>
      <c r="N274" s="13" t="s">
        <v>62</v>
      </c>
      <c r="O274" s="13" t="s">
        <v>45</v>
      </c>
      <c r="P274" s="13" t="s">
        <v>46</v>
      </c>
      <c r="Q274" s="16">
        <v>1018471</v>
      </c>
      <c r="R274" s="16"/>
      <c r="S274" s="16"/>
      <c r="T274" s="13" t="s">
        <v>64</v>
      </c>
      <c r="U274" s="13" t="s">
        <v>38</v>
      </c>
      <c r="V274" s="20" t="s">
        <v>38</v>
      </c>
      <c r="W274" s="13"/>
      <c r="X274" s="13" t="s">
        <v>38</v>
      </c>
      <c r="Y274" s="13" t="s">
        <v>38</v>
      </c>
      <c r="Z274" s="51" t="s">
        <v>1244</v>
      </c>
      <c r="AA274" s="16"/>
      <c r="AB274" s="16" t="s">
        <v>1244</v>
      </c>
      <c r="AC274" s="18">
        <v>46006</v>
      </c>
      <c r="AD274" s="18">
        <v>46007</v>
      </c>
      <c r="AE274" s="18">
        <v>46007</v>
      </c>
      <c r="AF274" s="15"/>
      <c r="AG274" s="18"/>
      <c r="AH274" s="15"/>
      <c r="AI274" s="18"/>
      <c r="AJ274" s="22"/>
      <c r="AK274" s="22"/>
      <c r="AL274" s="22"/>
    </row>
    <row r="275" spans="1:38" ht="18" customHeight="1">
      <c r="A275" s="16" t="s">
        <v>1330</v>
      </c>
      <c r="B275" s="13" t="s">
        <v>66</v>
      </c>
      <c r="C275" s="64" t="s">
        <v>486</v>
      </c>
      <c r="D275" s="16" t="s">
        <v>38</v>
      </c>
      <c r="E275" s="16" t="s">
        <v>39</v>
      </c>
      <c r="F275" s="16" t="s">
        <v>39</v>
      </c>
      <c r="G275" s="16">
        <v>1</v>
      </c>
      <c r="H275" s="18">
        <v>45006</v>
      </c>
      <c r="I275" s="19" t="s">
        <v>67</v>
      </c>
      <c r="J275" s="18">
        <v>43922</v>
      </c>
      <c r="K275" s="18">
        <v>45747</v>
      </c>
      <c r="L275" s="19" t="s">
        <v>63</v>
      </c>
      <c r="M275" s="19" t="s">
        <v>38</v>
      </c>
      <c r="N275" s="13" t="s">
        <v>68</v>
      </c>
      <c r="O275" s="13" t="s">
        <v>45</v>
      </c>
      <c r="P275" s="13" t="s">
        <v>46</v>
      </c>
      <c r="Q275" s="16">
        <v>1018471</v>
      </c>
      <c r="R275" s="16"/>
      <c r="S275" s="16"/>
      <c r="T275" s="13" t="s">
        <v>66</v>
      </c>
      <c r="U275" s="13" t="s">
        <v>38</v>
      </c>
      <c r="V275" s="20" t="s">
        <v>38</v>
      </c>
      <c r="W275" s="13"/>
      <c r="X275" s="13" t="s">
        <v>38</v>
      </c>
      <c r="Y275" s="13" t="s">
        <v>38</v>
      </c>
      <c r="Z275" s="51" t="s">
        <v>1244</v>
      </c>
      <c r="AA275" s="16"/>
      <c r="AB275" s="16" t="s">
        <v>1244</v>
      </c>
      <c r="AC275" s="18">
        <v>46006</v>
      </c>
      <c r="AD275" s="18">
        <v>46007</v>
      </c>
      <c r="AE275" s="18">
        <v>46007</v>
      </c>
      <c r="AF275" s="15"/>
      <c r="AG275" s="18"/>
      <c r="AH275" s="15"/>
      <c r="AI275" s="18"/>
      <c r="AJ275" s="22"/>
      <c r="AK275" s="22"/>
      <c r="AL275" s="22"/>
    </row>
    <row r="276" spans="1:38" ht="18" customHeight="1">
      <c r="A276" s="16" t="s">
        <v>1331</v>
      </c>
      <c r="B276" s="13" t="s">
        <v>70</v>
      </c>
      <c r="C276" s="64" t="s">
        <v>486</v>
      </c>
      <c r="D276" s="16" t="s">
        <v>38</v>
      </c>
      <c r="E276" s="16" t="s">
        <v>39</v>
      </c>
      <c r="F276" s="16" t="s">
        <v>39</v>
      </c>
      <c r="G276" s="28">
        <v>2</v>
      </c>
      <c r="H276" s="18">
        <v>45525</v>
      </c>
      <c r="I276" s="24" t="s">
        <v>71</v>
      </c>
      <c r="J276" s="18">
        <v>43922</v>
      </c>
      <c r="K276" s="18" t="s">
        <v>1332</v>
      </c>
      <c r="L276" s="19" t="s">
        <v>63</v>
      </c>
      <c r="M276" s="19" t="s">
        <v>38</v>
      </c>
      <c r="N276" s="13" t="s">
        <v>72</v>
      </c>
      <c r="O276" s="13" t="s">
        <v>45</v>
      </c>
      <c r="P276" s="13" t="s">
        <v>46</v>
      </c>
      <c r="Q276" s="16">
        <v>1018471</v>
      </c>
      <c r="R276" s="16"/>
      <c r="S276" s="16"/>
      <c r="T276" s="13" t="s">
        <v>73</v>
      </c>
      <c r="U276" s="13"/>
      <c r="V276" s="20" t="s">
        <v>38</v>
      </c>
      <c r="W276" s="13"/>
      <c r="X276" s="13" t="s">
        <v>38</v>
      </c>
      <c r="Y276" s="13" t="s">
        <v>38</v>
      </c>
      <c r="Z276" s="51" t="s">
        <v>1244</v>
      </c>
      <c r="AA276" s="16"/>
      <c r="AB276" s="16" t="s">
        <v>1244</v>
      </c>
      <c r="AC276" s="18">
        <v>46006</v>
      </c>
      <c r="AD276" s="18">
        <v>46007</v>
      </c>
      <c r="AE276" s="18">
        <v>46007</v>
      </c>
      <c r="AF276" s="15"/>
      <c r="AG276" s="18"/>
      <c r="AH276" s="15"/>
      <c r="AI276" s="18"/>
      <c r="AJ276" s="22"/>
      <c r="AK276" s="22"/>
      <c r="AL276" s="22"/>
    </row>
    <row r="277" spans="1:38" ht="18" customHeight="1">
      <c r="A277" s="19" t="s">
        <v>1333</v>
      </c>
      <c r="B277" s="19" t="s">
        <v>75</v>
      </c>
      <c r="C277" s="64" t="s">
        <v>37</v>
      </c>
      <c r="D277" s="16" t="s">
        <v>38</v>
      </c>
      <c r="E277" s="16" t="s">
        <v>76</v>
      </c>
      <c r="F277" s="16" t="s">
        <v>76</v>
      </c>
      <c r="G277" s="16">
        <v>0</v>
      </c>
      <c r="H277" s="18">
        <v>43922</v>
      </c>
      <c r="I277" s="19" t="s">
        <v>77</v>
      </c>
      <c r="J277" s="18">
        <v>43922</v>
      </c>
      <c r="K277" s="18">
        <v>45747</v>
      </c>
      <c r="L277" s="19" t="s">
        <v>63</v>
      </c>
      <c r="M277" s="19" t="s">
        <v>78</v>
      </c>
      <c r="N277" s="13" t="s">
        <v>79</v>
      </c>
      <c r="O277" s="13" t="s">
        <v>45</v>
      </c>
      <c r="P277" s="13" t="s">
        <v>46</v>
      </c>
      <c r="Q277" s="16">
        <v>1018471</v>
      </c>
      <c r="R277" s="16" t="s">
        <v>38</v>
      </c>
      <c r="S277" s="16" t="s">
        <v>38</v>
      </c>
      <c r="T277" s="13" t="s">
        <v>80</v>
      </c>
      <c r="U277" s="13" t="s">
        <v>38</v>
      </c>
      <c r="V277" s="20" t="s">
        <v>38</v>
      </c>
      <c r="W277" s="13"/>
      <c r="X277" s="20" t="s">
        <v>81</v>
      </c>
      <c r="Y277" s="13" t="s">
        <v>82</v>
      </c>
      <c r="Z277" s="13" t="s">
        <v>1244</v>
      </c>
      <c r="AA277" s="19"/>
      <c r="AB277" s="16" t="s">
        <v>1244</v>
      </c>
      <c r="AC277" s="18">
        <v>46006</v>
      </c>
      <c r="AD277" s="18">
        <v>46008</v>
      </c>
      <c r="AE277" s="18">
        <v>46008</v>
      </c>
      <c r="AF277" s="68"/>
      <c r="AG277" s="23"/>
      <c r="AH277" s="68"/>
      <c r="AI277" s="23"/>
      <c r="AJ277" s="69" t="e">
        <f>HYPERLINK(_xlfn.XLOOKUP(B277,[1]Sheet1!A:A,[1]Sheet1!C:C),"link")</f>
        <v>#N/A</v>
      </c>
      <c r="AK277" s="70"/>
      <c r="AL277" s="70"/>
    </row>
    <row r="278" spans="1:38" ht="18" customHeight="1">
      <c r="A278" s="19" t="s">
        <v>1334</v>
      </c>
      <c r="B278" s="19" t="s">
        <v>83</v>
      </c>
      <c r="C278" s="64" t="s">
        <v>37</v>
      </c>
      <c r="D278" s="16" t="s">
        <v>38</v>
      </c>
      <c r="E278" s="16" t="s">
        <v>76</v>
      </c>
      <c r="F278" s="16" t="s">
        <v>76</v>
      </c>
      <c r="G278" s="16">
        <v>1</v>
      </c>
      <c r="H278" s="18">
        <v>43983</v>
      </c>
      <c r="I278" s="19" t="s">
        <v>84</v>
      </c>
      <c r="J278" s="18">
        <v>43922</v>
      </c>
      <c r="K278" s="18">
        <v>45747</v>
      </c>
      <c r="L278" s="19" t="s">
        <v>63</v>
      </c>
      <c r="M278" s="19" t="s">
        <v>78</v>
      </c>
      <c r="N278" s="13" t="s">
        <v>85</v>
      </c>
      <c r="O278" s="13" t="s">
        <v>45</v>
      </c>
      <c r="P278" s="13" t="s">
        <v>46</v>
      </c>
      <c r="Q278" s="16">
        <v>1018471</v>
      </c>
      <c r="R278" s="16" t="s">
        <v>38</v>
      </c>
      <c r="S278" s="16" t="s">
        <v>38</v>
      </c>
      <c r="T278" s="13" t="s">
        <v>86</v>
      </c>
      <c r="U278" s="13" t="s">
        <v>38</v>
      </c>
      <c r="V278" s="20" t="s">
        <v>38</v>
      </c>
      <c r="W278" s="13"/>
      <c r="X278" s="20" t="s">
        <v>81</v>
      </c>
      <c r="Y278" s="13" t="s">
        <v>82</v>
      </c>
      <c r="Z278" s="13" t="s">
        <v>1244</v>
      </c>
      <c r="AA278" s="19"/>
      <c r="AB278" s="16" t="s">
        <v>1244</v>
      </c>
      <c r="AC278" s="18">
        <v>46006</v>
      </c>
      <c r="AD278" s="18">
        <v>46008</v>
      </c>
      <c r="AE278" s="18">
        <v>46008</v>
      </c>
      <c r="AF278" s="68"/>
      <c r="AG278" s="23"/>
      <c r="AH278" s="68"/>
      <c r="AI278" s="23"/>
      <c r="AJ278" s="69" t="e">
        <f>HYPERLINK(_xlfn.XLOOKUP(B278,[1]Sheet1!A:A,[1]Sheet1!C:C),"link")</f>
        <v>#N/A</v>
      </c>
      <c r="AK278" s="70"/>
      <c r="AL278" s="70"/>
    </row>
    <row r="279" spans="1:38" ht="18" customHeight="1">
      <c r="A279" s="19" t="s">
        <v>1335</v>
      </c>
      <c r="B279" s="19" t="s">
        <v>87</v>
      </c>
      <c r="C279" s="64" t="s">
        <v>37</v>
      </c>
      <c r="D279" s="16" t="s">
        <v>38</v>
      </c>
      <c r="E279" s="16" t="s">
        <v>76</v>
      </c>
      <c r="F279" s="16" t="s">
        <v>76</v>
      </c>
      <c r="G279" s="16">
        <v>2</v>
      </c>
      <c r="H279" s="18">
        <v>43999</v>
      </c>
      <c r="I279" s="19" t="s">
        <v>88</v>
      </c>
      <c r="J279" s="18">
        <v>43922</v>
      </c>
      <c r="K279" s="18">
        <v>45747</v>
      </c>
      <c r="L279" s="19" t="s">
        <v>63</v>
      </c>
      <c r="M279" s="19" t="s">
        <v>78</v>
      </c>
      <c r="N279" s="13" t="s">
        <v>89</v>
      </c>
      <c r="O279" s="13" t="s">
        <v>45</v>
      </c>
      <c r="P279" s="13" t="s">
        <v>46</v>
      </c>
      <c r="Q279" s="16">
        <v>1018471</v>
      </c>
      <c r="R279" s="16" t="s">
        <v>38</v>
      </c>
      <c r="S279" s="16" t="s">
        <v>38</v>
      </c>
      <c r="T279" s="13" t="s">
        <v>90</v>
      </c>
      <c r="U279" s="13" t="s">
        <v>38</v>
      </c>
      <c r="V279" s="20" t="s">
        <v>38</v>
      </c>
      <c r="W279" s="13"/>
      <c r="X279" s="20" t="s">
        <v>81</v>
      </c>
      <c r="Y279" s="13" t="s">
        <v>82</v>
      </c>
      <c r="Z279" s="13" t="s">
        <v>1244</v>
      </c>
      <c r="AA279" s="19"/>
      <c r="AB279" s="16" t="s">
        <v>1244</v>
      </c>
      <c r="AC279" s="18">
        <v>46006</v>
      </c>
      <c r="AD279" s="18">
        <v>46008</v>
      </c>
      <c r="AE279" s="18">
        <v>46008</v>
      </c>
      <c r="AF279" s="68"/>
      <c r="AG279" s="23"/>
      <c r="AH279" s="68"/>
      <c r="AI279" s="23"/>
      <c r="AJ279" s="69" t="e">
        <f>HYPERLINK(_xlfn.XLOOKUP(B279,[1]Sheet1!A:A,[1]Sheet1!C:C),"link")</f>
        <v>#N/A</v>
      </c>
      <c r="AK279" s="70"/>
      <c r="AL279" s="70"/>
    </row>
    <row r="280" spans="1:38" ht="18" customHeight="1">
      <c r="A280" s="19" t="s">
        <v>1336</v>
      </c>
      <c r="B280" s="19" t="s">
        <v>91</v>
      </c>
      <c r="C280" s="64" t="s">
        <v>37</v>
      </c>
      <c r="D280" s="16" t="s">
        <v>38</v>
      </c>
      <c r="E280" s="16" t="s">
        <v>76</v>
      </c>
      <c r="F280" s="16" t="s">
        <v>76</v>
      </c>
      <c r="G280" s="16">
        <v>3</v>
      </c>
      <c r="H280" s="18">
        <v>44136</v>
      </c>
      <c r="I280" s="19" t="s">
        <v>84</v>
      </c>
      <c r="J280" s="18">
        <v>43922</v>
      </c>
      <c r="K280" s="18">
        <v>45747</v>
      </c>
      <c r="L280" s="19" t="s">
        <v>63</v>
      </c>
      <c r="M280" s="19" t="s">
        <v>78</v>
      </c>
      <c r="N280" s="13" t="s">
        <v>79</v>
      </c>
      <c r="O280" s="13" t="s">
        <v>45</v>
      </c>
      <c r="P280" s="13" t="s">
        <v>46</v>
      </c>
      <c r="Q280" s="16">
        <v>1018471</v>
      </c>
      <c r="R280" s="16" t="s">
        <v>38</v>
      </c>
      <c r="S280" s="16" t="s">
        <v>38</v>
      </c>
      <c r="T280" s="13" t="s">
        <v>92</v>
      </c>
      <c r="U280" s="13" t="s">
        <v>38</v>
      </c>
      <c r="V280" s="20" t="s">
        <v>38</v>
      </c>
      <c r="W280" s="13"/>
      <c r="X280" s="20" t="s">
        <v>81</v>
      </c>
      <c r="Y280" s="13" t="s">
        <v>82</v>
      </c>
      <c r="Z280" s="13" t="s">
        <v>1244</v>
      </c>
      <c r="AA280" s="19"/>
      <c r="AB280" s="16" t="s">
        <v>1244</v>
      </c>
      <c r="AC280" s="18">
        <v>46006</v>
      </c>
      <c r="AD280" s="18">
        <v>46008</v>
      </c>
      <c r="AE280" s="18">
        <v>46008</v>
      </c>
      <c r="AF280" s="68"/>
      <c r="AG280" s="23"/>
      <c r="AH280" s="68"/>
      <c r="AI280" s="23"/>
      <c r="AJ280" s="69" t="e">
        <f>HYPERLINK(_xlfn.XLOOKUP(B280,[1]Sheet1!A:A,[1]Sheet1!C:C),"link")</f>
        <v>#N/A</v>
      </c>
      <c r="AK280" s="70"/>
      <c r="AL280" s="70"/>
    </row>
    <row r="281" spans="1:38" ht="18" customHeight="1">
      <c r="A281" s="19" t="s">
        <v>1337</v>
      </c>
      <c r="B281" s="19" t="s">
        <v>93</v>
      </c>
      <c r="C281" s="64" t="s">
        <v>37</v>
      </c>
      <c r="D281" s="16">
        <v>106692</v>
      </c>
      <c r="E281" s="16" t="s">
        <v>76</v>
      </c>
      <c r="F281" s="16">
        <v>618324</v>
      </c>
      <c r="G281" s="16">
        <v>0</v>
      </c>
      <c r="H281" s="18">
        <v>44521</v>
      </c>
      <c r="I281" s="19" t="s">
        <v>94</v>
      </c>
      <c r="J281" s="18">
        <v>44501</v>
      </c>
      <c r="K281" s="18">
        <v>45596</v>
      </c>
      <c r="L281" s="19" t="s">
        <v>95</v>
      </c>
      <c r="M281" s="19" t="s">
        <v>96</v>
      </c>
      <c r="N281" s="13" t="s">
        <v>94</v>
      </c>
      <c r="O281" s="13" t="s">
        <v>45</v>
      </c>
      <c r="P281" s="13" t="s">
        <v>46</v>
      </c>
      <c r="Q281" s="16">
        <v>1018471</v>
      </c>
      <c r="R281" s="16" t="s">
        <v>38</v>
      </c>
      <c r="S281" s="16" t="s">
        <v>38</v>
      </c>
      <c r="T281" s="13" t="s">
        <v>97</v>
      </c>
      <c r="U281" s="13" t="s">
        <v>98</v>
      </c>
      <c r="V281" s="20" t="s">
        <v>99</v>
      </c>
      <c r="W281" s="13"/>
      <c r="X281" s="20" t="s">
        <v>100</v>
      </c>
      <c r="Y281" s="13"/>
      <c r="Z281" s="13" t="s">
        <v>1244</v>
      </c>
      <c r="AA281" s="19"/>
      <c r="AB281" s="16" t="s">
        <v>1244</v>
      </c>
      <c r="AC281" s="18">
        <v>46006</v>
      </c>
      <c r="AD281" s="18">
        <v>46008</v>
      </c>
      <c r="AE281" s="18">
        <v>46008</v>
      </c>
      <c r="AF281" s="68"/>
      <c r="AG281" s="23"/>
      <c r="AH281" s="68"/>
      <c r="AI281" s="23"/>
      <c r="AJ281" s="69" t="e">
        <f>HYPERLINK(_xlfn.XLOOKUP(B281,[1]Sheet1!A:A,[1]Sheet1!C:C),"link")</f>
        <v>#N/A</v>
      </c>
      <c r="AK281" s="70"/>
      <c r="AL281" s="70"/>
    </row>
    <row r="282" spans="1:38" ht="18" customHeight="1">
      <c r="A282" s="19" t="s">
        <v>1338</v>
      </c>
      <c r="B282" s="19" t="s">
        <v>102</v>
      </c>
      <c r="C282" s="64" t="s">
        <v>37</v>
      </c>
      <c r="D282" s="16" t="s">
        <v>38</v>
      </c>
      <c r="E282" s="16" t="s">
        <v>76</v>
      </c>
      <c r="F282" s="16" t="s">
        <v>76</v>
      </c>
      <c r="G282" s="16">
        <v>4</v>
      </c>
      <c r="H282" s="18">
        <v>44721</v>
      </c>
      <c r="I282" s="19" t="s">
        <v>84</v>
      </c>
      <c r="J282" s="18">
        <v>43922</v>
      </c>
      <c r="K282" s="18">
        <v>45747</v>
      </c>
      <c r="L282" s="19" t="s">
        <v>63</v>
      </c>
      <c r="M282" s="19" t="s">
        <v>103</v>
      </c>
      <c r="N282" s="13" t="s">
        <v>85</v>
      </c>
      <c r="O282" s="13" t="s">
        <v>45</v>
      </c>
      <c r="P282" s="13" t="s">
        <v>46</v>
      </c>
      <c r="Q282" s="16">
        <v>1018471</v>
      </c>
      <c r="R282" s="16" t="s">
        <v>38</v>
      </c>
      <c r="S282" s="16" t="s">
        <v>38</v>
      </c>
      <c r="T282" s="13" t="s">
        <v>104</v>
      </c>
      <c r="U282" s="13" t="s">
        <v>38</v>
      </c>
      <c r="V282" s="20" t="s">
        <v>38</v>
      </c>
      <c r="W282" s="13"/>
      <c r="X282" s="20" t="s">
        <v>105</v>
      </c>
      <c r="Y282" s="13" t="s">
        <v>82</v>
      </c>
      <c r="Z282" s="13" t="s">
        <v>1244</v>
      </c>
      <c r="AA282" s="19"/>
      <c r="AB282" s="16" t="s">
        <v>1244</v>
      </c>
      <c r="AC282" s="18">
        <v>46006</v>
      </c>
      <c r="AD282" s="18">
        <v>46008</v>
      </c>
      <c r="AE282" s="18">
        <v>46008</v>
      </c>
      <c r="AF282" s="68"/>
      <c r="AG282" s="23"/>
      <c r="AH282" s="68"/>
      <c r="AI282" s="23"/>
      <c r="AJ282" s="69" t="e">
        <f>HYPERLINK(_xlfn.XLOOKUP(B282,[1]Sheet1!A:A,[1]Sheet1!C:C),"link")</f>
        <v>#N/A</v>
      </c>
      <c r="AK282" s="70"/>
      <c r="AL282" s="70"/>
    </row>
    <row r="283" spans="1:38" ht="18" customHeight="1">
      <c r="A283" s="19" t="s">
        <v>1339</v>
      </c>
      <c r="B283" s="19" t="s">
        <v>106</v>
      </c>
      <c r="C283" s="64" t="s">
        <v>37</v>
      </c>
      <c r="D283" s="16" t="s">
        <v>107</v>
      </c>
      <c r="E283" s="16" t="s">
        <v>76</v>
      </c>
      <c r="F283" s="16">
        <v>630028</v>
      </c>
      <c r="G283" s="16">
        <v>0</v>
      </c>
      <c r="H283" s="18">
        <v>44845</v>
      </c>
      <c r="I283" s="19" t="s">
        <v>94</v>
      </c>
      <c r="J283" s="18">
        <v>44845</v>
      </c>
      <c r="K283" s="18">
        <v>45940</v>
      </c>
      <c r="L283" s="19" t="s">
        <v>95</v>
      </c>
      <c r="M283" s="19" t="s">
        <v>108</v>
      </c>
      <c r="N283" s="13" t="s">
        <v>94</v>
      </c>
      <c r="O283" s="13" t="s">
        <v>45</v>
      </c>
      <c r="P283" s="13" t="s">
        <v>46</v>
      </c>
      <c r="Q283" s="16">
        <v>1018471</v>
      </c>
      <c r="R283" s="16" t="s">
        <v>38</v>
      </c>
      <c r="S283" s="16" t="s">
        <v>38</v>
      </c>
      <c r="T283" s="13" t="s">
        <v>109</v>
      </c>
      <c r="U283" s="13" t="s">
        <v>110</v>
      </c>
      <c r="V283" s="20" t="s">
        <v>923</v>
      </c>
      <c r="W283" s="13" t="s">
        <v>299</v>
      </c>
      <c r="X283" s="20" t="s">
        <v>112</v>
      </c>
      <c r="Y283" s="13"/>
      <c r="Z283" s="13" t="s">
        <v>1244</v>
      </c>
      <c r="AA283" s="19"/>
      <c r="AB283" s="16" t="s">
        <v>1244</v>
      </c>
      <c r="AC283" s="18">
        <v>46006</v>
      </c>
      <c r="AD283" s="18">
        <v>46008</v>
      </c>
      <c r="AE283" s="18">
        <v>46008</v>
      </c>
      <c r="AF283" s="68"/>
      <c r="AG283" s="23"/>
      <c r="AH283" s="68"/>
      <c r="AI283" s="23"/>
      <c r="AJ283" s="69" t="e">
        <f>HYPERLINK(_xlfn.XLOOKUP(B283,[1]Sheet1!A:A,[1]Sheet1!C:C),"link")</f>
        <v>#N/A</v>
      </c>
      <c r="AK283" s="70"/>
      <c r="AL283" s="70"/>
    </row>
    <row r="284" spans="1:38" ht="18" customHeight="1">
      <c r="A284" s="19" t="s">
        <v>1340</v>
      </c>
      <c r="B284" s="19" t="s">
        <v>115</v>
      </c>
      <c r="C284" s="64" t="s">
        <v>37</v>
      </c>
      <c r="D284" s="16">
        <v>152468</v>
      </c>
      <c r="E284" s="16" t="s">
        <v>76</v>
      </c>
      <c r="F284" s="16">
        <v>618324</v>
      </c>
      <c r="G284" s="16">
        <v>1</v>
      </c>
      <c r="H284" s="18">
        <v>44988</v>
      </c>
      <c r="I284" s="19" t="s">
        <v>116</v>
      </c>
      <c r="J284" s="18">
        <v>44501</v>
      </c>
      <c r="K284" s="18">
        <v>45596</v>
      </c>
      <c r="L284" s="19" t="s">
        <v>95</v>
      </c>
      <c r="M284" s="19" t="s">
        <v>96</v>
      </c>
      <c r="N284" s="13" t="s">
        <v>117</v>
      </c>
      <c r="O284" s="13" t="s">
        <v>45</v>
      </c>
      <c r="P284" s="13" t="s">
        <v>46</v>
      </c>
      <c r="Q284" s="16">
        <v>1018471</v>
      </c>
      <c r="R284" s="16" t="s">
        <v>38</v>
      </c>
      <c r="S284" s="16" t="s">
        <v>38</v>
      </c>
      <c r="T284" s="13" t="s">
        <v>115</v>
      </c>
      <c r="U284" s="13" t="s">
        <v>98</v>
      </c>
      <c r="V284" s="20" t="s">
        <v>99</v>
      </c>
      <c r="W284" s="13"/>
      <c r="X284" s="20" t="s">
        <v>100</v>
      </c>
      <c r="Y284" s="13"/>
      <c r="Z284" s="13" t="s">
        <v>1244</v>
      </c>
      <c r="AA284" s="19"/>
      <c r="AB284" s="16" t="s">
        <v>1244</v>
      </c>
      <c r="AC284" s="18">
        <v>46006</v>
      </c>
      <c r="AD284" s="18">
        <v>46008</v>
      </c>
      <c r="AE284" s="18">
        <v>46008</v>
      </c>
      <c r="AF284" s="68"/>
      <c r="AG284" s="23"/>
      <c r="AH284" s="68"/>
      <c r="AI284" s="23"/>
      <c r="AJ284" s="69" t="e">
        <f>HYPERLINK(_xlfn.XLOOKUP(B284,[1]Sheet1!A:A,[1]Sheet1!C:C),"link")</f>
        <v>#N/A</v>
      </c>
      <c r="AK284" s="70"/>
      <c r="AL284" s="70"/>
    </row>
    <row r="285" spans="1:38" ht="18" customHeight="1">
      <c r="A285" s="19" t="s">
        <v>1341</v>
      </c>
      <c r="B285" s="19" t="s">
        <v>118</v>
      </c>
      <c r="C285" s="64" t="s">
        <v>37</v>
      </c>
      <c r="D285" s="16" t="s">
        <v>38</v>
      </c>
      <c r="E285" s="16" t="s">
        <v>76</v>
      </c>
      <c r="F285" s="16" t="s">
        <v>76</v>
      </c>
      <c r="G285" s="16">
        <v>5</v>
      </c>
      <c r="H285" s="18">
        <v>45008</v>
      </c>
      <c r="I285" s="19" t="s">
        <v>119</v>
      </c>
      <c r="J285" s="18">
        <v>43922</v>
      </c>
      <c r="K285" s="18">
        <v>45747</v>
      </c>
      <c r="L285" s="19" t="s">
        <v>63</v>
      </c>
      <c r="M285" s="19" t="s">
        <v>103</v>
      </c>
      <c r="N285" s="13" t="s">
        <v>120</v>
      </c>
      <c r="O285" s="13" t="s">
        <v>45</v>
      </c>
      <c r="P285" s="13" t="s">
        <v>46</v>
      </c>
      <c r="Q285" s="16">
        <v>1018471</v>
      </c>
      <c r="R285" s="16" t="s">
        <v>38</v>
      </c>
      <c r="S285" s="16" t="s">
        <v>38</v>
      </c>
      <c r="T285" s="13" t="s">
        <v>121</v>
      </c>
      <c r="U285" s="13" t="s">
        <v>38</v>
      </c>
      <c r="V285" s="20" t="s">
        <v>38</v>
      </c>
      <c r="W285" s="13"/>
      <c r="X285" s="20" t="s">
        <v>105</v>
      </c>
      <c r="Y285" s="13" t="s">
        <v>82</v>
      </c>
      <c r="Z285" s="13" t="s">
        <v>1244</v>
      </c>
      <c r="AA285" s="19"/>
      <c r="AB285" s="16" t="s">
        <v>1244</v>
      </c>
      <c r="AC285" s="18">
        <v>46006</v>
      </c>
      <c r="AD285" s="18">
        <v>46008</v>
      </c>
      <c r="AE285" s="18">
        <v>46008</v>
      </c>
      <c r="AF285" s="68"/>
      <c r="AG285" s="23"/>
      <c r="AH285" s="68"/>
      <c r="AI285" s="23"/>
      <c r="AJ285" s="69" t="e">
        <f>HYPERLINK(_xlfn.XLOOKUP(B285,[1]Sheet1!A:A,[1]Sheet1!C:C),"link")</f>
        <v>#N/A</v>
      </c>
      <c r="AK285" s="70"/>
      <c r="AL285" s="70"/>
    </row>
    <row r="286" spans="1:38" ht="18" customHeight="1">
      <c r="A286" s="19" t="s">
        <v>1342</v>
      </c>
      <c r="B286" s="19" t="s">
        <v>122</v>
      </c>
      <c r="C286" s="64" t="s">
        <v>37</v>
      </c>
      <c r="D286" s="16" t="s">
        <v>38</v>
      </c>
      <c r="E286" s="16" t="s">
        <v>76</v>
      </c>
      <c r="F286" s="16" t="s">
        <v>76</v>
      </c>
      <c r="G286" s="16">
        <v>6</v>
      </c>
      <c r="H286" s="18">
        <v>45006</v>
      </c>
      <c r="I286" s="19" t="s">
        <v>67</v>
      </c>
      <c r="J286" s="18">
        <v>43922</v>
      </c>
      <c r="K286" s="18">
        <v>45747</v>
      </c>
      <c r="L286" s="19" t="s">
        <v>63</v>
      </c>
      <c r="M286" s="19" t="s">
        <v>103</v>
      </c>
      <c r="N286" s="13" t="s">
        <v>68</v>
      </c>
      <c r="O286" s="13" t="s">
        <v>45</v>
      </c>
      <c r="P286" s="13" t="s">
        <v>46</v>
      </c>
      <c r="Q286" s="16">
        <v>1018471</v>
      </c>
      <c r="R286" s="16" t="s">
        <v>38</v>
      </c>
      <c r="S286" s="16" t="s">
        <v>38</v>
      </c>
      <c r="T286" s="13" t="s">
        <v>122</v>
      </c>
      <c r="U286" s="13" t="s">
        <v>38</v>
      </c>
      <c r="V286" s="20" t="s">
        <v>38</v>
      </c>
      <c r="W286" s="13"/>
      <c r="X286" s="20" t="s">
        <v>105</v>
      </c>
      <c r="Y286" s="13" t="s">
        <v>82</v>
      </c>
      <c r="Z286" s="13" t="s">
        <v>1244</v>
      </c>
      <c r="AA286" s="19"/>
      <c r="AB286" s="16" t="s">
        <v>1244</v>
      </c>
      <c r="AC286" s="18">
        <v>46006</v>
      </c>
      <c r="AD286" s="18">
        <v>46008</v>
      </c>
      <c r="AE286" s="18">
        <v>46008</v>
      </c>
      <c r="AF286" s="68"/>
      <c r="AG286" s="23"/>
      <c r="AH286" s="68"/>
      <c r="AI286" s="23"/>
      <c r="AJ286" s="69" t="e">
        <f>HYPERLINK(_xlfn.XLOOKUP(B286,[1]Sheet1!A:A,[1]Sheet1!C:C),"link")</f>
        <v>#N/A</v>
      </c>
      <c r="AK286" s="70"/>
      <c r="AL286" s="70"/>
    </row>
    <row r="287" spans="1:38" ht="18" customHeight="1">
      <c r="A287" s="19" t="s">
        <v>1343</v>
      </c>
      <c r="B287" s="19" t="s">
        <v>123</v>
      </c>
      <c r="C287" s="64" t="s">
        <v>37</v>
      </c>
      <c r="D287" s="16" t="s">
        <v>124</v>
      </c>
      <c r="E287" s="16" t="s">
        <v>76</v>
      </c>
      <c r="F287" s="16">
        <v>630028</v>
      </c>
      <c r="G287" s="16">
        <v>1</v>
      </c>
      <c r="H287" s="18">
        <v>45073</v>
      </c>
      <c r="I287" s="19" t="s">
        <v>125</v>
      </c>
      <c r="J287" s="18">
        <v>44845</v>
      </c>
      <c r="K287" s="18">
        <v>45940</v>
      </c>
      <c r="L287" s="19" t="s">
        <v>95</v>
      </c>
      <c r="M287" s="19" t="s">
        <v>108</v>
      </c>
      <c r="N287" s="13" t="s">
        <v>117</v>
      </c>
      <c r="O287" s="13" t="s">
        <v>45</v>
      </c>
      <c r="P287" s="13" t="s">
        <v>46</v>
      </c>
      <c r="Q287" s="16">
        <v>1018471</v>
      </c>
      <c r="R287" s="16" t="s">
        <v>38</v>
      </c>
      <c r="S287" s="16" t="s">
        <v>38</v>
      </c>
      <c r="T287" s="13" t="s">
        <v>126</v>
      </c>
      <c r="U287" s="13" t="s">
        <v>110</v>
      </c>
      <c r="V287" s="20" t="s">
        <v>923</v>
      </c>
      <c r="W287" s="13" t="s">
        <v>299</v>
      </c>
      <c r="X287" s="20" t="s">
        <v>112</v>
      </c>
      <c r="Y287" s="13"/>
      <c r="Z287" s="13" t="s">
        <v>1244</v>
      </c>
      <c r="AA287" s="19"/>
      <c r="AB287" s="16" t="s">
        <v>1244</v>
      </c>
      <c r="AC287" s="18">
        <v>46006</v>
      </c>
      <c r="AD287" s="18">
        <v>46008</v>
      </c>
      <c r="AE287" s="18">
        <v>46008</v>
      </c>
      <c r="AF287" s="68"/>
      <c r="AG287" s="23"/>
      <c r="AH287" s="68"/>
      <c r="AI287" s="23"/>
      <c r="AJ287" s="69" t="e">
        <f>HYPERLINK(_xlfn.XLOOKUP(B287,[1]Sheet1!A:A,[1]Sheet1!C:C),"link")</f>
        <v>#N/A</v>
      </c>
      <c r="AK287" s="70"/>
      <c r="AL287" s="70"/>
    </row>
    <row r="288" spans="1:38" ht="18" customHeight="1">
      <c r="A288" s="19" t="s">
        <v>1344</v>
      </c>
      <c r="B288" s="19" t="s">
        <v>129</v>
      </c>
      <c r="C288" s="64" t="s">
        <v>37</v>
      </c>
      <c r="D288" s="16" t="s">
        <v>130</v>
      </c>
      <c r="E288" s="16" t="s">
        <v>76</v>
      </c>
      <c r="F288" s="16">
        <v>630028</v>
      </c>
      <c r="G288" s="16">
        <v>2</v>
      </c>
      <c r="H288" s="18">
        <v>45160</v>
      </c>
      <c r="I288" s="19" t="s">
        <v>131</v>
      </c>
      <c r="J288" s="18">
        <v>44845</v>
      </c>
      <c r="K288" s="18">
        <v>45940</v>
      </c>
      <c r="L288" s="19" t="s">
        <v>95</v>
      </c>
      <c r="M288" s="19" t="s">
        <v>108</v>
      </c>
      <c r="N288" s="13" t="s">
        <v>117</v>
      </c>
      <c r="O288" s="13" t="s">
        <v>45</v>
      </c>
      <c r="P288" s="13" t="s">
        <v>46</v>
      </c>
      <c r="Q288" s="16">
        <v>1018471</v>
      </c>
      <c r="R288" s="16" t="s">
        <v>38</v>
      </c>
      <c r="S288" s="16" t="s">
        <v>38</v>
      </c>
      <c r="T288" s="13" t="s">
        <v>132</v>
      </c>
      <c r="U288" s="13" t="s">
        <v>110</v>
      </c>
      <c r="V288" s="20" t="s">
        <v>923</v>
      </c>
      <c r="W288" s="13" t="s">
        <v>299</v>
      </c>
      <c r="X288" s="20" t="s">
        <v>112</v>
      </c>
      <c r="Y288" s="13"/>
      <c r="Z288" s="13" t="s">
        <v>1244</v>
      </c>
      <c r="AA288" s="19"/>
      <c r="AB288" s="16" t="s">
        <v>1244</v>
      </c>
      <c r="AC288" s="18">
        <v>46006</v>
      </c>
      <c r="AD288" s="18">
        <v>46008</v>
      </c>
      <c r="AE288" s="18">
        <v>46008</v>
      </c>
      <c r="AF288" s="68"/>
      <c r="AG288" s="23"/>
      <c r="AH288" s="68"/>
      <c r="AI288" s="23"/>
      <c r="AJ288" s="69" t="e">
        <f>HYPERLINK(_xlfn.XLOOKUP(B288,[1]Sheet1!A:A,[1]Sheet1!C:C),"link")</f>
        <v>#N/A</v>
      </c>
      <c r="AK288" s="70"/>
      <c r="AL288" s="70"/>
    </row>
    <row r="289" spans="1:38" ht="18" customHeight="1">
      <c r="A289" s="19" t="s">
        <v>1345</v>
      </c>
      <c r="B289" s="19" t="s">
        <v>133</v>
      </c>
      <c r="C289" s="64" t="s">
        <v>37</v>
      </c>
      <c r="D289" s="16">
        <v>164895</v>
      </c>
      <c r="E289" s="16" t="s">
        <v>76</v>
      </c>
      <c r="F289" s="16">
        <v>643060</v>
      </c>
      <c r="G289" s="16">
        <v>0</v>
      </c>
      <c r="H289" s="18">
        <v>45231</v>
      </c>
      <c r="I289" s="19" t="s">
        <v>94</v>
      </c>
      <c r="J289" s="18">
        <v>45231</v>
      </c>
      <c r="K289" s="18">
        <v>46326</v>
      </c>
      <c r="L289" s="19" t="s">
        <v>95</v>
      </c>
      <c r="M289" s="19" t="s">
        <v>134</v>
      </c>
      <c r="N289" s="13" t="s">
        <v>94</v>
      </c>
      <c r="O289" s="13" t="s">
        <v>45</v>
      </c>
      <c r="P289" s="13" t="s">
        <v>46</v>
      </c>
      <c r="Q289" s="16">
        <v>1018471</v>
      </c>
      <c r="R289" s="16" t="s">
        <v>38</v>
      </c>
      <c r="S289" s="16" t="s">
        <v>38</v>
      </c>
      <c r="T289" s="13" t="s">
        <v>135</v>
      </c>
      <c r="U289" s="13" t="s">
        <v>136</v>
      </c>
      <c r="V289" s="20" t="s">
        <v>923</v>
      </c>
      <c r="W289" s="13"/>
      <c r="X289" s="20" t="s">
        <v>138</v>
      </c>
      <c r="Y289" s="13" t="s">
        <v>38</v>
      </c>
      <c r="Z289" s="13" t="s">
        <v>1244</v>
      </c>
      <c r="AA289" s="19"/>
      <c r="AB289" s="16" t="s">
        <v>1244</v>
      </c>
      <c r="AC289" s="18">
        <v>46006</v>
      </c>
      <c r="AD289" s="18">
        <v>46008</v>
      </c>
      <c r="AE289" s="18">
        <v>46008</v>
      </c>
      <c r="AF289" s="68"/>
      <c r="AG289" s="23"/>
      <c r="AH289" s="68"/>
      <c r="AI289" s="23"/>
      <c r="AJ289" s="69" t="e">
        <f>HYPERLINK(_xlfn.XLOOKUP(B289,[1]Sheet1!A:A,[1]Sheet1!C:C),"link")</f>
        <v>#N/A</v>
      </c>
      <c r="AK289" s="70"/>
      <c r="AL289" s="70"/>
    </row>
    <row r="290" spans="1:38" ht="18" customHeight="1">
      <c r="A290" s="19" t="s">
        <v>1346</v>
      </c>
      <c r="B290" s="19" t="s">
        <v>141</v>
      </c>
      <c r="C290" s="64" t="s">
        <v>37</v>
      </c>
      <c r="D290" s="16">
        <v>168591</v>
      </c>
      <c r="E290" s="16" t="s">
        <v>76</v>
      </c>
      <c r="F290" s="16">
        <v>643565</v>
      </c>
      <c r="G290" s="16">
        <v>0</v>
      </c>
      <c r="H290" s="18">
        <v>45243</v>
      </c>
      <c r="I290" s="19" t="s">
        <v>94</v>
      </c>
      <c r="J290" s="18">
        <v>45243</v>
      </c>
      <c r="K290" s="18">
        <v>46356</v>
      </c>
      <c r="L290" s="19" t="s">
        <v>54</v>
      </c>
      <c r="M290" s="19" t="s">
        <v>142</v>
      </c>
      <c r="N290" s="13" t="s">
        <v>94</v>
      </c>
      <c r="O290" s="13" t="s">
        <v>45</v>
      </c>
      <c r="P290" s="13" t="s">
        <v>46</v>
      </c>
      <c r="Q290" s="16">
        <v>1018471</v>
      </c>
      <c r="R290" s="16" t="s">
        <v>38</v>
      </c>
      <c r="S290" s="16" t="s">
        <v>38</v>
      </c>
      <c r="T290" s="13" t="s">
        <v>143</v>
      </c>
      <c r="U290" s="13" t="s">
        <v>144</v>
      </c>
      <c r="V290" s="20" t="s">
        <v>923</v>
      </c>
      <c r="W290" s="13" t="s">
        <v>145</v>
      </c>
      <c r="X290" s="20" t="s">
        <v>146</v>
      </c>
      <c r="Y290" s="13" t="s">
        <v>147</v>
      </c>
      <c r="Z290" s="13" t="s">
        <v>1244</v>
      </c>
      <c r="AA290" s="19"/>
      <c r="AB290" s="16" t="s">
        <v>1244</v>
      </c>
      <c r="AC290" s="18">
        <v>46006</v>
      </c>
      <c r="AD290" s="18">
        <v>46008</v>
      </c>
      <c r="AE290" s="18">
        <v>46008</v>
      </c>
      <c r="AF290" s="68"/>
      <c r="AG290" s="23"/>
      <c r="AH290" s="68"/>
      <c r="AI290" s="23"/>
      <c r="AJ290" s="69" t="e">
        <f>HYPERLINK(_xlfn.XLOOKUP(B290,[1]Sheet1!A:A,[1]Sheet1!C:C),"link")</f>
        <v>#N/A</v>
      </c>
      <c r="AK290" s="70"/>
      <c r="AL290" s="70"/>
    </row>
    <row r="291" spans="1:38" ht="18" customHeight="1">
      <c r="A291" s="19" t="s">
        <v>1347</v>
      </c>
      <c r="B291" s="19" t="s">
        <v>148</v>
      </c>
      <c r="C291" s="64" t="s">
        <v>37</v>
      </c>
      <c r="D291" s="16">
        <v>174102</v>
      </c>
      <c r="E291" s="16" t="s">
        <v>76</v>
      </c>
      <c r="F291" s="16">
        <v>643565</v>
      </c>
      <c r="G291" s="16">
        <v>1</v>
      </c>
      <c r="H291" s="18">
        <v>45974</v>
      </c>
      <c r="I291" s="19" t="s">
        <v>116</v>
      </c>
      <c r="J291" s="18">
        <v>45243</v>
      </c>
      <c r="K291" s="18">
        <v>46356</v>
      </c>
      <c r="L291" s="19" t="s">
        <v>54</v>
      </c>
      <c r="M291" s="19" t="s">
        <v>142</v>
      </c>
      <c r="N291" s="13" t="s">
        <v>117</v>
      </c>
      <c r="O291" s="13" t="s">
        <v>45</v>
      </c>
      <c r="P291" s="13" t="s">
        <v>46</v>
      </c>
      <c r="Q291" s="16">
        <v>1018471</v>
      </c>
      <c r="R291" s="16" t="s">
        <v>38</v>
      </c>
      <c r="S291" s="16" t="s">
        <v>38</v>
      </c>
      <c r="T291" s="13" t="s">
        <v>149</v>
      </c>
      <c r="U291" s="13" t="s">
        <v>144</v>
      </c>
      <c r="V291" s="20" t="s">
        <v>923</v>
      </c>
      <c r="W291" s="13" t="s">
        <v>145</v>
      </c>
      <c r="X291" s="20" t="s">
        <v>150</v>
      </c>
      <c r="Y291" s="13" t="s">
        <v>147</v>
      </c>
      <c r="Z291" s="13" t="s">
        <v>1244</v>
      </c>
      <c r="AA291" s="19"/>
      <c r="AB291" s="16" t="s">
        <v>1244</v>
      </c>
      <c r="AC291" s="18">
        <v>46006</v>
      </c>
      <c r="AD291" s="18">
        <v>46008</v>
      </c>
      <c r="AE291" s="18">
        <v>46008</v>
      </c>
      <c r="AF291" s="68"/>
      <c r="AG291" s="23"/>
      <c r="AH291" s="68"/>
      <c r="AI291" s="23"/>
      <c r="AJ291" s="69" t="e">
        <f>HYPERLINK(_xlfn.XLOOKUP(B291,[1]Sheet1!A:A,[1]Sheet1!C:C),"link")</f>
        <v>#N/A</v>
      </c>
      <c r="AK291" s="70"/>
      <c r="AL291" s="70"/>
    </row>
    <row r="292" spans="1:38" ht="18" customHeight="1">
      <c r="A292" s="19" t="s">
        <v>1348</v>
      </c>
      <c r="B292" s="19" t="s">
        <v>151</v>
      </c>
      <c r="C292" s="64" t="s">
        <v>37</v>
      </c>
      <c r="D292" s="16" t="s">
        <v>152</v>
      </c>
      <c r="E292" s="16" t="s">
        <v>76</v>
      </c>
      <c r="F292" s="16">
        <v>630028</v>
      </c>
      <c r="G292" s="16">
        <v>3</v>
      </c>
      <c r="H292" s="18">
        <v>45338</v>
      </c>
      <c r="I292" s="19" t="s">
        <v>153</v>
      </c>
      <c r="J292" s="18">
        <v>44845</v>
      </c>
      <c r="K292" s="18">
        <v>45940</v>
      </c>
      <c r="L292" s="19" t="s">
        <v>95</v>
      </c>
      <c r="M292" s="19" t="s">
        <v>108</v>
      </c>
      <c r="N292" s="13" t="s">
        <v>117</v>
      </c>
      <c r="O292" s="13" t="s">
        <v>45</v>
      </c>
      <c r="P292" s="13" t="s">
        <v>46</v>
      </c>
      <c r="Q292" s="16">
        <v>1018471</v>
      </c>
      <c r="R292" s="16" t="s">
        <v>38</v>
      </c>
      <c r="S292" s="16" t="s">
        <v>38</v>
      </c>
      <c r="T292" s="13" t="s">
        <v>154</v>
      </c>
      <c r="U292" s="13" t="s">
        <v>110</v>
      </c>
      <c r="V292" s="20" t="s">
        <v>923</v>
      </c>
      <c r="W292" s="13"/>
      <c r="X292" s="20" t="s">
        <v>112</v>
      </c>
      <c r="Y292" s="13" t="s">
        <v>38</v>
      </c>
      <c r="Z292" s="13" t="s">
        <v>1244</v>
      </c>
      <c r="AA292" s="19"/>
      <c r="AB292" s="16" t="s">
        <v>1244</v>
      </c>
      <c r="AC292" s="18">
        <v>46006</v>
      </c>
      <c r="AD292" s="18">
        <v>46008</v>
      </c>
      <c r="AE292" s="18">
        <v>46008</v>
      </c>
      <c r="AF292" s="68"/>
      <c r="AG292" s="23"/>
      <c r="AH292" s="68"/>
      <c r="AI292" s="23"/>
      <c r="AJ292" s="69" t="e">
        <f>HYPERLINK(_xlfn.XLOOKUP(B292,[1]Sheet1!A:A,[1]Sheet1!C:C),"link")</f>
        <v>#N/A</v>
      </c>
      <c r="AK292" s="70"/>
      <c r="AL292" s="70"/>
    </row>
    <row r="293" spans="1:38" ht="18" customHeight="1">
      <c r="A293" s="19" t="s">
        <v>1349</v>
      </c>
      <c r="B293" s="19" t="s">
        <v>155</v>
      </c>
      <c r="C293" s="64" t="s">
        <v>37</v>
      </c>
      <c r="D293" s="16" t="s">
        <v>156</v>
      </c>
      <c r="E293" s="16" t="s">
        <v>76</v>
      </c>
      <c r="F293" s="16">
        <v>159927</v>
      </c>
      <c r="G293" s="16">
        <v>0</v>
      </c>
      <c r="H293" s="18">
        <v>45388</v>
      </c>
      <c r="I293" s="19" t="s">
        <v>94</v>
      </c>
      <c r="J293" s="18">
        <v>45388</v>
      </c>
      <c r="K293" s="18">
        <v>46117</v>
      </c>
      <c r="L293" s="19" t="s">
        <v>95</v>
      </c>
      <c r="M293" s="19" t="s">
        <v>157</v>
      </c>
      <c r="N293" s="13" t="s">
        <v>94</v>
      </c>
      <c r="O293" s="13" t="s">
        <v>45</v>
      </c>
      <c r="P293" s="13" t="s">
        <v>46</v>
      </c>
      <c r="Q293" s="16">
        <v>1018471</v>
      </c>
      <c r="R293" s="16" t="s">
        <v>38</v>
      </c>
      <c r="S293" s="16" t="s">
        <v>38</v>
      </c>
      <c r="T293" s="13" t="s">
        <v>158</v>
      </c>
      <c r="U293" s="13" t="s">
        <v>159</v>
      </c>
      <c r="V293" s="20" t="s">
        <v>923</v>
      </c>
      <c r="W293" s="13" t="s">
        <v>625</v>
      </c>
      <c r="X293" s="20" t="s">
        <v>161</v>
      </c>
      <c r="Y293" s="13" t="s">
        <v>38</v>
      </c>
      <c r="Z293" s="13" t="s">
        <v>1244</v>
      </c>
      <c r="AA293" s="19"/>
      <c r="AB293" s="16" t="s">
        <v>1244</v>
      </c>
      <c r="AC293" s="18">
        <v>46006</v>
      </c>
      <c r="AD293" s="18">
        <v>46008</v>
      </c>
      <c r="AE293" s="18">
        <v>46008</v>
      </c>
      <c r="AF293" s="68"/>
      <c r="AG293" s="23"/>
      <c r="AH293" s="68"/>
      <c r="AI293" s="23"/>
      <c r="AJ293" s="69" t="e">
        <f>HYPERLINK(_xlfn.XLOOKUP(B293,[1]Sheet1!A:A,[1]Sheet1!C:C),"link")</f>
        <v>#N/A</v>
      </c>
      <c r="AK293" s="70"/>
      <c r="AL293" s="70"/>
    </row>
    <row r="294" spans="1:38" ht="18" customHeight="1">
      <c r="A294" s="19" t="s">
        <v>1350</v>
      </c>
      <c r="B294" s="19" t="s">
        <v>164</v>
      </c>
      <c r="C294" s="64" t="s">
        <v>37</v>
      </c>
      <c r="D294" s="16" t="s">
        <v>165</v>
      </c>
      <c r="E294" s="16" t="s">
        <v>76</v>
      </c>
      <c r="F294" s="16">
        <v>630028</v>
      </c>
      <c r="G294" s="16">
        <v>4</v>
      </c>
      <c r="H294" s="18">
        <v>45411</v>
      </c>
      <c r="I294" s="19" t="s">
        <v>116</v>
      </c>
      <c r="J294" s="18">
        <v>44845</v>
      </c>
      <c r="K294" s="18">
        <v>45940</v>
      </c>
      <c r="L294" s="19" t="s">
        <v>95</v>
      </c>
      <c r="M294" s="19" t="s">
        <v>108</v>
      </c>
      <c r="N294" s="13" t="s">
        <v>117</v>
      </c>
      <c r="O294" s="13" t="s">
        <v>45</v>
      </c>
      <c r="P294" s="13" t="s">
        <v>46</v>
      </c>
      <c r="Q294" s="16">
        <v>1018471</v>
      </c>
      <c r="R294" s="16" t="s">
        <v>38</v>
      </c>
      <c r="S294" s="16" t="s">
        <v>38</v>
      </c>
      <c r="T294" s="13" t="s">
        <v>166</v>
      </c>
      <c r="U294" s="13" t="s">
        <v>110</v>
      </c>
      <c r="V294" s="20" t="s">
        <v>923</v>
      </c>
      <c r="W294" s="13" t="s">
        <v>299</v>
      </c>
      <c r="X294" s="20" t="s">
        <v>112</v>
      </c>
      <c r="Y294" s="13" t="s">
        <v>38</v>
      </c>
      <c r="Z294" s="13" t="s">
        <v>1244</v>
      </c>
      <c r="AA294" s="19"/>
      <c r="AB294" s="16" t="s">
        <v>1244</v>
      </c>
      <c r="AC294" s="18">
        <v>46006</v>
      </c>
      <c r="AD294" s="18">
        <v>46008</v>
      </c>
      <c r="AE294" s="18">
        <v>46008</v>
      </c>
      <c r="AF294" s="68"/>
      <c r="AG294" s="23"/>
      <c r="AH294" s="68"/>
      <c r="AI294" s="23"/>
      <c r="AJ294" s="69" t="e">
        <f>HYPERLINK(_xlfn.XLOOKUP(B294,[1]Sheet1!A:A,[1]Sheet1!C:C),"link")</f>
        <v>#N/A</v>
      </c>
      <c r="AK294" s="70"/>
      <c r="AL294" s="70"/>
    </row>
    <row r="295" spans="1:38" ht="18" customHeight="1">
      <c r="A295" s="19" t="s">
        <v>1351</v>
      </c>
      <c r="B295" s="19" t="s">
        <v>167</v>
      </c>
      <c r="C295" s="64" t="s">
        <v>37</v>
      </c>
      <c r="D295" s="16" t="s">
        <v>38</v>
      </c>
      <c r="E295" s="16" t="s">
        <v>76</v>
      </c>
      <c r="F295" s="16" t="s">
        <v>38</v>
      </c>
      <c r="G295" s="16">
        <v>0</v>
      </c>
      <c r="H295" s="18">
        <v>45419</v>
      </c>
      <c r="I295" s="19" t="s">
        <v>94</v>
      </c>
      <c r="J295" s="18">
        <v>45419</v>
      </c>
      <c r="K295" s="18">
        <v>46513</v>
      </c>
      <c r="L295" s="19" t="s">
        <v>168</v>
      </c>
      <c r="M295" s="19" t="s">
        <v>169</v>
      </c>
      <c r="N295" s="13" t="s">
        <v>94</v>
      </c>
      <c r="O295" s="13" t="s">
        <v>45</v>
      </c>
      <c r="P295" s="13" t="s">
        <v>46</v>
      </c>
      <c r="Q295" s="16">
        <v>1018471</v>
      </c>
      <c r="R295" s="16" t="s">
        <v>38</v>
      </c>
      <c r="S295" s="16" t="s">
        <v>38</v>
      </c>
      <c r="T295" s="13" t="s">
        <v>170</v>
      </c>
      <c r="U295" s="13" t="s">
        <v>171</v>
      </c>
      <c r="V295" s="20" t="s">
        <v>923</v>
      </c>
      <c r="W295" s="13" t="s">
        <v>196</v>
      </c>
      <c r="X295" s="20" t="s">
        <v>172</v>
      </c>
      <c r="Y295" s="13" t="s">
        <v>173</v>
      </c>
      <c r="Z295" s="13" t="s">
        <v>1244</v>
      </c>
      <c r="AA295" s="19"/>
      <c r="AB295" s="16" t="s">
        <v>1244</v>
      </c>
      <c r="AC295" s="18">
        <v>46006</v>
      </c>
      <c r="AD295" s="18">
        <v>46008</v>
      </c>
      <c r="AE295" s="18">
        <v>46008</v>
      </c>
      <c r="AF295" s="68"/>
      <c r="AG295" s="23"/>
      <c r="AH295" s="68"/>
      <c r="AI295" s="23"/>
      <c r="AJ295" s="69" t="e">
        <f>HYPERLINK(_xlfn.XLOOKUP(B295,[1]Sheet1!A:A,[1]Sheet1!C:C),"link")</f>
        <v>#N/A</v>
      </c>
      <c r="AK295" s="70"/>
      <c r="AL295" s="70"/>
    </row>
    <row r="296" spans="1:38" ht="18" customHeight="1">
      <c r="A296" s="19" t="s">
        <v>1352</v>
      </c>
      <c r="B296" s="19" t="s">
        <v>175</v>
      </c>
      <c r="C296" s="64" t="s">
        <v>37</v>
      </c>
      <c r="D296" s="16" t="s">
        <v>176</v>
      </c>
      <c r="E296" s="16" t="s">
        <v>76</v>
      </c>
      <c r="F296" s="16">
        <v>630028</v>
      </c>
      <c r="G296" s="16">
        <v>5</v>
      </c>
      <c r="H296" s="18">
        <v>45457</v>
      </c>
      <c r="I296" s="19" t="s">
        <v>116</v>
      </c>
      <c r="J296" s="18">
        <v>44845</v>
      </c>
      <c r="K296" s="18">
        <v>45940</v>
      </c>
      <c r="L296" s="19" t="s">
        <v>95</v>
      </c>
      <c r="M296" s="19" t="s">
        <v>108</v>
      </c>
      <c r="N296" s="13" t="s">
        <v>117</v>
      </c>
      <c r="O296" s="13" t="s">
        <v>45</v>
      </c>
      <c r="P296" s="13" t="s">
        <v>46</v>
      </c>
      <c r="Q296" s="16">
        <v>1018471</v>
      </c>
      <c r="R296" s="16" t="s">
        <v>38</v>
      </c>
      <c r="S296" s="16" t="s">
        <v>38</v>
      </c>
      <c r="T296" s="13" t="s">
        <v>177</v>
      </c>
      <c r="U296" s="13" t="s">
        <v>110</v>
      </c>
      <c r="V296" s="20" t="s">
        <v>923</v>
      </c>
      <c r="W296" s="13" t="s">
        <v>299</v>
      </c>
      <c r="X296" s="20" t="s">
        <v>112</v>
      </c>
      <c r="Y296" s="13" t="s">
        <v>38</v>
      </c>
      <c r="Z296" s="13" t="s">
        <v>1244</v>
      </c>
      <c r="AA296" s="19"/>
      <c r="AB296" s="16" t="s">
        <v>1244</v>
      </c>
      <c r="AC296" s="18">
        <v>46006</v>
      </c>
      <c r="AD296" s="18">
        <v>46008</v>
      </c>
      <c r="AE296" s="18">
        <v>46008</v>
      </c>
      <c r="AF296" s="68"/>
      <c r="AG296" s="23"/>
      <c r="AH296" s="68"/>
      <c r="AI296" s="23"/>
      <c r="AJ296" s="69" t="e">
        <f>HYPERLINK(_xlfn.XLOOKUP(B296,[1]Sheet1!A:A,[1]Sheet1!C:C),"link")</f>
        <v>#N/A</v>
      </c>
      <c r="AK296" s="70"/>
      <c r="AL296" s="70"/>
    </row>
    <row r="297" spans="1:38" ht="18" customHeight="1">
      <c r="A297" s="19" t="s">
        <v>1353</v>
      </c>
      <c r="B297" s="19" t="s">
        <v>178</v>
      </c>
      <c r="C297" s="64" t="s">
        <v>37</v>
      </c>
      <c r="D297" s="16">
        <v>198415</v>
      </c>
      <c r="E297" s="16" t="s">
        <v>76</v>
      </c>
      <c r="F297" s="16">
        <v>643565</v>
      </c>
      <c r="G297" s="16">
        <v>2</v>
      </c>
      <c r="H297" s="18">
        <v>45525</v>
      </c>
      <c r="I297" s="19" t="s">
        <v>116</v>
      </c>
      <c r="J297" s="18">
        <v>45243</v>
      </c>
      <c r="K297" s="18">
        <v>46356</v>
      </c>
      <c r="L297" s="19" t="s">
        <v>54</v>
      </c>
      <c r="M297" s="19" t="s">
        <v>142</v>
      </c>
      <c r="N297" s="13" t="s">
        <v>117</v>
      </c>
      <c r="O297" s="13" t="s">
        <v>45</v>
      </c>
      <c r="P297" s="13" t="s">
        <v>46</v>
      </c>
      <c r="Q297" s="16">
        <v>1018471</v>
      </c>
      <c r="R297" s="16" t="s">
        <v>180</v>
      </c>
      <c r="S297" s="16" t="s">
        <v>180</v>
      </c>
      <c r="T297" s="13" t="s">
        <v>181</v>
      </c>
      <c r="U297" s="13" t="s">
        <v>144</v>
      </c>
      <c r="V297" s="20" t="s">
        <v>923</v>
      </c>
      <c r="W297" s="13" t="s">
        <v>145</v>
      </c>
      <c r="X297" s="20" t="s">
        <v>182</v>
      </c>
      <c r="Y297" s="13" t="s">
        <v>147</v>
      </c>
      <c r="Z297" s="13" t="s">
        <v>1244</v>
      </c>
      <c r="AA297" s="19"/>
      <c r="AB297" s="16" t="s">
        <v>1244</v>
      </c>
      <c r="AC297" s="18">
        <v>46006</v>
      </c>
      <c r="AD297" s="18">
        <v>46008</v>
      </c>
      <c r="AE297" s="18">
        <v>46008</v>
      </c>
      <c r="AF297" s="68"/>
      <c r="AG297" s="23"/>
      <c r="AH297" s="68"/>
      <c r="AI297" s="23"/>
      <c r="AJ297" s="69" t="e">
        <f>HYPERLINK(_xlfn.XLOOKUP(B297,[1]Sheet1!A:A,[1]Sheet1!C:C),"link")</f>
        <v>#N/A</v>
      </c>
      <c r="AK297" s="70"/>
      <c r="AL297" s="70"/>
    </row>
    <row r="298" spans="1:38" ht="18" customHeight="1">
      <c r="A298" s="19" t="s">
        <v>1354</v>
      </c>
      <c r="B298" s="19" t="s">
        <v>184</v>
      </c>
      <c r="C298" s="64" t="s">
        <v>37</v>
      </c>
      <c r="D298" s="16">
        <v>106832</v>
      </c>
      <c r="E298" s="16" t="s">
        <v>76</v>
      </c>
      <c r="F298" s="16">
        <v>210569</v>
      </c>
      <c r="G298" s="16">
        <v>0</v>
      </c>
      <c r="H298" s="18">
        <v>45523</v>
      </c>
      <c r="I298" s="19" t="s">
        <v>185</v>
      </c>
      <c r="J298" s="18">
        <v>45523</v>
      </c>
      <c r="K298" s="18">
        <v>45888</v>
      </c>
      <c r="L298" s="19" t="s">
        <v>95</v>
      </c>
      <c r="M298" s="19" t="s">
        <v>186</v>
      </c>
      <c r="N298" s="13" t="s">
        <v>94</v>
      </c>
      <c r="O298" s="13" t="s">
        <v>45</v>
      </c>
      <c r="P298" s="13" t="s">
        <v>46</v>
      </c>
      <c r="Q298" s="16">
        <v>1018471</v>
      </c>
      <c r="R298" s="16" t="s">
        <v>38</v>
      </c>
      <c r="S298" s="16" t="s">
        <v>38</v>
      </c>
      <c r="T298" s="13" t="s">
        <v>187</v>
      </c>
      <c r="U298" s="13" t="s">
        <v>188</v>
      </c>
      <c r="V298" s="20" t="s">
        <v>189</v>
      </c>
      <c r="W298" s="13"/>
      <c r="X298" s="20" t="s">
        <v>190</v>
      </c>
      <c r="Y298" s="13" t="s">
        <v>191</v>
      </c>
      <c r="Z298" s="13" t="s">
        <v>1244</v>
      </c>
      <c r="AA298" s="19"/>
      <c r="AB298" s="16" t="s">
        <v>1244</v>
      </c>
      <c r="AC298" s="18">
        <v>46006</v>
      </c>
      <c r="AD298" s="18">
        <v>46008</v>
      </c>
      <c r="AE298" s="18">
        <v>46008</v>
      </c>
      <c r="AF298" s="68"/>
      <c r="AG298" s="23"/>
      <c r="AH298" s="68"/>
      <c r="AI298" s="23"/>
      <c r="AJ298" s="69" t="e">
        <f>HYPERLINK(_xlfn.XLOOKUP(B298,[1]Sheet1!A:A,[1]Sheet1!C:C),"link")</f>
        <v>#N/A</v>
      </c>
      <c r="AK298" s="70"/>
      <c r="AL298" s="70"/>
    </row>
    <row r="299" spans="1:38" ht="18" customHeight="1">
      <c r="A299" s="19" t="s">
        <v>1355</v>
      </c>
      <c r="B299" s="19" t="s">
        <v>193</v>
      </c>
      <c r="C299" s="64" t="s">
        <v>37</v>
      </c>
      <c r="D299" s="16">
        <v>190760</v>
      </c>
      <c r="E299" s="16" t="s">
        <v>76</v>
      </c>
      <c r="F299" s="16">
        <v>630028</v>
      </c>
      <c r="G299" s="16">
        <v>6</v>
      </c>
      <c r="H299" s="18">
        <v>45553</v>
      </c>
      <c r="I299" s="19" t="s">
        <v>116</v>
      </c>
      <c r="J299" s="18">
        <v>44845</v>
      </c>
      <c r="K299" s="18">
        <v>45940</v>
      </c>
      <c r="L299" s="19" t="s">
        <v>95</v>
      </c>
      <c r="M299" s="19" t="s">
        <v>108</v>
      </c>
      <c r="N299" s="13" t="s">
        <v>117</v>
      </c>
      <c r="O299" s="13" t="s">
        <v>45</v>
      </c>
      <c r="P299" s="13" t="s">
        <v>46</v>
      </c>
      <c r="Q299" s="16">
        <v>1018471</v>
      </c>
      <c r="R299" s="16" t="s">
        <v>194</v>
      </c>
      <c r="S299" s="16" t="s">
        <v>194</v>
      </c>
      <c r="T299" s="13" t="s">
        <v>195</v>
      </c>
      <c r="U299" s="13" t="s">
        <v>110</v>
      </c>
      <c r="V299" s="20" t="s">
        <v>923</v>
      </c>
      <c r="W299" s="13" t="s">
        <v>299</v>
      </c>
      <c r="X299" s="20" t="s">
        <v>112</v>
      </c>
      <c r="Y299" s="13" t="s">
        <v>196</v>
      </c>
      <c r="Z299" s="13" t="s">
        <v>1244</v>
      </c>
      <c r="AA299" s="19"/>
      <c r="AB299" s="16" t="s">
        <v>1244</v>
      </c>
      <c r="AC299" s="18">
        <v>46006</v>
      </c>
      <c r="AD299" s="18">
        <v>46008</v>
      </c>
      <c r="AE299" s="18">
        <v>46008</v>
      </c>
      <c r="AF299" s="68"/>
      <c r="AG299" s="23"/>
      <c r="AH299" s="68"/>
      <c r="AI299" s="23"/>
      <c r="AJ299" s="69" t="e">
        <f>HYPERLINK(_xlfn.XLOOKUP(B299,[1]Sheet1!A:A,[1]Sheet1!C:C),"link")</f>
        <v>#N/A</v>
      </c>
      <c r="AK299" s="70"/>
      <c r="AL299" s="70"/>
    </row>
    <row r="300" spans="1:38" ht="18" customHeight="1">
      <c r="A300" s="19" t="s">
        <v>1356</v>
      </c>
      <c r="B300" s="19" t="s">
        <v>198</v>
      </c>
      <c r="C300" s="64" t="s">
        <v>37</v>
      </c>
      <c r="D300" s="16">
        <v>198093</v>
      </c>
      <c r="E300" s="16" t="s">
        <v>76</v>
      </c>
      <c r="F300" s="16">
        <v>643060</v>
      </c>
      <c r="G300" s="16">
        <v>1</v>
      </c>
      <c r="H300" s="18">
        <v>45552</v>
      </c>
      <c r="I300" s="19" t="s">
        <v>116</v>
      </c>
      <c r="J300" s="18">
        <v>45231</v>
      </c>
      <c r="K300" s="18">
        <v>46326</v>
      </c>
      <c r="L300" s="19" t="s">
        <v>95</v>
      </c>
      <c r="M300" s="19" t="s">
        <v>199</v>
      </c>
      <c r="N300" s="13" t="s">
        <v>117</v>
      </c>
      <c r="O300" s="13" t="s">
        <v>45</v>
      </c>
      <c r="P300" s="13" t="s">
        <v>46</v>
      </c>
      <c r="Q300" s="16">
        <v>1018471</v>
      </c>
      <c r="R300" s="16" t="s">
        <v>38</v>
      </c>
      <c r="S300" s="16" t="s">
        <v>38</v>
      </c>
      <c r="T300" s="13" t="s">
        <v>200</v>
      </c>
      <c r="U300" s="13" t="s">
        <v>38</v>
      </c>
      <c r="V300" s="20" t="s">
        <v>923</v>
      </c>
      <c r="W300" s="13" t="s">
        <v>137</v>
      </c>
      <c r="X300" s="20" t="s">
        <v>138</v>
      </c>
      <c r="Y300" s="13" t="s">
        <v>38</v>
      </c>
      <c r="Z300" s="13" t="s">
        <v>1244</v>
      </c>
      <c r="AA300" s="19"/>
      <c r="AB300" s="16" t="s">
        <v>1244</v>
      </c>
      <c r="AC300" s="18">
        <v>46006</v>
      </c>
      <c r="AD300" s="18">
        <v>46008</v>
      </c>
      <c r="AE300" s="18">
        <v>46008</v>
      </c>
      <c r="AF300" s="68"/>
      <c r="AG300" s="23"/>
      <c r="AH300" s="68"/>
      <c r="AI300" s="23"/>
      <c r="AJ300" s="69" t="e">
        <f>HYPERLINK(_xlfn.XLOOKUP(B300,[1]Sheet1!A:A,[1]Sheet1!C:C),"link")</f>
        <v>#N/A</v>
      </c>
      <c r="AK300" s="70"/>
      <c r="AL300" s="70"/>
    </row>
    <row r="301" spans="1:38" ht="18" customHeight="1">
      <c r="A301" s="19" t="s">
        <v>1357</v>
      </c>
      <c r="B301" s="19" t="s">
        <v>202</v>
      </c>
      <c r="C301" s="64" t="s">
        <v>37</v>
      </c>
      <c r="D301" s="16">
        <v>200550</v>
      </c>
      <c r="E301" s="16" t="s">
        <v>76</v>
      </c>
      <c r="F301" s="16">
        <v>618324</v>
      </c>
      <c r="G301" s="16">
        <v>2</v>
      </c>
      <c r="H301" s="18">
        <v>45554</v>
      </c>
      <c r="I301" s="19" t="s">
        <v>116</v>
      </c>
      <c r="J301" s="18">
        <v>44501</v>
      </c>
      <c r="K301" s="18">
        <v>46326</v>
      </c>
      <c r="L301" s="19" t="s">
        <v>95</v>
      </c>
      <c r="M301" s="19" t="s">
        <v>203</v>
      </c>
      <c r="N301" s="13" t="s">
        <v>117</v>
      </c>
      <c r="O301" s="13" t="s">
        <v>45</v>
      </c>
      <c r="P301" s="13" t="s">
        <v>46</v>
      </c>
      <c r="Q301" s="16">
        <v>1018471</v>
      </c>
      <c r="R301" s="16" t="s">
        <v>204</v>
      </c>
      <c r="S301" s="16" t="s">
        <v>38</v>
      </c>
      <c r="T301" s="13" t="s">
        <v>205</v>
      </c>
      <c r="U301" s="13" t="s">
        <v>98</v>
      </c>
      <c r="V301" s="20" t="s">
        <v>99</v>
      </c>
      <c r="W301" s="13"/>
      <c r="X301" s="20" t="s">
        <v>206</v>
      </c>
      <c r="Y301" s="13" t="s">
        <v>207</v>
      </c>
      <c r="Z301" s="13" t="s">
        <v>1244</v>
      </c>
      <c r="AA301" s="19"/>
      <c r="AB301" s="16" t="s">
        <v>1244</v>
      </c>
      <c r="AC301" s="18">
        <v>46006</v>
      </c>
      <c r="AD301" s="18">
        <v>46008</v>
      </c>
      <c r="AE301" s="18">
        <v>46008</v>
      </c>
      <c r="AF301" s="68"/>
      <c r="AG301" s="23"/>
      <c r="AH301" s="68"/>
      <c r="AI301" s="23"/>
      <c r="AJ301" s="69" t="e">
        <f>HYPERLINK(_xlfn.XLOOKUP(B301,[1]Sheet1!A:A,[1]Sheet1!C:C),"link")</f>
        <v>#N/A</v>
      </c>
      <c r="AK301" s="70"/>
      <c r="AL301" s="70"/>
    </row>
    <row r="302" spans="1:38" ht="18" customHeight="1">
      <c r="A302" s="19" t="s">
        <v>1358</v>
      </c>
      <c r="B302" s="19" t="s">
        <v>209</v>
      </c>
      <c r="C302" s="64" t="s">
        <v>37</v>
      </c>
      <c r="D302" s="16" t="s">
        <v>38</v>
      </c>
      <c r="E302" s="16" t="s">
        <v>76</v>
      </c>
      <c r="F302" s="16">
        <v>137527</v>
      </c>
      <c r="G302" s="16">
        <v>0</v>
      </c>
      <c r="H302" s="18">
        <v>45566</v>
      </c>
      <c r="I302" s="19" t="s">
        <v>210</v>
      </c>
      <c r="J302" s="18">
        <v>43922</v>
      </c>
      <c r="K302" s="18">
        <v>47027</v>
      </c>
      <c r="L302" s="19" t="s">
        <v>54</v>
      </c>
      <c r="M302" s="19" t="s">
        <v>211</v>
      </c>
      <c r="N302" s="13" t="s">
        <v>94</v>
      </c>
      <c r="O302" s="13" t="s">
        <v>45</v>
      </c>
      <c r="P302" s="13" t="s">
        <v>46</v>
      </c>
      <c r="Q302" s="16">
        <v>1018471</v>
      </c>
      <c r="R302" s="16" t="s">
        <v>38</v>
      </c>
      <c r="S302" s="16" t="s">
        <v>38</v>
      </c>
      <c r="T302" s="13" t="s">
        <v>212</v>
      </c>
      <c r="U302" s="13" t="s">
        <v>213</v>
      </c>
      <c r="V302" s="20" t="s">
        <v>38</v>
      </c>
      <c r="W302" s="13"/>
      <c r="X302" s="20" t="s">
        <v>214</v>
      </c>
      <c r="Y302" s="13" t="s">
        <v>215</v>
      </c>
      <c r="Z302" s="13" t="s">
        <v>1244</v>
      </c>
      <c r="AA302" s="19"/>
      <c r="AB302" s="16" t="s">
        <v>1244</v>
      </c>
      <c r="AC302" s="18">
        <v>46006</v>
      </c>
      <c r="AD302" s="18">
        <v>46008</v>
      </c>
      <c r="AE302" s="18">
        <v>46008</v>
      </c>
      <c r="AF302" s="68"/>
      <c r="AG302" s="23"/>
      <c r="AH302" s="68"/>
      <c r="AI302" s="23"/>
      <c r="AJ302" s="69" t="e">
        <f>HYPERLINK(_xlfn.XLOOKUP(B302,[1]Sheet1!A:A,[1]Sheet1!C:C),"link")</f>
        <v>#N/A</v>
      </c>
      <c r="AK302" s="70"/>
      <c r="AL302" s="70"/>
    </row>
    <row r="303" spans="1:38" ht="18" customHeight="1">
      <c r="A303" s="19" t="s">
        <v>1359</v>
      </c>
      <c r="B303" s="19" t="s">
        <v>222</v>
      </c>
      <c r="C303" s="64" t="s">
        <v>37</v>
      </c>
      <c r="D303" s="16">
        <v>198087</v>
      </c>
      <c r="E303" s="16" t="s">
        <v>76</v>
      </c>
      <c r="F303" s="16">
        <v>630028</v>
      </c>
      <c r="G303" s="16">
        <v>7</v>
      </c>
      <c r="H303" s="18">
        <v>45631</v>
      </c>
      <c r="I303" s="19" t="s">
        <v>116</v>
      </c>
      <c r="J303" s="18">
        <v>44845</v>
      </c>
      <c r="K303" s="18">
        <v>45940</v>
      </c>
      <c r="L303" s="19" t="s">
        <v>95</v>
      </c>
      <c r="M303" s="19" t="s">
        <v>108</v>
      </c>
      <c r="N303" s="13" t="s">
        <v>117</v>
      </c>
      <c r="O303" s="13" t="s">
        <v>45</v>
      </c>
      <c r="P303" s="13" t="s">
        <v>46</v>
      </c>
      <c r="Q303" s="16">
        <v>1018471</v>
      </c>
      <c r="R303" s="16" t="s">
        <v>38</v>
      </c>
      <c r="S303" s="16" t="s">
        <v>38</v>
      </c>
      <c r="T303" s="13" t="s">
        <v>223</v>
      </c>
      <c r="U303" s="13" t="s">
        <v>110</v>
      </c>
      <c r="V303" s="20" t="s">
        <v>923</v>
      </c>
      <c r="W303" s="13" t="s">
        <v>111</v>
      </c>
      <c r="X303" s="20" t="s">
        <v>112</v>
      </c>
      <c r="Y303" s="13" t="s">
        <v>196</v>
      </c>
      <c r="Z303" s="13" t="s">
        <v>1244</v>
      </c>
      <c r="AA303" s="19"/>
      <c r="AB303" s="16" t="s">
        <v>1244</v>
      </c>
      <c r="AC303" s="18">
        <v>46006</v>
      </c>
      <c r="AD303" s="18">
        <v>46008</v>
      </c>
      <c r="AE303" s="18">
        <v>46008</v>
      </c>
      <c r="AF303" s="68"/>
      <c r="AG303" s="23"/>
      <c r="AH303" s="68"/>
      <c r="AI303" s="23"/>
      <c r="AJ303" s="69" t="e">
        <f>HYPERLINK(_xlfn.XLOOKUP(B303,[1]Sheet1!A:A,[1]Sheet1!C:C),"link")</f>
        <v>#N/A</v>
      </c>
      <c r="AK303" s="70"/>
      <c r="AL303" s="70"/>
    </row>
    <row r="304" spans="1:38" ht="18" customHeight="1">
      <c r="A304" s="19" t="s">
        <v>1360</v>
      </c>
      <c r="B304" s="19" t="s">
        <v>224</v>
      </c>
      <c r="C304" s="64" t="s">
        <v>37</v>
      </c>
      <c r="D304" s="16">
        <v>198316</v>
      </c>
      <c r="E304" s="16" t="s">
        <v>76</v>
      </c>
      <c r="F304" s="16">
        <v>218281</v>
      </c>
      <c r="G304" s="16">
        <v>0</v>
      </c>
      <c r="H304" s="18">
        <v>45664</v>
      </c>
      <c r="I304" s="19" t="s">
        <v>94</v>
      </c>
      <c r="J304" s="18">
        <v>43922</v>
      </c>
      <c r="K304" s="18">
        <v>45747</v>
      </c>
      <c r="L304" s="19" t="s">
        <v>54</v>
      </c>
      <c r="M304" s="19" t="s">
        <v>225</v>
      </c>
      <c r="N304" s="13" t="s">
        <v>94</v>
      </c>
      <c r="O304" s="13" t="s">
        <v>45</v>
      </c>
      <c r="P304" s="13" t="s">
        <v>46</v>
      </c>
      <c r="Q304" s="16">
        <v>1018471</v>
      </c>
      <c r="R304" s="16" t="s">
        <v>38</v>
      </c>
      <c r="S304" s="16" t="s">
        <v>38</v>
      </c>
      <c r="T304" s="13" t="s">
        <v>226</v>
      </c>
      <c r="U304" s="13" t="s">
        <v>227</v>
      </c>
      <c r="V304" s="20" t="s">
        <v>923</v>
      </c>
      <c r="W304" s="13" t="s">
        <v>228</v>
      </c>
      <c r="X304" s="20" t="s">
        <v>229</v>
      </c>
      <c r="Y304" s="13" t="s">
        <v>230</v>
      </c>
      <c r="Z304" s="13" t="s">
        <v>1244</v>
      </c>
      <c r="AA304" s="19"/>
      <c r="AB304" s="16" t="s">
        <v>1244</v>
      </c>
      <c r="AC304" s="18">
        <v>46006</v>
      </c>
      <c r="AD304" s="18">
        <v>46008</v>
      </c>
      <c r="AE304" s="18">
        <v>46008</v>
      </c>
      <c r="AF304" s="68"/>
      <c r="AG304" s="23"/>
      <c r="AH304" s="68"/>
      <c r="AI304" s="23"/>
      <c r="AJ304" s="69" t="e">
        <f>HYPERLINK(_xlfn.XLOOKUP(B304,[1]Sheet1!A:A,[1]Sheet1!C:C),"link")</f>
        <v>#N/A</v>
      </c>
      <c r="AK304" s="70"/>
      <c r="AL304" s="70"/>
    </row>
    <row r="305" spans="1:38" ht="18" customHeight="1">
      <c r="A305" s="19" t="s">
        <v>1361</v>
      </c>
      <c r="B305" s="19" t="s">
        <v>233</v>
      </c>
      <c r="C305" s="64" t="s">
        <v>37</v>
      </c>
      <c r="D305" s="16">
        <v>204999</v>
      </c>
      <c r="E305" s="16" t="s">
        <v>76</v>
      </c>
      <c r="F305" s="16" t="s">
        <v>38</v>
      </c>
      <c r="G305" s="16">
        <v>0</v>
      </c>
      <c r="H305" s="18">
        <v>45692</v>
      </c>
      <c r="I305" s="19" t="s">
        <v>94</v>
      </c>
      <c r="J305" s="18">
        <v>45692</v>
      </c>
      <c r="K305" s="18">
        <v>46446</v>
      </c>
      <c r="L305" s="19" t="s">
        <v>54</v>
      </c>
      <c r="M305" s="19" t="s">
        <v>234</v>
      </c>
      <c r="N305" s="13" t="s">
        <v>94</v>
      </c>
      <c r="O305" s="13" t="s">
        <v>45</v>
      </c>
      <c r="P305" s="13" t="s">
        <v>46</v>
      </c>
      <c r="Q305" s="16">
        <v>1018471</v>
      </c>
      <c r="R305" s="16" t="s">
        <v>235</v>
      </c>
      <c r="S305" s="16" t="s">
        <v>38</v>
      </c>
      <c r="T305" s="13" t="s">
        <v>236</v>
      </c>
      <c r="U305" s="13" t="s">
        <v>237</v>
      </c>
      <c r="V305" s="20" t="s">
        <v>923</v>
      </c>
      <c r="W305" s="13" t="s">
        <v>238</v>
      </c>
      <c r="X305" s="20" t="s">
        <v>239</v>
      </c>
      <c r="Y305" s="13" t="s">
        <v>38</v>
      </c>
      <c r="Z305" s="13" t="s">
        <v>1244</v>
      </c>
      <c r="AA305" s="19"/>
      <c r="AB305" s="16" t="s">
        <v>1244</v>
      </c>
      <c r="AC305" s="18">
        <v>46006</v>
      </c>
      <c r="AD305" s="18">
        <v>46008</v>
      </c>
      <c r="AE305" s="18">
        <v>46008</v>
      </c>
      <c r="AF305" s="68"/>
      <c r="AG305" s="23"/>
      <c r="AH305" s="68"/>
      <c r="AI305" s="23"/>
      <c r="AJ305" s="69" t="e">
        <f>HYPERLINK(_xlfn.XLOOKUP(B305,[1]Sheet1!A:A,[1]Sheet1!C:C),"link")</f>
        <v>#N/A</v>
      </c>
      <c r="AK305" s="70"/>
      <c r="AL305" s="70"/>
    </row>
    <row r="306" spans="1:38" ht="18" customHeight="1">
      <c r="A306" s="19" t="s">
        <v>1362</v>
      </c>
      <c r="B306" s="19" t="s">
        <v>240</v>
      </c>
      <c r="C306" s="64" t="s">
        <v>37</v>
      </c>
      <c r="D306" s="16">
        <v>209411</v>
      </c>
      <c r="E306" s="16" t="s">
        <v>76</v>
      </c>
      <c r="F306" s="16">
        <v>643060</v>
      </c>
      <c r="G306" s="16">
        <v>2</v>
      </c>
      <c r="H306" s="18">
        <v>45695</v>
      </c>
      <c r="I306" s="19" t="s">
        <v>116</v>
      </c>
      <c r="J306" s="18">
        <v>45231</v>
      </c>
      <c r="K306" s="18">
        <v>46326</v>
      </c>
      <c r="L306" s="19" t="s">
        <v>95</v>
      </c>
      <c r="M306" s="19" t="s">
        <v>241</v>
      </c>
      <c r="N306" s="13" t="s">
        <v>117</v>
      </c>
      <c r="O306" s="13" t="s">
        <v>45</v>
      </c>
      <c r="P306" s="13" t="s">
        <v>46</v>
      </c>
      <c r="Q306" s="16">
        <v>1018471</v>
      </c>
      <c r="R306" s="16" t="s">
        <v>38</v>
      </c>
      <c r="S306" s="16" t="s">
        <v>38</v>
      </c>
      <c r="T306" s="13" t="s">
        <v>242</v>
      </c>
      <c r="U306" s="13" t="s">
        <v>38</v>
      </c>
      <c r="V306" s="20" t="s">
        <v>923</v>
      </c>
      <c r="W306" s="13"/>
      <c r="X306" s="20" t="s">
        <v>138</v>
      </c>
      <c r="Y306" s="13" t="s">
        <v>38</v>
      </c>
      <c r="Z306" s="13" t="s">
        <v>1244</v>
      </c>
      <c r="AA306" s="19"/>
      <c r="AB306" s="16" t="s">
        <v>1244</v>
      </c>
      <c r="AC306" s="18">
        <v>46006</v>
      </c>
      <c r="AD306" s="18">
        <v>46008</v>
      </c>
      <c r="AE306" s="18">
        <v>46008</v>
      </c>
      <c r="AF306" s="68"/>
      <c r="AG306" s="23"/>
      <c r="AH306" s="68"/>
      <c r="AI306" s="23"/>
      <c r="AJ306" s="69" t="e">
        <f>HYPERLINK(_xlfn.XLOOKUP(B306,[1]Sheet1!A:A,[1]Sheet1!C:C),"link")</f>
        <v>#N/A</v>
      </c>
      <c r="AK306" s="70"/>
      <c r="AL306" s="70"/>
    </row>
    <row r="307" spans="1:38" ht="18" customHeight="1">
      <c r="A307" s="19" t="s">
        <v>1363</v>
      </c>
      <c r="B307" s="19" t="s">
        <v>244</v>
      </c>
      <c r="C307" s="64" t="s">
        <v>37</v>
      </c>
      <c r="D307" s="16" t="s">
        <v>38</v>
      </c>
      <c r="E307" s="16" t="s">
        <v>52</v>
      </c>
      <c r="F307" s="16" t="s">
        <v>52</v>
      </c>
      <c r="G307" s="16">
        <v>2</v>
      </c>
      <c r="H307" s="18">
        <v>45688</v>
      </c>
      <c r="I307" s="19" t="s">
        <v>59</v>
      </c>
      <c r="J307" s="18">
        <v>45748</v>
      </c>
      <c r="K307" s="18">
        <v>46843</v>
      </c>
      <c r="L307" s="19" t="s">
        <v>54</v>
      </c>
      <c r="M307" s="19" t="s">
        <v>55</v>
      </c>
      <c r="N307" s="13" t="s">
        <v>245</v>
      </c>
      <c r="O307" s="13" t="s">
        <v>45</v>
      </c>
      <c r="P307" s="13" t="s">
        <v>46</v>
      </c>
      <c r="Q307" s="16">
        <v>401563</v>
      </c>
      <c r="R307" s="16" t="s">
        <v>38</v>
      </c>
      <c r="S307" s="16" t="s">
        <v>38</v>
      </c>
      <c r="T307" s="13" t="s">
        <v>246</v>
      </c>
      <c r="U307" s="13" t="s">
        <v>247</v>
      </c>
      <c r="V307" s="20" t="s">
        <v>38</v>
      </c>
      <c r="W307" s="13"/>
      <c r="X307" s="20" t="s">
        <v>57</v>
      </c>
      <c r="Y307" s="13" t="s">
        <v>38</v>
      </c>
      <c r="Z307" s="13" t="s">
        <v>1244</v>
      </c>
      <c r="AA307" s="19"/>
      <c r="AB307" s="16" t="s">
        <v>1244</v>
      </c>
      <c r="AC307" s="18">
        <v>46006</v>
      </c>
      <c r="AD307" s="18">
        <v>46008</v>
      </c>
      <c r="AE307" s="18">
        <v>46008</v>
      </c>
      <c r="AF307" s="68"/>
      <c r="AG307" s="23"/>
      <c r="AH307" s="68"/>
      <c r="AI307" s="23"/>
      <c r="AJ307" s="69" t="e">
        <f>HYPERLINK(_xlfn.XLOOKUP(B307,[1]Sheet1!A:A,[1]Sheet1!C:C),"link")</f>
        <v>#N/A</v>
      </c>
      <c r="AK307" s="70"/>
      <c r="AL307" s="70"/>
    </row>
    <row r="308" spans="1:38" ht="18" customHeight="1">
      <c r="A308" s="19" t="s">
        <v>1364</v>
      </c>
      <c r="B308" s="19" t="s">
        <v>249</v>
      </c>
      <c r="C308" s="64" t="s">
        <v>37</v>
      </c>
      <c r="D308" s="16">
        <v>219871</v>
      </c>
      <c r="E308" s="16" t="s">
        <v>76</v>
      </c>
      <c r="F308" s="16">
        <v>630028</v>
      </c>
      <c r="G308" s="16">
        <v>8</v>
      </c>
      <c r="H308" s="18">
        <v>45778</v>
      </c>
      <c r="I308" s="19" t="s">
        <v>250</v>
      </c>
      <c r="J308" s="18">
        <v>44845</v>
      </c>
      <c r="K308" s="18">
        <v>45940</v>
      </c>
      <c r="L308" s="19" t="s">
        <v>95</v>
      </c>
      <c r="M308" s="19" t="s">
        <v>108</v>
      </c>
      <c r="N308" s="13" t="s">
        <v>251</v>
      </c>
      <c r="O308" s="13" t="s">
        <v>45</v>
      </c>
      <c r="P308" s="13" t="s">
        <v>46</v>
      </c>
      <c r="Q308" s="16">
        <v>1018471</v>
      </c>
      <c r="R308" s="16" t="s">
        <v>38</v>
      </c>
      <c r="S308" s="16" t="s">
        <v>38</v>
      </c>
      <c r="T308" s="13" t="s">
        <v>252</v>
      </c>
      <c r="U308" s="13" t="s">
        <v>110</v>
      </c>
      <c r="V308" s="20" t="s">
        <v>923</v>
      </c>
      <c r="W308" s="13" t="s">
        <v>111</v>
      </c>
      <c r="X308" s="20" t="s">
        <v>112</v>
      </c>
      <c r="Y308" s="13" t="s">
        <v>196</v>
      </c>
      <c r="Z308" s="13" t="s">
        <v>1244</v>
      </c>
      <c r="AA308" s="19"/>
      <c r="AB308" s="16" t="s">
        <v>1244</v>
      </c>
      <c r="AC308" s="18">
        <v>46006</v>
      </c>
      <c r="AD308" s="18">
        <v>46008</v>
      </c>
      <c r="AE308" s="18">
        <v>46008</v>
      </c>
      <c r="AF308" s="68"/>
      <c r="AG308" s="23"/>
      <c r="AH308" s="68"/>
      <c r="AI308" s="23"/>
      <c r="AJ308" s="69" t="e">
        <f>HYPERLINK(_xlfn.XLOOKUP(B308,[1]Sheet1!A:A,[1]Sheet1!C:C),"link")</f>
        <v>#N/A</v>
      </c>
      <c r="AK308" s="70"/>
      <c r="AL308" s="70"/>
    </row>
    <row r="309" spans="1:38" ht="18" customHeight="1">
      <c r="A309" s="19" t="s">
        <v>1365</v>
      </c>
      <c r="B309" s="19" t="s">
        <v>253</v>
      </c>
      <c r="C309" s="64" t="s">
        <v>37</v>
      </c>
      <c r="D309" s="16">
        <v>204026</v>
      </c>
      <c r="E309" s="16" t="s">
        <v>76</v>
      </c>
      <c r="F309" s="16">
        <v>630028</v>
      </c>
      <c r="G309" s="16">
        <v>9</v>
      </c>
      <c r="H309" s="18">
        <v>45796</v>
      </c>
      <c r="I309" s="19" t="s">
        <v>254</v>
      </c>
      <c r="J309" s="18">
        <v>44845</v>
      </c>
      <c r="K309" s="18">
        <v>45940</v>
      </c>
      <c r="L309" s="19" t="s">
        <v>95</v>
      </c>
      <c r="M309" s="19" t="s">
        <v>108</v>
      </c>
      <c r="N309" s="13" t="s">
        <v>117</v>
      </c>
      <c r="O309" s="13" t="s">
        <v>45</v>
      </c>
      <c r="P309" s="13" t="s">
        <v>46</v>
      </c>
      <c r="Q309" s="16">
        <v>1018471</v>
      </c>
      <c r="R309" s="16" t="s">
        <v>38</v>
      </c>
      <c r="S309" s="16" t="s">
        <v>38</v>
      </c>
      <c r="T309" s="13" t="s">
        <v>255</v>
      </c>
      <c r="U309" s="13" t="s">
        <v>110</v>
      </c>
      <c r="V309" s="20" t="s">
        <v>923</v>
      </c>
      <c r="W309" s="13" t="s">
        <v>111</v>
      </c>
      <c r="X309" s="20" t="s">
        <v>112</v>
      </c>
      <c r="Y309" s="13" t="s">
        <v>196</v>
      </c>
      <c r="Z309" s="13" t="s">
        <v>1244</v>
      </c>
      <c r="AA309" s="19"/>
      <c r="AB309" s="16" t="s">
        <v>1244</v>
      </c>
      <c r="AC309" s="18">
        <v>46006</v>
      </c>
      <c r="AD309" s="18">
        <v>46008</v>
      </c>
      <c r="AE309" s="18">
        <v>46008</v>
      </c>
      <c r="AF309" s="68"/>
      <c r="AG309" s="23"/>
      <c r="AH309" s="68"/>
      <c r="AI309" s="23"/>
      <c r="AJ309" s="69" t="e">
        <f>HYPERLINK(_xlfn.XLOOKUP(B309,[1]Sheet1!A:A,[1]Sheet1!C:C),"link")</f>
        <v>#N/A</v>
      </c>
      <c r="AK309" s="70"/>
      <c r="AL309" s="70"/>
    </row>
    <row r="310" spans="1:38" ht="18" customHeight="1">
      <c r="A310" s="19" t="s">
        <v>1366</v>
      </c>
      <c r="B310" s="19" t="s">
        <v>256</v>
      </c>
      <c r="C310" s="64" t="s">
        <v>37</v>
      </c>
      <c r="D310" s="16">
        <v>214546</v>
      </c>
      <c r="E310" s="16" t="s">
        <v>76</v>
      </c>
      <c r="F310" s="16">
        <v>630028</v>
      </c>
      <c r="G310" s="16">
        <v>10</v>
      </c>
      <c r="H310" s="18">
        <v>45797</v>
      </c>
      <c r="I310" s="19" t="s">
        <v>254</v>
      </c>
      <c r="J310" s="18">
        <v>44845</v>
      </c>
      <c r="K310" s="18">
        <v>45940</v>
      </c>
      <c r="L310" s="19" t="s">
        <v>95</v>
      </c>
      <c r="M310" s="19" t="s">
        <v>108</v>
      </c>
      <c r="N310" s="13" t="s">
        <v>117</v>
      </c>
      <c r="O310" s="13" t="s">
        <v>45</v>
      </c>
      <c r="P310" s="13" t="s">
        <v>46</v>
      </c>
      <c r="Q310" s="16">
        <v>1018471</v>
      </c>
      <c r="R310" s="16" t="s">
        <v>38</v>
      </c>
      <c r="S310" s="16" t="s">
        <v>38</v>
      </c>
      <c r="T310" s="13" t="s">
        <v>257</v>
      </c>
      <c r="U310" s="13" t="s">
        <v>110</v>
      </c>
      <c r="V310" s="20" t="s">
        <v>923</v>
      </c>
      <c r="W310" s="13" t="s">
        <v>111</v>
      </c>
      <c r="X310" s="20" t="s">
        <v>112</v>
      </c>
      <c r="Y310" s="13" t="s">
        <v>196</v>
      </c>
      <c r="Z310" s="13" t="s">
        <v>1244</v>
      </c>
      <c r="AA310" s="19"/>
      <c r="AB310" s="16" t="s">
        <v>1244</v>
      </c>
      <c r="AC310" s="18">
        <v>46006</v>
      </c>
      <c r="AD310" s="18">
        <v>46008</v>
      </c>
      <c r="AE310" s="18">
        <v>46008</v>
      </c>
      <c r="AF310" s="68"/>
      <c r="AG310" s="23"/>
      <c r="AH310" s="68"/>
      <c r="AI310" s="23"/>
      <c r="AJ310" s="69" t="e">
        <f>HYPERLINK(_xlfn.XLOOKUP(B310,[1]Sheet1!A:A,[1]Sheet1!C:C),"link")</f>
        <v>#N/A</v>
      </c>
      <c r="AK310" s="70"/>
      <c r="AL310" s="70"/>
    </row>
    <row r="311" spans="1:38" ht="18" customHeight="1">
      <c r="A311" s="19" t="s">
        <v>1367</v>
      </c>
      <c r="B311" s="19" t="s">
        <v>258</v>
      </c>
      <c r="C311" s="64" t="s">
        <v>37</v>
      </c>
      <c r="D311" s="16">
        <v>235818</v>
      </c>
      <c r="E311" s="16" t="s">
        <v>76</v>
      </c>
      <c r="F311" s="16">
        <v>630028</v>
      </c>
      <c r="G311" s="16">
        <v>11</v>
      </c>
      <c r="H311" s="18">
        <v>45940</v>
      </c>
      <c r="I311" s="19" t="s">
        <v>254</v>
      </c>
      <c r="J311" s="18">
        <v>44845</v>
      </c>
      <c r="K311" s="18">
        <v>45971</v>
      </c>
      <c r="L311" s="19" t="s">
        <v>95</v>
      </c>
      <c r="M311" s="19" t="s">
        <v>108</v>
      </c>
      <c r="N311" s="13" t="s">
        <v>117</v>
      </c>
      <c r="O311" s="13" t="s">
        <v>45</v>
      </c>
      <c r="P311" s="13" t="s">
        <v>46</v>
      </c>
      <c r="Q311" s="16">
        <v>1018471</v>
      </c>
      <c r="R311" s="16" t="s">
        <v>38</v>
      </c>
      <c r="S311" s="16" t="s">
        <v>38</v>
      </c>
      <c r="T311" s="13" t="s">
        <v>259</v>
      </c>
      <c r="U311" s="13" t="s">
        <v>110</v>
      </c>
      <c r="V311" s="20" t="s">
        <v>923</v>
      </c>
      <c r="W311" s="13" t="s">
        <v>111</v>
      </c>
      <c r="X311" s="20" t="s">
        <v>112</v>
      </c>
      <c r="Y311" s="13" t="s">
        <v>196</v>
      </c>
      <c r="Z311" s="13" t="s">
        <v>1244</v>
      </c>
      <c r="AA311" s="19"/>
      <c r="AB311" s="16" t="s">
        <v>1244</v>
      </c>
      <c r="AC311" s="18">
        <v>46006</v>
      </c>
      <c r="AD311" s="18">
        <v>46008</v>
      </c>
      <c r="AE311" s="18">
        <v>46008</v>
      </c>
      <c r="AF311" s="68"/>
      <c r="AG311" s="23"/>
      <c r="AH311" s="68"/>
      <c r="AI311" s="23"/>
      <c r="AJ311" s="69" t="e">
        <f>HYPERLINK(_xlfn.XLOOKUP(B311,[1]Sheet1!A:A,[1]Sheet1!C:C),"link")</f>
        <v>#N/A</v>
      </c>
      <c r="AK311" s="70"/>
      <c r="AL311" s="70"/>
    </row>
    <row r="312" spans="1:38" ht="18" customHeight="1">
      <c r="A312" s="19" t="s">
        <v>1368</v>
      </c>
      <c r="B312" s="19" t="s">
        <v>266</v>
      </c>
      <c r="C312" s="64" t="s">
        <v>37</v>
      </c>
      <c r="D312" s="16" t="s">
        <v>267</v>
      </c>
      <c r="E312" s="16" t="s">
        <v>76</v>
      </c>
      <c r="F312" s="16">
        <v>241633</v>
      </c>
      <c r="G312" s="16">
        <v>0</v>
      </c>
      <c r="H312" s="18">
        <v>45972</v>
      </c>
      <c r="I312" s="19" t="s">
        <v>94</v>
      </c>
      <c r="J312" s="18">
        <v>45972</v>
      </c>
      <c r="K312" s="18">
        <v>46701</v>
      </c>
      <c r="L312" s="19" t="s">
        <v>95</v>
      </c>
      <c r="M312" s="19" t="s">
        <v>268</v>
      </c>
      <c r="N312" s="13" t="s">
        <v>94</v>
      </c>
      <c r="O312" s="13" t="s">
        <v>45</v>
      </c>
      <c r="P312" s="13" t="s">
        <v>46</v>
      </c>
      <c r="Q312" s="16">
        <v>1018471</v>
      </c>
      <c r="R312" s="16" t="s">
        <v>269</v>
      </c>
      <c r="S312" s="16" t="s">
        <v>38</v>
      </c>
      <c r="T312" s="13" t="s">
        <v>270</v>
      </c>
      <c r="U312" s="13" t="s">
        <v>271</v>
      </c>
      <c r="V312" s="20" t="s">
        <v>923</v>
      </c>
      <c r="W312" s="13" t="s">
        <v>272</v>
      </c>
      <c r="X312" s="20" t="s">
        <v>273</v>
      </c>
      <c r="Y312" s="13" t="s">
        <v>274</v>
      </c>
      <c r="Z312" s="13" t="s">
        <v>1244</v>
      </c>
      <c r="AA312" s="19"/>
      <c r="AB312" s="16" t="s">
        <v>1244</v>
      </c>
      <c r="AC312" s="18">
        <v>46006</v>
      </c>
      <c r="AD312" s="18">
        <v>46008</v>
      </c>
      <c r="AE312" s="18">
        <v>46008</v>
      </c>
      <c r="AF312" s="68"/>
      <c r="AG312" s="23"/>
      <c r="AH312" s="68"/>
      <c r="AI312" s="23"/>
      <c r="AJ312" s="69" t="e">
        <f>HYPERLINK(_xlfn.XLOOKUP(B312,[1]Sheet1!A:A,[1]Sheet1!C:C),"link")</f>
        <v>#N/A</v>
      </c>
      <c r="AK312" s="70"/>
      <c r="AL312" s="70"/>
    </row>
    <row r="313" spans="1:38" ht="18" customHeight="1">
      <c r="A313" s="19" t="s">
        <v>1369</v>
      </c>
      <c r="B313" s="19" t="s">
        <v>217</v>
      </c>
      <c r="C313" s="64" t="s">
        <v>37</v>
      </c>
      <c r="D313" s="16" t="s">
        <v>38</v>
      </c>
      <c r="E313" s="16" t="s">
        <v>76</v>
      </c>
      <c r="F313" s="16" t="s">
        <v>76</v>
      </c>
      <c r="G313" s="16">
        <v>7</v>
      </c>
      <c r="H313" s="18">
        <v>45748</v>
      </c>
      <c r="I313" s="19" t="s">
        <v>218</v>
      </c>
      <c r="J313" s="18">
        <v>43922</v>
      </c>
      <c r="K313" s="18">
        <v>47573</v>
      </c>
      <c r="L313" s="19" t="s">
        <v>63</v>
      </c>
      <c r="M313" s="19" t="s">
        <v>103</v>
      </c>
      <c r="N313" s="13" t="s">
        <v>219</v>
      </c>
      <c r="O313" s="13" t="s">
        <v>45</v>
      </c>
      <c r="P313" s="13" t="s">
        <v>46</v>
      </c>
      <c r="Q313" s="16">
        <v>1018471</v>
      </c>
      <c r="R313" s="16" t="s">
        <v>38</v>
      </c>
      <c r="S313" s="16" t="s">
        <v>38</v>
      </c>
      <c r="T313" s="13" t="s">
        <v>220</v>
      </c>
      <c r="U313" s="13" t="s">
        <v>38</v>
      </c>
      <c r="V313" s="20" t="s">
        <v>38</v>
      </c>
      <c r="W313" s="13"/>
      <c r="X313" s="20" t="s">
        <v>105</v>
      </c>
      <c r="Y313" s="13" t="s">
        <v>82</v>
      </c>
      <c r="Z313" s="13" t="s">
        <v>1244</v>
      </c>
      <c r="AA313" s="19"/>
      <c r="AB313" s="16" t="s">
        <v>1244</v>
      </c>
      <c r="AC313" s="18">
        <v>46006</v>
      </c>
      <c r="AD313" s="18">
        <v>46008</v>
      </c>
      <c r="AE313" s="18">
        <v>46008</v>
      </c>
      <c r="AF313" s="68"/>
      <c r="AG313" s="23"/>
      <c r="AH313" s="68"/>
      <c r="AI313" s="23"/>
      <c r="AJ313" s="69" t="e">
        <f>HYPERLINK(_xlfn.XLOOKUP(B313,[1]Sheet1!A:A,[1]Sheet1!C:C),"link")</f>
        <v>#N/A</v>
      </c>
      <c r="AK313" s="70"/>
      <c r="AL313" s="70"/>
    </row>
    <row r="314" spans="1:38" ht="18" customHeight="1">
      <c r="A314" s="19" t="s">
        <v>1370</v>
      </c>
      <c r="B314" s="19" t="s">
        <v>260</v>
      </c>
      <c r="C314" s="64" t="s">
        <v>37</v>
      </c>
      <c r="D314" s="16">
        <v>216309</v>
      </c>
      <c r="E314" s="16" t="s">
        <v>76</v>
      </c>
      <c r="F314" s="16">
        <v>210569</v>
      </c>
      <c r="G314" s="16">
        <v>1</v>
      </c>
      <c r="H314" s="18">
        <v>45938</v>
      </c>
      <c r="I314" s="19" t="s">
        <v>261</v>
      </c>
      <c r="J314" s="18">
        <v>45523</v>
      </c>
      <c r="K314" s="18">
        <v>46253</v>
      </c>
      <c r="L314" s="19" t="s">
        <v>95</v>
      </c>
      <c r="M314" s="19" t="s">
        <v>262</v>
      </c>
      <c r="N314" s="13" t="s">
        <v>117</v>
      </c>
      <c r="O314" s="13" t="s">
        <v>45</v>
      </c>
      <c r="P314" s="13" t="s">
        <v>46</v>
      </c>
      <c r="Q314" s="16">
        <v>1018471</v>
      </c>
      <c r="R314" s="16" t="s">
        <v>38</v>
      </c>
      <c r="S314" s="16" t="s">
        <v>38</v>
      </c>
      <c r="T314" s="13" t="s">
        <v>263</v>
      </c>
      <c r="U314" s="13" t="s">
        <v>188</v>
      </c>
      <c r="V314" s="20" t="s">
        <v>264</v>
      </c>
      <c r="W314" s="13"/>
      <c r="X314" s="20" t="s">
        <v>190</v>
      </c>
      <c r="Y314" s="13" t="s">
        <v>191</v>
      </c>
      <c r="Z314" s="13" t="s">
        <v>1244</v>
      </c>
      <c r="AA314" s="19"/>
      <c r="AB314" s="16" t="s">
        <v>1244</v>
      </c>
      <c r="AC314" s="18">
        <v>46006</v>
      </c>
      <c r="AD314" s="18">
        <v>46008</v>
      </c>
      <c r="AE314" s="18">
        <v>46008</v>
      </c>
      <c r="AF314" s="68"/>
      <c r="AG314" s="23"/>
      <c r="AH314" s="68"/>
      <c r="AI314" s="23"/>
      <c r="AJ314" s="69" t="e">
        <f>HYPERLINK(_xlfn.XLOOKUP(B314,[1]Sheet1!A:A,[1]Sheet1!C:C),"link")</f>
        <v>#N/A</v>
      </c>
      <c r="AK314" s="70"/>
      <c r="AL314" s="70"/>
    </row>
    <row r="315" spans="1:38" ht="18" customHeight="1">
      <c r="A315" s="16" t="s">
        <v>1371</v>
      </c>
      <c r="B315" s="13" t="s">
        <v>790</v>
      </c>
      <c r="C315" s="64" t="s">
        <v>486</v>
      </c>
      <c r="D315" s="16" t="s">
        <v>1372</v>
      </c>
      <c r="E315" s="16" t="s">
        <v>791</v>
      </c>
      <c r="F315" s="16" t="s">
        <v>1373</v>
      </c>
      <c r="G315" s="28">
        <v>0</v>
      </c>
      <c r="H315" s="18">
        <v>44013</v>
      </c>
      <c r="I315" s="24" t="s">
        <v>1374</v>
      </c>
      <c r="J315" s="18">
        <v>44013</v>
      </c>
      <c r="K315" s="18">
        <v>44500</v>
      </c>
      <c r="L315" s="19" t="s">
        <v>95</v>
      </c>
      <c r="M315" s="19" t="s">
        <v>1375</v>
      </c>
      <c r="N315" s="13" t="s">
        <v>1192</v>
      </c>
      <c r="O315" s="13" t="s">
        <v>698</v>
      </c>
      <c r="P315" s="13" t="s">
        <v>1224</v>
      </c>
      <c r="Q315" s="16">
        <v>1030242</v>
      </c>
      <c r="R315" s="16"/>
      <c r="S315" s="16"/>
      <c r="T315" s="13" t="s">
        <v>1376</v>
      </c>
      <c r="U315" s="13"/>
      <c r="V315" s="20" t="s">
        <v>923</v>
      </c>
      <c r="W315" s="13" t="s">
        <v>1377</v>
      </c>
      <c r="X315" s="13" t="s">
        <v>1378</v>
      </c>
      <c r="Y315" s="20" t="s">
        <v>1379</v>
      </c>
      <c r="Z315" s="13"/>
      <c r="AA315" s="16"/>
      <c r="AB315" s="16" t="s">
        <v>1244</v>
      </c>
      <c r="AC315" s="18">
        <v>46006</v>
      </c>
      <c r="AD315" s="18">
        <v>46007</v>
      </c>
      <c r="AE315" s="18">
        <v>46008</v>
      </c>
      <c r="AF315" s="15"/>
      <c r="AG315" s="18"/>
      <c r="AH315" s="15"/>
      <c r="AI315" s="18"/>
      <c r="AJ315" s="22"/>
      <c r="AK315" s="22"/>
      <c r="AL315" s="22"/>
    </row>
    <row r="316" spans="1:38" ht="18" customHeight="1">
      <c r="A316" s="16" t="s">
        <v>1380</v>
      </c>
      <c r="B316" s="13" t="s">
        <v>800</v>
      </c>
      <c r="C316" s="64" t="s">
        <v>486</v>
      </c>
      <c r="D316" s="16" t="s">
        <v>1381</v>
      </c>
      <c r="E316" s="16" t="s">
        <v>791</v>
      </c>
      <c r="F316" s="16" t="s">
        <v>1373</v>
      </c>
      <c r="G316" s="28">
        <v>1</v>
      </c>
      <c r="H316" s="18">
        <v>44495</v>
      </c>
      <c r="I316" s="24" t="s">
        <v>1382</v>
      </c>
      <c r="J316" s="18">
        <v>44013</v>
      </c>
      <c r="K316" s="18">
        <v>45230</v>
      </c>
      <c r="L316" s="19" t="s">
        <v>95</v>
      </c>
      <c r="M316" s="19" t="s">
        <v>1375</v>
      </c>
      <c r="N316" s="13" t="s">
        <v>1383</v>
      </c>
      <c r="O316" s="13" t="s">
        <v>698</v>
      </c>
      <c r="P316" s="13" t="s">
        <v>1224</v>
      </c>
      <c r="Q316" s="16">
        <v>1030242</v>
      </c>
      <c r="R316" s="16"/>
      <c r="S316" s="16"/>
      <c r="T316" s="13" t="s">
        <v>803</v>
      </c>
      <c r="U316" s="13"/>
      <c r="V316" s="20" t="s">
        <v>923</v>
      </c>
      <c r="W316" s="13" t="s">
        <v>1377</v>
      </c>
      <c r="X316" s="13" t="s">
        <v>1378</v>
      </c>
      <c r="Y316" s="20" t="s">
        <v>1379</v>
      </c>
      <c r="Z316" s="13"/>
      <c r="AA316" s="16"/>
      <c r="AB316" s="16" t="s">
        <v>1244</v>
      </c>
      <c r="AC316" s="18">
        <v>46006</v>
      </c>
      <c r="AD316" s="18">
        <v>46007</v>
      </c>
      <c r="AE316" s="18">
        <v>46008</v>
      </c>
      <c r="AF316" s="15"/>
      <c r="AG316" s="18"/>
      <c r="AH316" s="15"/>
      <c r="AI316" s="18"/>
      <c r="AJ316" s="22"/>
      <c r="AK316" s="22"/>
      <c r="AL316" s="22"/>
    </row>
    <row r="317" spans="1:38" ht="18" customHeight="1">
      <c r="A317" s="16" t="s">
        <v>1384</v>
      </c>
      <c r="B317" s="13" t="s">
        <v>805</v>
      </c>
      <c r="C317" s="64" t="s">
        <v>486</v>
      </c>
      <c r="D317" s="16" t="s">
        <v>1385</v>
      </c>
      <c r="E317" s="16" t="s">
        <v>791</v>
      </c>
      <c r="F317" s="16" t="s">
        <v>1373</v>
      </c>
      <c r="G317" s="28">
        <v>2</v>
      </c>
      <c r="H317" s="18">
        <v>45231</v>
      </c>
      <c r="I317" s="24" t="s">
        <v>1386</v>
      </c>
      <c r="J317" s="18">
        <v>44013</v>
      </c>
      <c r="K317" s="18">
        <v>45838</v>
      </c>
      <c r="L317" s="19" t="s">
        <v>95</v>
      </c>
      <c r="M317" s="19" t="s">
        <v>1375</v>
      </c>
      <c r="N317" s="13" t="s">
        <v>1198</v>
      </c>
      <c r="O317" s="13" t="s">
        <v>698</v>
      </c>
      <c r="P317" s="13" t="s">
        <v>1224</v>
      </c>
      <c r="Q317" s="16">
        <v>1030242</v>
      </c>
      <c r="R317" s="16"/>
      <c r="S317" s="16"/>
      <c r="T317" s="13" t="s">
        <v>1387</v>
      </c>
      <c r="U317" s="13"/>
      <c r="V317" s="20" t="s">
        <v>923</v>
      </c>
      <c r="W317" s="13" t="s">
        <v>1377</v>
      </c>
      <c r="X317" s="13" t="s">
        <v>1378</v>
      </c>
      <c r="Y317" s="20" t="s">
        <v>1379</v>
      </c>
      <c r="Z317" s="13"/>
      <c r="AA317" s="16"/>
      <c r="AB317" s="16" t="s">
        <v>1244</v>
      </c>
      <c r="AC317" s="18">
        <v>46006</v>
      </c>
      <c r="AD317" s="18">
        <v>46007</v>
      </c>
      <c r="AE317" s="18">
        <v>46008</v>
      </c>
      <c r="AF317" s="15"/>
      <c r="AG317" s="18"/>
      <c r="AH317" s="15"/>
      <c r="AI317" s="18"/>
      <c r="AJ317" s="22"/>
      <c r="AK317" s="22"/>
      <c r="AL317" s="22"/>
    </row>
    <row r="318" spans="1:38" ht="18" customHeight="1">
      <c r="A318" s="16" t="s">
        <v>1388</v>
      </c>
      <c r="B318" s="13" t="s">
        <v>809</v>
      </c>
      <c r="C318" s="64" t="s">
        <v>486</v>
      </c>
      <c r="D318" s="16" t="s">
        <v>1389</v>
      </c>
      <c r="E318" s="16" t="s">
        <v>791</v>
      </c>
      <c r="F318" s="16" t="s">
        <v>1373</v>
      </c>
      <c r="G318" s="28">
        <v>3</v>
      </c>
      <c r="H318" s="18">
        <v>45805</v>
      </c>
      <c r="I318" s="24" t="s">
        <v>1390</v>
      </c>
      <c r="J318" s="18">
        <v>44013</v>
      </c>
      <c r="K318" s="18" t="s">
        <v>1391</v>
      </c>
      <c r="L318" s="19" t="s">
        <v>95</v>
      </c>
      <c r="M318" s="19" t="s">
        <v>1375</v>
      </c>
      <c r="N318" s="13" t="s">
        <v>1198</v>
      </c>
      <c r="O318" s="13" t="s">
        <v>698</v>
      </c>
      <c r="P318" s="13" t="s">
        <v>1224</v>
      </c>
      <c r="Q318" s="16">
        <v>1030242</v>
      </c>
      <c r="R318" s="16"/>
      <c r="S318" s="16"/>
      <c r="T318" s="13" t="s">
        <v>811</v>
      </c>
      <c r="U318" s="13"/>
      <c r="V318" s="20" t="s">
        <v>923</v>
      </c>
      <c r="W318" s="13" t="s">
        <v>1377</v>
      </c>
      <c r="X318" s="13" t="s">
        <v>1378</v>
      </c>
      <c r="Y318" s="20" t="s">
        <v>1379</v>
      </c>
      <c r="Z318" s="13"/>
      <c r="AA318" s="16"/>
      <c r="AB318" s="16" t="s">
        <v>1244</v>
      </c>
      <c r="AC318" s="18">
        <v>46006</v>
      </c>
      <c r="AD318" s="18">
        <v>46007</v>
      </c>
      <c r="AE318" s="18">
        <v>46007</v>
      </c>
      <c r="AF318" s="15"/>
      <c r="AG318" s="18"/>
      <c r="AH318" s="15"/>
      <c r="AI318" s="18"/>
      <c r="AJ318" s="22"/>
      <c r="AK318" s="22"/>
      <c r="AL318" s="22"/>
    </row>
    <row r="319" spans="1:38" ht="18" customHeight="1">
      <c r="A319" s="16" t="s">
        <v>1392</v>
      </c>
      <c r="B319" s="13" t="s">
        <v>574</v>
      </c>
      <c r="C319" s="64" t="s">
        <v>486</v>
      </c>
      <c r="D319" s="16" t="s">
        <v>38</v>
      </c>
      <c r="E319" s="16"/>
      <c r="F319" s="16">
        <v>20655</v>
      </c>
      <c r="G319" s="16">
        <v>0</v>
      </c>
      <c r="H319" s="18">
        <v>44228</v>
      </c>
      <c r="I319" s="19" t="s">
        <v>575</v>
      </c>
      <c r="J319" s="18">
        <v>44624</v>
      </c>
      <c r="K319" s="18">
        <v>45719</v>
      </c>
      <c r="L319" s="19" t="s">
        <v>54</v>
      </c>
      <c r="M319" s="19" t="s">
        <v>576</v>
      </c>
      <c r="N319" s="13" t="s">
        <v>577</v>
      </c>
      <c r="O319" s="13" t="s">
        <v>578</v>
      </c>
      <c r="P319" s="13" t="s">
        <v>556</v>
      </c>
      <c r="Q319" s="16">
        <v>1018845</v>
      </c>
      <c r="R319" s="16" t="s">
        <v>38</v>
      </c>
      <c r="S319" s="16" t="s">
        <v>38</v>
      </c>
      <c r="T319" s="13" t="s">
        <v>574</v>
      </c>
      <c r="U319" s="13" t="s">
        <v>579</v>
      </c>
      <c r="V319" s="20" t="s">
        <v>532</v>
      </c>
      <c r="W319" s="13"/>
      <c r="X319" s="20" t="s">
        <v>580</v>
      </c>
      <c r="Y319" s="13" t="s">
        <v>581</v>
      </c>
      <c r="Z319" s="13" t="s">
        <v>1244</v>
      </c>
      <c r="AA319" s="16"/>
      <c r="AB319" s="16" t="s">
        <v>1244</v>
      </c>
      <c r="AC319" s="18">
        <v>46006</v>
      </c>
      <c r="AD319" s="18">
        <v>46007</v>
      </c>
      <c r="AE319" s="18">
        <v>46007</v>
      </c>
      <c r="AF319" s="15"/>
      <c r="AG319" s="18"/>
      <c r="AH319" s="15"/>
      <c r="AI319" s="18"/>
      <c r="AJ319" s="22"/>
      <c r="AK319" s="22"/>
      <c r="AL319" s="22"/>
    </row>
    <row r="320" spans="1:38" ht="18" customHeight="1">
      <c r="A320" s="16" t="s">
        <v>1393</v>
      </c>
      <c r="B320" s="13" t="s">
        <v>583</v>
      </c>
      <c r="C320" s="64" t="s">
        <v>486</v>
      </c>
      <c r="D320" s="16" t="s">
        <v>38</v>
      </c>
      <c r="E320" s="16"/>
      <c r="F320" s="16">
        <v>20655</v>
      </c>
      <c r="G320" s="16">
        <v>1</v>
      </c>
      <c r="H320" s="18">
        <v>44691</v>
      </c>
      <c r="I320" s="19" t="s">
        <v>584</v>
      </c>
      <c r="J320" s="18">
        <v>44624</v>
      </c>
      <c r="K320" s="18">
        <v>45719</v>
      </c>
      <c r="L320" s="19" t="s">
        <v>54</v>
      </c>
      <c r="M320" s="19" t="s">
        <v>576</v>
      </c>
      <c r="N320" s="13" t="s">
        <v>585</v>
      </c>
      <c r="O320" s="13" t="s">
        <v>350</v>
      </c>
      <c r="P320" s="13" t="s">
        <v>556</v>
      </c>
      <c r="Q320" s="16">
        <v>1018845</v>
      </c>
      <c r="R320" s="16" t="s">
        <v>38</v>
      </c>
      <c r="S320" s="16" t="s">
        <v>38</v>
      </c>
      <c r="T320" s="13" t="s">
        <v>586</v>
      </c>
      <c r="U320" s="20" t="s">
        <v>587</v>
      </c>
      <c r="V320" s="20" t="s">
        <v>532</v>
      </c>
      <c r="W320" s="13"/>
      <c r="X320" s="20" t="s">
        <v>588</v>
      </c>
      <c r="Y320" s="13" t="s">
        <v>589</v>
      </c>
      <c r="Z320" s="13" t="s">
        <v>1244</v>
      </c>
      <c r="AA320" s="16"/>
      <c r="AB320" s="16" t="s">
        <v>1244</v>
      </c>
      <c r="AC320" s="18">
        <v>46006</v>
      </c>
      <c r="AD320" s="18">
        <v>46007</v>
      </c>
      <c r="AE320" s="18">
        <v>46007</v>
      </c>
      <c r="AF320" s="15"/>
      <c r="AG320" s="18"/>
      <c r="AH320" s="15"/>
      <c r="AI320" s="18"/>
      <c r="AJ320" s="22"/>
      <c r="AK320" s="22"/>
      <c r="AL320" s="22"/>
    </row>
    <row r="321" spans="1:38" ht="18" customHeight="1">
      <c r="A321" s="16" t="s">
        <v>1394</v>
      </c>
      <c r="B321" s="13" t="s">
        <v>590</v>
      </c>
      <c r="C321" s="64" t="s">
        <v>486</v>
      </c>
      <c r="D321" s="16" t="s">
        <v>38</v>
      </c>
      <c r="E321" s="16"/>
      <c r="F321" s="16">
        <v>20655</v>
      </c>
      <c r="G321" s="16">
        <v>2</v>
      </c>
      <c r="H321" s="18">
        <v>44818</v>
      </c>
      <c r="I321" s="19" t="s">
        <v>591</v>
      </c>
      <c r="J321" s="18">
        <v>44624</v>
      </c>
      <c r="K321" s="18">
        <v>45719</v>
      </c>
      <c r="L321" s="19" t="s">
        <v>54</v>
      </c>
      <c r="M321" s="19" t="s">
        <v>576</v>
      </c>
      <c r="N321" s="20" t="s">
        <v>592</v>
      </c>
      <c r="O321" s="13" t="s">
        <v>350</v>
      </c>
      <c r="P321" s="13" t="s">
        <v>556</v>
      </c>
      <c r="Q321" s="16">
        <v>1018845</v>
      </c>
      <c r="R321" s="16" t="s">
        <v>38</v>
      </c>
      <c r="S321" s="16" t="s">
        <v>38</v>
      </c>
      <c r="T321" s="13" t="s">
        <v>593</v>
      </c>
      <c r="U321" s="13" t="s">
        <v>587</v>
      </c>
      <c r="V321" s="20" t="s">
        <v>594</v>
      </c>
      <c r="W321" s="13"/>
      <c r="X321" s="13" t="s">
        <v>595</v>
      </c>
      <c r="Y321" s="13" t="s">
        <v>596</v>
      </c>
      <c r="Z321" s="13" t="s">
        <v>1244</v>
      </c>
      <c r="AA321" s="16"/>
      <c r="AB321" s="16" t="s">
        <v>1244</v>
      </c>
      <c r="AC321" s="18">
        <v>46006</v>
      </c>
      <c r="AD321" s="18">
        <v>46007</v>
      </c>
      <c r="AE321" s="18">
        <v>46007</v>
      </c>
      <c r="AF321" s="15"/>
      <c r="AG321" s="18"/>
      <c r="AH321" s="15"/>
      <c r="AI321" s="18"/>
      <c r="AJ321" s="22"/>
      <c r="AK321" s="22"/>
      <c r="AL321" s="22"/>
    </row>
    <row r="322" spans="1:38" ht="18" customHeight="1">
      <c r="A322" s="16" t="s">
        <v>1395</v>
      </c>
      <c r="B322" s="13" t="s">
        <v>597</v>
      </c>
      <c r="C322" s="64" t="s">
        <v>486</v>
      </c>
      <c r="D322" s="16" t="s">
        <v>38</v>
      </c>
      <c r="E322" s="16"/>
      <c r="F322" s="16">
        <v>20655</v>
      </c>
      <c r="G322" s="16">
        <v>3</v>
      </c>
      <c r="H322" s="18">
        <v>44832</v>
      </c>
      <c r="I322" s="19" t="s">
        <v>598</v>
      </c>
      <c r="J322" s="18">
        <v>44624</v>
      </c>
      <c r="K322" s="18">
        <v>45719</v>
      </c>
      <c r="L322" s="19" t="s">
        <v>54</v>
      </c>
      <c r="M322" s="19" t="s">
        <v>576</v>
      </c>
      <c r="N322" s="20" t="s">
        <v>592</v>
      </c>
      <c r="O322" s="13" t="s">
        <v>350</v>
      </c>
      <c r="P322" s="13" t="s">
        <v>556</v>
      </c>
      <c r="Q322" s="16">
        <v>1018845</v>
      </c>
      <c r="R322" s="16" t="s">
        <v>38</v>
      </c>
      <c r="S322" s="16" t="s">
        <v>38</v>
      </c>
      <c r="T322" s="13" t="s">
        <v>599</v>
      </c>
      <c r="U322" s="13" t="s">
        <v>587</v>
      </c>
      <c r="V322" s="20" t="s">
        <v>600</v>
      </c>
      <c r="W322" s="13"/>
      <c r="X322" s="13" t="s">
        <v>595</v>
      </c>
      <c r="Y322" s="13" t="s">
        <v>596</v>
      </c>
      <c r="Z322" s="13" t="s">
        <v>1244</v>
      </c>
      <c r="AA322" s="16"/>
      <c r="AB322" s="16" t="s">
        <v>1244</v>
      </c>
      <c r="AC322" s="18">
        <v>46006</v>
      </c>
      <c r="AD322" s="18">
        <v>46007</v>
      </c>
      <c r="AE322" s="18">
        <v>46007</v>
      </c>
      <c r="AF322" s="15"/>
      <c r="AG322" s="18"/>
      <c r="AH322" s="15"/>
      <c r="AI322" s="18"/>
      <c r="AJ322" s="22"/>
      <c r="AK322" s="22"/>
      <c r="AL322" s="22"/>
    </row>
    <row r="323" spans="1:38" ht="18" customHeight="1">
      <c r="A323" s="16" t="s">
        <v>1396</v>
      </c>
      <c r="B323" s="13" t="s">
        <v>601</v>
      </c>
      <c r="C323" s="64" t="s">
        <v>486</v>
      </c>
      <c r="D323" s="16" t="s">
        <v>38</v>
      </c>
      <c r="E323" s="16"/>
      <c r="F323" s="16">
        <v>20655</v>
      </c>
      <c r="G323" s="16">
        <v>4</v>
      </c>
      <c r="H323" s="18">
        <v>45189</v>
      </c>
      <c r="I323" s="19" t="s">
        <v>602</v>
      </c>
      <c r="J323" s="18">
        <v>44624</v>
      </c>
      <c r="K323" s="18">
        <v>45719</v>
      </c>
      <c r="L323" s="19" t="s">
        <v>54</v>
      </c>
      <c r="M323" s="19" t="s">
        <v>576</v>
      </c>
      <c r="N323" s="20" t="s">
        <v>592</v>
      </c>
      <c r="O323" s="13" t="s">
        <v>350</v>
      </c>
      <c r="P323" s="13" t="s">
        <v>556</v>
      </c>
      <c r="Q323" s="16">
        <v>1018845</v>
      </c>
      <c r="R323" s="16" t="s">
        <v>38</v>
      </c>
      <c r="S323" s="16" t="s">
        <v>38</v>
      </c>
      <c r="T323" s="13" t="s">
        <v>603</v>
      </c>
      <c r="U323" s="13" t="s">
        <v>587</v>
      </c>
      <c r="V323" s="20" t="s">
        <v>594</v>
      </c>
      <c r="W323" s="13"/>
      <c r="X323" s="13" t="s">
        <v>595</v>
      </c>
      <c r="Y323" s="13" t="s">
        <v>596</v>
      </c>
      <c r="Z323" s="13" t="s">
        <v>1244</v>
      </c>
      <c r="AA323" s="16"/>
      <c r="AB323" s="16" t="s">
        <v>1244</v>
      </c>
      <c r="AC323" s="18">
        <v>46006</v>
      </c>
      <c r="AD323" s="18">
        <v>46007</v>
      </c>
      <c r="AE323" s="18">
        <v>46007</v>
      </c>
      <c r="AF323" s="15"/>
      <c r="AG323" s="18"/>
      <c r="AH323" s="15"/>
      <c r="AI323" s="18"/>
      <c r="AJ323" s="22"/>
      <c r="AK323" s="22"/>
      <c r="AL323" s="22"/>
    </row>
    <row r="324" spans="1:38" ht="18" customHeight="1">
      <c r="A324" s="16" t="s">
        <v>1397</v>
      </c>
      <c r="B324" s="13" t="s">
        <v>604</v>
      </c>
      <c r="C324" s="64" t="s">
        <v>486</v>
      </c>
      <c r="D324" s="16" t="s">
        <v>38</v>
      </c>
      <c r="E324" s="16"/>
      <c r="F324" s="16">
        <v>20655</v>
      </c>
      <c r="G324" s="16">
        <v>5</v>
      </c>
      <c r="H324" s="18">
        <v>45395</v>
      </c>
      <c r="I324" s="19" t="s">
        <v>605</v>
      </c>
      <c r="J324" s="18">
        <v>44624</v>
      </c>
      <c r="K324" s="18">
        <v>45774</v>
      </c>
      <c r="L324" s="19" t="s">
        <v>54</v>
      </c>
      <c r="M324" s="19" t="s">
        <v>576</v>
      </c>
      <c r="N324" s="20" t="s">
        <v>592</v>
      </c>
      <c r="O324" s="13" t="s">
        <v>350</v>
      </c>
      <c r="P324" s="13" t="s">
        <v>556</v>
      </c>
      <c r="Q324" s="16">
        <v>1018845</v>
      </c>
      <c r="R324" s="16" t="s">
        <v>38</v>
      </c>
      <c r="S324" s="16" t="s">
        <v>38</v>
      </c>
      <c r="T324" s="13" t="s">
        <v>606</v>
      </c>
      <c r="U324" s="13" t="s">
        <v>587</v>
      </c>
      <c r="V324" s="20" t="s">
        <v>594</v>
      </c>
      <c r="W324" s="13"/>
      <c r="X324" s="13" t="s">
        <v>595</v>
      </c>
      <c r="Y324" s="13" t="s">
        <v>596</v>
      </c>
      <c r="Z324" s="13" t="s">
        <v>1244</v>
      </c>
      <c r="AA324" s="16"/>
      <c r="AB324" s="16" t="s">
        <v>1244</v>
      </c>
      <c r="AC324" s="18">
        <v>46006</v>
      </c>
      <c r="AD324" s="18">
        <v>46007</v>
      </c>
      <c r="AE324" s="18">
        <v>46007</v>
      </c>
      <c r="AF324" s="15"/>
      <c r="AG324" s="18"/>
      <c r="AH324" s="15"/>
      <c r="AI324" s="18"/>
      <c r="AJ324" s="22"/>
      <c r="AK324" s="22"/>
      <c r="AL324" s="22"/>
    </row>
    <row r="325" spans="1:38" ht="18" customHeight="1">
      <c r="A325" s="16" t="s">
        <v>1398</v>
      </c>
      <c r="B325" s="13" t="s">
        <v>607</v>
      </c>
      <c r="C325" s="64" t="s">
        <v>486</v>
      </c>
      <c r="D325" s="16" t="s">
        <v>38</v>
      </c>
      <c r="E325" s="16"/>
      <c r="F325" s="16">
        <v>20655</v>
      </c>
      <c r="G325" s="16">
        <v>6</v>
      </c>
      <c r="H325" s="18">
        <v>45694</v>
      </c>
      <c r="I325" s="19" t="s">
        <v>608</v>
      </c>
      <c r="J325" s="18">
        <v>44624</v>
      </c>
      <c r="K325" s="18">
        <v>46873</v>
      </c>
      <c r="L325" s="19" t="s">
        <v>54</v>
      </c>
      <c r="M325" s="19" t="s">
        <v>576</v>
      </c>
      <c r="N325" s="13" t="s">
        <v>585</v>
      </c>
      <c r="O325" s="13" t="s">
        <v>350</v>
      </c>
      <c r="P325" s="13" t="s">
        <v>556</v>
      </c>
      <c r="Q325" s="16">
        <v>1018845</v>
      </c>
      <c r="R325" s="16" t="s">
        <v>38</v>
      </c>
      <c r="S325" s="16" t="s">
        <v>38</v>
      </c>
      <c r="T325" s="13" t="s">
        <v>609</v>
      </c>
      <c r="U325" s="13" t="s">
        <v>587</v>
      </c>
      <c r="V325" s="20" t="s">
        <v>610</v>
      </c>
      <c r="W325" s="13"/>
      <c r="X325" s="20" t="s">
        <v>611</v>
      </c>
      <c r="Y325" s="13" t="s">
        <v>612</v>
      </c>
      <c r="Z325" s="13" t="s">
        <v>1244</v>
      </c>
      <c r="AA325" s="16"/>
      <c r="AB325" s="16" t="s">
        <v>1244</v>
      </c>
      <c r="AC325" s="18">
        <v>46006</v>
      </c>
      <c r="AD325" s="18">
        <v>46007</v>
      </c>
      <c r="AE325" s="18">
        <v>46007</v>
      </c>
      <c r="AF325" s="15"/>
      <c r="AG325" s="18"/>
      <c r="AH325" s="15"/>
      <c r="AI325" s="18"/>
      <c r="AJ325" s="22"/>
      <c r="AK325" s="22"/>
      <c r="AL325" s="22"/>
    </row>
    <row r="326" spans="1:38" ht="18" customHeight="1">
      <c r="A326" s="16" t="s">
        <v>1398</v>
      </c>
      <c r="B326" s="13" t="s">
        <v>277</v>
      </c>
      <c r="C326" s="64" t="s">
        <v>773</v>
      </c>
      <c r="D326" s="16" t="s">
        <v>38</v>
      </c>
      <c r="E326" s="16"/>
      <c r="F326" s="16">
        <v>20655</v>
      </c>
      <c r="G326" s="16">
        <v>6</v>
      </c>
      <c r="H326" s="18">
        <v>45694</v>
      </c>
      <c r="I326" s="24" t="s">
        <v>1399</v>
      </c>
      <c r="J326" s="18">
        <v>44624</v>
      </c>
      <c r="K326" s="18">
        <v>46873</v>
      </c>
      <c r="L326" s="19" t="s">
        <v>54</v>
      </c>
      <c r="M326" s="19" t="s">
        <v>1400</v>
      </c>
      <c r="N326" s="13" t="s">
        <v>585</v>
      </c>
      <c r="O326" s="13" t="s">
        <v>525</v>
      </c>
      <c r="P326" s="13" t="s">
        <v>556</v>
      </c>
      <c r="Q326" s="16">
        <v>1018845</v>
      </c>
      <c r="R326" s="16">
        <v>1018845</v>
      </c>
      <c r="S326" s="16" t="s">
        <v>38</v>
      </c>
      <c r="T326" s="13" t="s">
        <v>609</v>
      </c>
      <c r="U326" s="13"/>
      <c r="V326" s="20"/>
      <c r="W326" s="13"/>
      <c r="X326" s="20" t="s">
        <v>611</v>
      </c>
      <c r="Y326" s="13" t="s">
        <v>612</v>
      </c>
      <c r="Z326" s="13" t="s">
        <v>1401</v>
      </c>
      <c r="AA326" s="16"/>
      <c r="AB326" s="16" t="s">
        <v>1244</v>
      </c>
      <c r="AC326" s="18">
        <v>46006</v>
      </c>
      <c r="AD326" s="18">
        <v>46007</v>
      </c>
      <c r="AE326" s="18">
        <v>46007</v>
      </c>
      <c r="AF326" s="15"/>
      <c r="AG326" s="18"/>
      <c r="AH326" s="15"/>
      <c r="AI326" s="18"/>
      <c r="AJ326" s="22"/>
      <c r="AK326" s="22"/>
      <c r="AL326" s="22"/>
    </row>
    <row r="327" spans="1:38" ht="18" customHeight="1">
      <c r="A327" s="16" t="s">
        <v>1402</v>
      </c>
      <c r="B327" s="13" t="s">
        <v>839</v>
      </c>
      <c r="C327" s="64" t="s">
        <v>346</v>
      </c>
      <c r="D327" s="16" t="s">
        <v>38</v>
      </c>
      <c r="E327" s="16" t="s">
        <v>840</v>
      </c>
      <c r="F327" s="16" t="s">
        <v>840</v>
      </c>
      <c r="G327" s="28">
        <v>0</v>
      </c>
      <c r="H327" s="18">
        <v>44682</v>
      </c>
      <c r="I327" s="24" t="s">
        <v>357</v>
      </c>
      <c r="J327" s="18">
        <v>44682</v>
      </c>
      <c r="K327" s="18">
        <v>46507</v>
      </c>
      <c r="L327" s="19" t="s">
        <v>63</v>
      </c>
      <c r="M327" s="19" t="s">
        <v>38</v>
      </c>
      <c r="N327" s="13" t="s">
        <v>357</v>
      </c>
      <c r="O327" s="13" t="s">
        <v>698</v>
      </c>
      <c r="P327" s="13" t="s">
        <v>699</v>
      </c>
      <c r="Q327" s="16">
        <v>1030242</v>
      </c>
      <c r="R327" s="16">
        <v>1030242</v>
      </c>
      <c r="S327" s="16" t="s">
        <v>38</v>
      </c>
      <c r="T327" s="13" t="s">
        <v>841</v>
      </c>
      <c r="U327" s="13" t="s">
        <v>38</v>
      </c>
      <c r="V327" s="20" t="s">
        <v>292</v>
      </c>
      <c r="W327" s="13"/>
      <c r="X327" s="13" t="s">
        <v>38</v>
      </c>
      <c r="Y327" s="13"/>
      <c r="Z327" s="13" t="s">
        <v>1403</v>
      </c>
      <c r="AA327" s="19"/>
      <c r="AB327" s="16" t="s">
        <v>1244</v>
      </c>
      <c r="AC327" s="18">
        <v>46006</v>
      </c>
      <c r="AD327" s="18">
        <v>46007</v>
      </c>
      <c r="AE327" s="18">
        <v>46007</v>
      </c>
      <c r="AF327" s="15" t="s">
        <v>37</v>
      </c>
      <c r="AG327" s="18">
        <v>46010</v>
      </c>
      <c r="AH327" s="15"/>
      <c r="AI327" s="18"/>
      <c r="AJ327" s="22"/>
      <c r="AK327" s="22"/>
      <c r="AL327" s="22"/>
    </row>
    <row r="328" spans="1:38" ht="18" customHeight="1">
      <c r="A328" s="16" t="s">
        <v>1404</v>
      </c>
      <c r="B328" s="13" t="s">
        <v>842</v>
      </c>
      <c r="C328" s="64" t="s">
        <v>346</v>
      </c>
      <c r="D328" s="16" t="s">
        <v>38</v>
      </c>
      <c r="E328" s="16" t="s">
        <v>696</v>
      </c>
      <c r="F328" s="16">
        <v>602716</v>
      </c>
      <c r="G328" s="28">
        <v>0</v>
      </c>
      <c r="H328" s="18">
        <v>44053</v>
      </c>
      <c r="I328" s="24" t="s">
        <v>711</v>
      </c>
      <c r="J328" s="18">
        <v>44053</v>
      </c>
      <c r="K328" s="18">
        <v>45147</v>
      </c>
      <c r="L328" s="19" t="s">
        <v>95</v>
      </c>
      <c r="M328" s="19" t="s">
        <v>96</v>
      </c>
      <c r="N328" s="13" t="s">
        <v>94</v>
      </c>
      <c r="O328" s="13" t="s">
        <v>698</v>
      </c>
      <c r="P328" s="13" t="s">
        <v>699</v>
      </c>
      <c r="Q328" s="16">
        <v>1030242</v>
      </c>
      <c r="R328" s="16">
        <v>1030242</v>
      </c>
      <c r="S328" s="16" t="s">
        <v>38</v>
      </c>
      <c r="T328" s="13" t="s">
        <v>712</v>
      </c>
      <c r="U328" s="13" t="s">
        <v>843</v>
      </c>
      <c r="V328" s="20" t="s">
        <v>532</v>
      </c>
      <c r="W328" s="13"/>
      <c r="X328" s="13" t="s">
        <v>844</v>
      </c>
      <c r="Y328" s="13" t="s">
        <v>715</v>
      </c>
      <c r="Z328" s="13" t="s">
        <v>1405</v>
      </c>
      <c r="AA328" s="19"/>
      <c r="AB328" s="16" t="s">
        <v>1244</v>
      </c>
      <c r="AC328" s="18">
        <v>46006</v>
      </c>
      <c r="AD328" s="18">
        <v>46007</v>
      </c>
      <c r="AE328" s="18">
        <v>46007</v>
      </c>
      <c r="AF328" s="15" t="s">
        <v>37</v>
      </c>
      <c r="AG328" s="18">
        <v>46010</v>
      </c>
      <c r="AH328" s="15"/>
      <c r="AI328" s="18"/>
      <c r="AJ328" s="22"/>
      <c r="AK328" s="22"/>
      <c r="AL328" s="22"/>
    </row>
    <row r="329" spans="1:38" ht="18" customHeight="1">
      <c r="A329" s="16" t="s">
        <v>1406</v>
      </c>
      <c r="B329" s="13" t="s">
        <v>846</v>
      </c>
      <c r="C329" s="64" t="s">
        <v>346</v>
      </c>
      <c r="D329" s="16" t="s">
        <v>1407</v>
      </c>
      <c r="E329" s="16" t="s">
        <v>696</v>
      </c>
      <c r="F329" s="16">
        <v>606128</v>
      </c>
      <c r="G329" s="28">
        <v>5</v>
      </c>
      <c r="H329" s="18">
        <v>44886</v>
      </c>
      <c r="I329" s="19" t="s">
        <v>756</v>
      </c>
      <c r="J329" s="18">
        <v>44136</v>
      </c>
      <c r="K329" s="18">
        <v>45961</v>
      </c>
      <c r="L329" s="19" t="s">
        <v>95</v>
      </c>
      <c r="M329" s="19" t="s">
        <v>718</v>
      </c>
      <c r="N329" s="13" t="s">
        <v>117</v>
      </c>
      <c r="O329" s="13" t="s">
        <v>698</v>
      </c>
      <c r="P329" s="13" t="s">
        <v>699</v>
      </c>
      <c r="Q329" s="16">
        <v>1030242</v>
      </c>
      <c r="R329" s="16">
        <v>1030242</v>
      </c>
      <c r="S329" s="16" t="s">
        <v>38</v>
      </c>
      <c r="T329" s="13" t="s">
        <v>848</v>
      </c>
      <c r="U329" s="20" t="s">
        <v>720</v>
      </c>
      <c r="V329" s="20" t="s">
        <v>299</v>
      </c>
      <c r="W329" s="20" t="s">
        <v>1135</v>
      </c>
      <c r="X329" s="13" t="s">
        <v>1378</v>
      </c>
      <c r="Y329" s="13" t="s">
        <v>1408</v>
      </c>
      <c r="Z329" s="13" t="s">
        <v>1409</v>
      </c>
      <c r="AA329" s="16"/>
      <c r="AB329" s="16" t="s">
        <v>1244</v>
      </c>
      <c r="AC329" s="18">
        <v>46006</v>
      </c>
      <c r="AD329" s="18">
        <v>46007</v>
      </c>
      <c r="AE329" s="18">
        <v>46007</v>
      </c>
      <c r="AF329" s="15" t="s">
        <v>37</v>
      </c>
      <c r="AG329" s="18">
        <v>46010</v>
      </c>
      <c r="AH329" s="15"/>
      <c r="AI329" s="18"/>
      <c r="AJ329" s="22"/>
      <c r="AK329" s="22"/>
      <c r="AL329" s="22"/>
    </row>
    <row r="330" spans="1:38" ht="18" customHeight="1">
      <c r="A330" s="16" t="s">
        <v>1410</v>
      </c>
      <c r="B330" s="13" t="s">
        <v>850</v>
      </c>
      <c r="C330" s="64" t="s">
        <v>346</v>
      </c>
      <c r="D330" s="16">
        <v>143736</v>
      </c>
      <c r="E330" s="16" t="s">
        <v>696</v>
      </c>
      <c r="F330" s="16">
        <v>606128</v>
      </c>
      <c r="G330" s="28">
        <v>6</v>
      </c>
      <c r="H330" s="18">
        <v>44964</v>
      </c>
      <c r="I330" s="19" t="s">
        <v>756</v>
      </c>
      <c r="J330" s="18">
        <v>44136</v>
      </c>
      <c r="K330" s="18">
        <v>45961</v>
      </c>
      <c r="L330" s="19" t="s">
        <v>95</v>
      </c>
      <c r="M330" s="19" t="s">
        <v>718</v>
      </c>
      <c r="N330" s="13" t="s">
        <v>117</v>
      </c>
      <c r="O330" s="13" t="s">
        <v>698</v>
      </c>
      <c r="P330" s="13" t="s">
        <v>699</v>
      </c>
      <c r="Q330" s="16">
        <v>1030242</v>
      </c>
      <c r="R330" s="16">
        <v>1030242</v>
      </c>
      <c r="S330" s="16" t="s">
        <v>38</v>
      </c>
      <c r="T330" s="13" t="s">
        <v>851</v>
      </c>
      <c r="U330" s="20" t="s">
        <v>720</v>
      </c>
      <c r="V330" s="20" t="s">
        <v>299</v>
      </c>
      <c r="W330" s="20" t="s">
        <v>1411</v>
      </c>
      <c r="X330" s="13" t="s">
        <v>1378</v>
      </c>
      <c r="Y330" s="13" t="s">
        <v>1412</v>
      </c>
      <c r="Z330" s="13" t="s">
        <v>1413</v>
      </c>
      <c r="AA330" s="16"/>
      <c r="AB330" s="16" t="s">
        <v>1244</v>
      </c>
      <c r="AC330" s="18">
        <v>46006</v>
      </c>
      <c r="AD330" s="18">
        <v>46007</v>
      </c>
      <c r="AE330" s="18">
        <v>46007</v>
      </c>
      <c r="AF330" s="15" t="s">
        <v>37</v>
      </c>
      <c r="AG330" s="18">
        <v>46010</v>
      </c>
      <c r="AH330" s="15"/>
      <c r="AI330" s="18"/>
      <c r="AJ330" s="22"/>
      <c r="AK330" s="22"/>
      <c r="AL330" s="22"/>
    </row>
    <row r="331" spans="1:38" ht="18" customHeight="1">
      <c r="A331" s="16" t="s">
        <v>1414</v>
      </c>
      <c r="B331" s="13" t="s">
        <v>853</v>
      </c>
      <c r="C331" s="64" t="s">
        <v>346</v>
      </c>
      <c r="D331" s="16">
        <v>146936</v>
      </c>
      <c r="E331" s="16" t="s">
        <v>696</v>
      </c>
      <c r="F331" s="16">
        <v>595588</v>
      </c>
      <c r="G331" s="28">
        <v>4</v>
      </c>
      <c r="H331" s="18">
        <v>44969</v>
      </c>
      <c r="I331" s="19" t="s">
        <v>769</v>
      </c>
      <c r="J331" s="18">
        <v>43875</v>
      </c>
      <c r="K331" s="18">
        <v>45701</v>
      </c>
      <c r="L331" s="19" t="s">
        <v>95</v>
      </c>
      <c r="M331" s="19" t="s">
        <v>854</v>
      </c>
      <c r="N331" s="13" t="s">
        <v>117</v>
      </c>
      <c r="O331" s="13" t="s">
        <v>698</v>
      </c>
      <c r="P331" s="13" t="s">
        <v>699</v>
      </c>
      <c r="Q331" s="16">
        <v>1030242</v>
      </c>
      <c r="R331" s="16">
        <v>1030242</v>
      </c>
      <c r="S331" s="16" t="s">
        <v>38</v>
      </c>
      <c r="T331" s="13" t="s">
        <v>855</v>
      </c>
      <c r="U331" s="20" t="s">
        <v>735</v>
      </c>
      <c r="V331" s="20" t="s">
        <v>625</v>
      </c>
      <c r="W331" s="13"/>
      <c r="X331" s="13" t="s">
        <v>771</v>
      </c>
      <c r="Y331" s="13" t="s">
        <v>703</v>
      </c>
      <c r="Z331" s="13" t="s">
        <v>1415</v>
      </c>
      <c r="AA331" s="16"/>
      <c r="AB331" s="16" t="s">
        <v>1244</v>
      </c>
      <c r="AC331" s="18">
        <v>46006</v>
      </c>
      <c r="AD331" s="18">
        <v>46007</v>
      </c>
      <c r="AE331" s="18">
        <v>46007</v>
      </c>
      <c r="AF331" s="15" t="s">
        <v>37</v>
      </c>
      <c r="AG331" s="18">
        <v>46010</v>
      </c>
      <c r="AH331" s="15"/>
      <c r="AI331" s="18"/>
      <c r="AJ331" s="22"/>
      <c r="AK331" s="22"/>
      <c r="AL331" s="22"/>
    </row>
    <row r="332" spans="1:38" ht="18" customHeight="1">
      <c r="A332" s="16" t="s">
        <v>1416</v>
      </c>
      <c r="B332" s="13" t="s">
        <v>857</v>
      </c>
      <c r="C332" s="64" t="s">
        <v>346</v>
      </c>
      <c r="D332" s="16" t="s">
        <v>38</v>
      </c>
      <c r="E332" s="16" t="s">
        <v>840</v>
      </c>
      <c r="F332" s="16" t="s">
        <v>840</v>
      </c>
      <c r="G332" s="28">
        <v>1</v>
      </c>
      <c r="H332" s="18">
        <v>45006</v>
      </c>
      <c r="I332" s="24" t="s">
        <v>67</v>
      </c>
      <c r="J332" s="18">
        <v>44682</v>
      </c>
      <c r="K332" s="18">
        <v>46507</v>
      </c>
      <c r="L332" s="19" t="s">
        <v>63</v>
      </c>
      <c r="M332" s="19" t="s">
        <v>38</v>
      </c>
      <c r="N332" s="13" t="s">
        <v>858</v>
      </c>
      <c r="O332" s="13" t="s">
        <v>698</v>
      </c>
      <c r="P332" s="13" t="s">
        <v>699</v>
      </c>
      <c r="Q332" s="16">
        <v>1030242</v>
      </c>
      <c r="R332" s="16">
        <v>1030242</v>
      </c>
      <c r="S332" s="16" t="s">
        <v>38</v>
      </c>
      <c r="T332" s="13" t="s">
        <v>857</v>
      </c>
      <c r="U332" s="13" t="s">
        <v>38</v>
      </c>
      <c r="V332" s="20" t="s">
        <v>292</v>
      </c>
      <c r="W332" s="13"/>
      <c r="X332" s="13" t="s">
        <v>38</v>
      </c>
      <c r="Y332" s="13"/>
      <c r="Z332" s="13" t="s">
        <v>1417</v>
      </c>
      <c r="AA332" s="16"/>
      <c r="AB332" s="16" t="s">
        <v>1244</v>
      </c>
      <c r="AC332" s="18">
        <v>46006</v>
      </c>
      <c r="AD332" s="18">
        <v>46007</v>
      </c>
      <c r="AE332" s="18">
        <v>46007</v>
      </c>
      <c r="AF332" s="15" t="s">
        <v>37</v>
      </c>
      <c r="AG332" s="18">
        <v>46010</v>
      </c>
      <c r="AH332" s="15"/>
      <c r="AI332" s="18"/>
      <c r="AJ332" s="22"/>
      <c r="AK332" s="22"/>
      <c r="AL332" s="22"/>
    </row>
    <row r="333" spans="1:38" ht="18" customHeight="1">
      <c r="A333" s="16" t="s">
        <v>1418</v>
      </c>
      <c r="B333" s="13" t="s">
        <v>860</v>
      </c>
      <c r="C333" s="64" t="s">
        <v>346</v>
      </c>
      <c r="D333" s="16" t="s">
        <v>38</v>
      </c>
      <c r="E333" s="16" t="s">
        <v>840</v>
      </c>
      <c r="F333" s="16" t="s">
        <v>861</v>
      </c>
      <c r="G333" s="28">
        <v>0</v>
      </c>
      <c r="H333" s="18">
        <v>45078</v>
      </c>
      <c r="I333" s="24" t="s">
        <v>862</v>
      </c>
      <c r="J333" s="18">
        <v>45078</v>
      </c>
      <c r="K333" s="18">
        <v>46173</v>
      </c>
      <c r="L333" s="19" t="s">
        <v>54</v>
      </c>
      <c r="M333" s="19" t="s">
        <v>863</v>
      </c>
      <c r="N333" s="13" t="s">
        <v>94</v>
      </c>
      <c r="O333" s="13" t="s">
        <v>698</v>
      </c>
      <c r="P333" s="13" t="s">
        <v>699</v>
      </c>
      <c r="Q333" s="16">
        <v>1030242</v>
      </c>
      <c r="R333" s="16">
        <v>1030242</v>
      </c>
      <c r="S333" s="16" t="s">
        <v>38</v>
      </c>
      <c r="T333" s="13" t="s">
        <v>864</v>
      </c>
      <c r="U333" s="13" t="s">
        <v>865</v>
      </c>
      <c r="V333" s="20" t="s">
        <v>517</v>
      </c>
      <c r="W333" s="13"/>
      <c r="X333" s="13" t="s">
        <v>866</v>
      </c>
      <c r="Y333" s="13"/>
      <c r="Z333" s="13" t="s">
        <v>1419</v>
      </c>
      <c r="AA333" s="16"/>
      <c r="AB333" s="16" t="s">
        <v>1244</v>
      </c>
      <c r="AC333" s="18">
        <v>46006</v>
      </c>
      <c r="AD333" s="18">
        <v>46007</v>
      </c>
      <c r="AE333" s="18">
        <v>46007</v>
      </c>
      <c r="AF333" s="15" t="s">
        <v>37</v>
      </c>
      <c r="AG333" s="18">
        <v>46010</v>
      </c>
      <c r="AH333" s="15"/>
      <c r="AI333" s="18"/>
      <c r="AJ333" s="22"/>
      <c r="AK333" s="22"/>
      <c r="AL333" s="22"/>
    </row>
    <row r="334" spans="1:38" ht="18" customHeight="1">
      <c r="A334" s="16" t="s">
        <v>1420</v>
      </c>
      <c r="B334" s="13" t="s">
        <v>869</v>
      </c>
      <c r="C334" s="64" t="s">
        <v>346</v>
      </c>
      <c r="D334" s="16" t="s">
        <v>38</v>
      </c>
      <c r="E334" s="16" t="s">
        <v>840</v>
      </c>
      <c r="F334" s="16" t="s">
        <v>38</v>
      </c>
      <c r="G334" s="28">
        <v>0</v>
      </c>
      <c r="H334" s="18">
        <v>45108</v>
      </c>
      <c r="I334" s="24" t="s">
        <v>870</v>
      </c>
      <c r="J334" s="18">
        <v>45108</v>
      </c>
      <c r="K334" s="18">
        <v>46203</v>
      </c>
      <c r="L334" s="19" t="s">
        <v>54</v>
      </c>
      <c r="M334" s="19" t="s">
        <v>871</v>
      </c>
      <c r="N334" s="13" t="s">
        <v>94</v>
      </c>
      <c r="O334" s="13" t="s">
        <v>698</v>
      </c>
      <c r="P334" s="13" t="s">
        <v>699</v>
      </c>
      <c r="Q334" s="16">
        <v>1030242</v>
      </c>
      <c r="R334" s="16">
        <v>1030242</v>
      </c>
      <c r="S334" s="16" t="s">
        <v>38</v>
      </c>
      <c r="T334" s="13" t="s">
        <v>872</v>
      </c>
      <c r="U334" s="13" t="s">
        <v>873</v>
      </c>
      <c r="V334" s="20" t="s">
        <v>874</v>
      </c>
      <c r="W334" s="13"/>
      <c r="X334" s="13" t="s">
        <v>875</v>
      </c>
      <c r="Y334" s="13"/>
      <c r="Z334" s="13" t="s">
        <v>1421</v>
      </c>
      <c r="AA334" s="16"/>
      <c r="AB334" s="16" t="s">
        <v>1244</v>
      </c>
      <c r="AC334" s="18">
        <v>46006</v>
      </c>
      <c r="AD334" s="18">
        <v>46007</v>
      </c>
      <c r="AE334" s="18">
        <v>46007</v>
      </c>
      <c r="AF334" s="15" t="s">
        <v>37</v>
      </c>
      <c r="AG334" s="18">
        <v>46010</v>
      </c>
      <c r="AH334" s="15"/>
      <c r="AI334" s="18"/>
      <c r="AJ334" s="22"/>
      <c r="AK334" s="22"/>
      <c r="AL334" s="22"/>
    </row>
    <row r="335" spans="1:38" ht="18" customHeight="1">
      <c r="A335" s="16" t="s">
        <v>1422</v>
      </c>
      <c r="B335" s="13" t="s">
        <v>877</v>
      </c>
      <c r="C335" s="64" t="s">
        <v>346</v>
      </c>
      <c r="D335" s="16" t="s">
        <v>38</v>
      </c>
      <c r="E335" s="16" t="s">
        <v>840</v>
      </c>
      <c r="F335" s="16" t="s">
        <v>38</v>
      </c>
      <c r="G335" s="28">
        <v>0</v>
      </c>
      <c r="H335" s="18">
        <v>45108</v>
      </c>
      <c r="I335" s="24" t="s">
        <v>870</v>
      </c>
      <c r="J335" s="18">
        <v>45108</v>
      </c>
      <c r="K335" s="18">
        <v>46203</v>
      </c>
      <c r="L335" s="19" t="s">
        <v>54</v>
      </c>
      <c r="M335" s="19" t="s">
        <v>871</v>
      </c>
      <c r="N335" s="13" t="s">
        <v>94</v>
      </c>
      <c r="O335" s="13" t="s">
        <v>698</v>
      </c>
      <c r="P335" s="13" t="s">
        <v>699</v>
      </c>
      <c r="Q335" s="16">
        <v>1030242</v>
      </c>
      <c r="R335" s="16">
        <v>1030242</v>
      </c>
      <c r="S335" s="16" t="s">
        <v>38</v>
      </c>
      <c r="T335" s="13" t="s">
        <v>872</v>
      </c>
      <c r="U335" s="13" t="s">
        <v>878</v>
      </c>
      <c r="V335" s="20" t="s">
        <v>874</v>
      </c>
      <c r="W335" s="13"/>
      <c r="X335" s="13" t="s">
        <v>879</v>
      </c>
      <c r="Y335" s="13"/>
      <c r="Z335" s="13" t="s">
        <v>1423</v>
      </c>
      <c r="AA335" s="16"/>
      <c r="AB335" s="16" t="s">
        <v>1244</v>
      </c>
      <c r="AC335" s="18">
        <v>46006</v>
      </c>
      <c r="AD335" s="18">
        <v>46007</v>
      </c>
      <c r="AE335" s="18">
        <v>46007</v>
      </c>
      <c r="AF335" s="15" t="s">
        <v>37</v>
      </c>
      <c r="AG335" s="18">
        <v>46010</v>
      </c>
      <c r="AH335" s="15"/>
      <c r="AI335" s="18"/>
      <c r="AJ335" s="22"/>
      <c r="AK335" s="22"/>
      <c r="AL335" s="22"/>
    </row>
    <row r="336" spans="1:38" ht="18" customHeight="1">
      <c r="A336" s="16" t="s">
        <v>1424</v>
      </c>
      <c r="B336" s="71" t="s">
        <v>881</v>
      </c>
      <c r="C336" s="64" t="s">
        <v>346</v>
      </c>
      <c r="D336" s="16">
        <v>158890</v>
      </c>
      <c r="E336" s="16" t="s">
        <v>696</v>
      </c>
      <c r="F336" s="16">
        <v>606128</v>
      </c>
      <c r="G336" s="28">
        <v>7</v>
      </c>
      <c r="H336" s="18">
        <v>45125</v>
      </c>
      <c r="I336" s="24" t="s">
        <v>847</v>
      </c>
      <c r="J336" s="18">
        <v>44136</v>
      </c>
      <c r="K336" s="18">
        <v>45961</v>
      </c>
      <c r="L336" s="19" t="s">
        <v>95</v>
      </c>
      <c r="M336" s="19" t="s">
        <v>718</v>
      </c>
      <c r="N336" s="13" t="s">
        <v>117</v>
      </c>
      <c r="O336" s="13" t="s">
        <v>698</v>
      </c>
      <c r="P336" s="13" t="s">
        <v>699</v>
      </c>
      <c r="Q336" s="16">
        <v>1030242</v>
      </c>
      <c r="R336" s="16">
        <v>1030242</v>
      </c>
      <c r="S336" s="16" t="s">
        <v>38</v>
      </c>
      <c r="T336" s="13" t="s">
        <v>882</v>
      </c>
      <c r="U336" s="13" t="s">
        <v>720</v>
      </c>
      <c r="V336" s="20" t="s">
        <v>299</v>
      </c>
      <c r="W336" s="13"/>
      <c r="X336" s="13" t="s">
        <v>883</v>
      </c>
      <c r="Y336" s="13" t="s">
        <v>731</v>
      </c>
      <c r="Z336" s="13" t="s">
        <v>1425</v>
      </c>
      <c r="AA336" s="19"/>
      <c r="AB336" s="16" t="s">
        <v>1244</v>
      </c>
      <c r="AC336" s="18">
        <v>46006</v>
      </c>
      <c r="AD336" s="18">
        <v>46008</v>
      </c>
      <c r="AE336" s="18">
        <v>46008</v>
      </c>
      <c r="AF336" s="15" t="s">
        <v>37</v>
      </c>
      <c r="AG336" s="18">
        <v>46010</v>
      </c>
      <c r="AH336" s="15"/>
      <c r="AI336" s="18"/>
      <c r="AJ336" s="22"/>
      <c r="AK336" s="22"/>
      <c r="AL336" s="22"/>
    </row>
    <row r="337" spans="1:38" ht="18" customHeight="1">
      <c r="A337" s="16" t="s">
        <v>1426</v>
      </c>
      <c r="B337" s="71" t="s">
        <v>884</v>
      </c>
      <c r="C337" s="64" t="s">
        <v>346</v>
      </c>
      <c r="D337" s="16" t="s">
        <v>38</v>
      </c>
      <c r="E337" s="16" t="s">
        <v>840</v>
      </c>
      <c r="F337" s="16" t="s">
        <v>38</v>
      </c>
      <c r="G337" s="28">
        <v>0</v>
      </c>
      <c r="H337" s="18">
        <v>45332</v>
      </c>
      <c r="I337" s="24" t="s">
        <v>870</v>
      </c>
      <c r="J337" s="18">
        <v>45332</v>
      </c>
      <c r="K337" s="18">
        <v>47157</v>
      </c>
      <c r="L337" s="19" t="s">
        <v>54</v>
      </c>
      <c r="M337" s="19" t="s">
        <v>871</v>
      </c>
      <c r="N337" s="13" t="s">
        <v>94</v>
      </c>
      <c r="O337" s="13" t="s">
        <v>698</v>
      </c>
      <c r="P337" s="13" t="s">
        <v>699</v>
      </c>
      <c r="Q337" s="16">
        <v>1030242</v>
      </c>
      <c r="R337" s="16">
        <v>1030242</v>
      </c>
      <c r="S337" s="16" t="s">
        <v>38</v>
      </c>
      <c r="T337" s="13" t="s">
        <v>885</v>
      </c>
      <c r="U337" s="13" t="s">
        <v>886</v>
      </c>
      <c r="V337" s="20" t="s">
        <v>874</v>
      </c>
      <c r="W337" s="13"/>
      <c r="X337" s="13" t="s">
        <v>879</v>
      </c>
      <c r="Y337" s="13" t="s">
        <v>880</v>
      </c>
      <c r="Z337" s="13" t="s">
        <v>1427</v>
      </c>
      <c r="AA337" s="19"/>
      <c r="AB337" s="16" t="s">
        <v>1244</v>
      </c>
      <c r="AC337" s="18">
        <v>46006</v>
      </c>
      <c r="AD337" s="18">
        <v>46008</v>
      </c>
      <c r="AE337" s="18">
        <v>46008</v>
      </c>
      <c r="AF337" s="15" t="s">
        <v>37</v>
      </c>
      <c r="AG337" s="18">
        <v>46010</v>
      </c>
      <c r="AH337" s="15"/>
      <c r="AI337" s="18"/>
      <c r="AJ337" s="22"/>
      <c r="AK337" s="22"/>
      <c r="AL337" s="22"/>
    </row>
    <row r="338" spans="1:38" ht="18" customHeight="1">
      <c r="A338" s="16" t="s">
        <v>1428</v>
      </c>
      <c r="B338" s="71" t="s">
        <v>887</v>
      </c>
      <c r="C338" s="64" t="s">
        <v>346</v>
      </c>
      <c r="D338" s="16">
        <v>166674</v>
      </c>
      <c r="E338" s="16" t="s">
        <v>840</v>
      </c>
      <c r="F338" s="16">
        <v>640834</v>
      </c>
      <c r="G338" s="28">
        <v>0</v>
      </c>
      <c r="H338" s="18">
        <v>45158</v>
      </c>
      <c r="I338" s="24" t="s">
        <v>888</v>
      </c>
      <c r="J338" s="18">
        <v>45158</v>
      </c>
      <c r="K338" s="18">
        <v>45523</v>
      </c>
      <c r="L338" s="19" t="s">
        <v>95</v>
      </c>
      <c r="M338" s="19" t="s">
        <v>157</v>
      </c>
      <c r="N338" s="13" t="s">
        <v>94</v>
      </c>
      <c r="O338" s="13" t="s">
        <v>698</v>
      </c>
      <c r="P338" s="13" t="s">
        <v>699</v>
      </c>
      <c r="Q338" s="16">
        <v>1030242</v>
      </c>
      <c r="R338" s="16">
        <v>1030242</v>
      </c>
      <c r="S338" s="16" t="s">
        <v>38</v>
      </c>
      <c r="T338" s="13" t="s">
        <v>889</v>
      </c>
      <c r="U338" s="13" t="s">
        <v>886</v>
      </c>
      <c r="V338" s="20" t="s">
        <v>625</v>
      </c>
      <c r="W338" s="13"/>
      <c r="X338" s="13" t="s">
        <v>890</v>
      </c>
      <c r="Y338" s="13" t="s">
        <v>891</v>
      </c>
      <c r="Z338" s="13" t="s">
        <v>1429</v>
      </c>
      <c r="AA338" s="19"/>
      <c r="AB338" s="16" t="s">
        <v>1244</v>
      </c>
      <c r="AC338" s="18">
        <v>46006</v>
      </c>
      <c r="AD338" s="18">
        <v>46008</v>
      </c>
      <c r="AE338" s="18">
        <v>46008</v>
      </c>
      <c r="AF338" s="15" t="s">
        <v>37</v>
      </c>
      <c r="AG338" s="18">
        <v>46010</v>
      </c>
      <c r="AH338" s="15"/>
      <c r="AI338" s="18"/>
      <c r="AJ338" s="22"/>
      <c r="AK338" s="22"/>
      <c r="AL338" s="22"/>
    </row>
    <row r="339" spans="1:38" ht="18" customHeight="1">
      <c r="A339" s="16" t="s">
        <v>1430</v>
      </c>
      <c r="B339" s="71" t="s">
        <v>892</v>
      </c>
      <c r="C339" s="64" t="s">
        <v>346</v>
      </c>
      <c r="D339" s="16">
        <v>153546</v>
      </c>
      <c r="E339" s="16" t="s">
        <v>696</v>
      </c>
      <c r="F339" s="16">
        <v>602716</v>
      </c>
      <c r="G339" s="28">
        <v>5</v>
      </c>
      <c r="H339" s="18">
        <v>45148</v>
      </c>
      <c r="I339" s="24" t="s">
        <v>551</v>
      </c>
      <c r="J339" s="18">
        <v>44053</v>
      </c>
      <c r="K339" s="18">
        <v>45878</v>
      </c>
      <c r="L339" s="19" t="s">
        <v>95</v>
      </c>
      <c r="M339" s="19" t="s">
        <v>96</v>
      </c>
      <c r="N339" s="13" t="s">
        <v>117</v>
      </c>
      <c r="O339" s="13" t="s">
        <v>698</v>
      </c>
      <c r="P339" s="13" t="s">
        <v>699</v>
      </c>
      <c r="Q339" s="16">
        <v>1030242</v>
      </c>
      <c r="R339" s="16">
        <v>1030242</v>
      </c>
      <c r="S339" s="16" t="s">
        <v>38</v>
      </c>
      <c r="T339" s="13" t="s">
        <v>893</v>
      </c>
      <c r="U339" s="13" t="s">
        <v>843</v>
      </c>
      <c r="V339" s="20" t="s">
        <v>532</v>
      </c>
      <c r="W339" s="13"/>
      <c r="X339" s="13" t="s">
        <v>844</v>
      </c>
      <c r="Y339" s="13" t="s">
        <v>715</v>
      </c>
      <c r="Z339" s="13" t="s">
        <v>1431</v>
      </c>
      <c r="AA339" s="19"/>
      <c r="AB339" s="16" t="s">
        <v>1244</v>
      </c>
      <c r="AC339" s="18">
        <v>46006</v>
      </c>
      <c r="AD339" s="18">
        <v>46008</v>
      </c>
      <c r="AE339" s="18">
        <v>46008</v>
      </c>
      <c r="AF339" s="15" t="s">
        <v>37</v>
      </c>
      <c r="AG339" s="18">
        <v>46010</v>
      </c>
      <c r="AH339" s="15"/>
      <c r="AI339" s="18"/>
      <c r="AJ339" s="22"/>
      <c r="AK339" s="22"/>
      <c r="AL339" s="22"/>
    </row>
    <row r="340" spans="1:38" ht="18" customHeight="1">
      <c r="A340" s="16" t="s">
        <v>1432</v>
      </c>
      <c r="B340" s="71" t="s">
        <v>894</v>
      </c>
      <c r="C340" s="64" t="s">
        <v>346</v>
      </c>
      <c r="D340" s="16">
        <v>168487</v>
      </c>
      <c r="E340" s="16" t="s">
        <v>840</v>
      </c>
      <c r="F340" s="16" t="s">
        <v>38</v>
      </c>
      <c r="G340" s="28">
        <v>0</v>
      </c>
      <c r="H340" s="18">
        <v>45200</v>
      </c>
      <c r="I340" s="24" t="s">
        <v>94</v>
      </c>
      <c r="J340" s="18">
        <v>45200</v>
      </c>
      <c r="K340" s="18">
        <v>46295</v>
      </c>
      <c r="L340" s="19" t="s">
        <v>63</v>
      </c>
      <c r="M340" s="19" t="s">
        <v>895</v>
      </c>
      <c r="N340" s="13" t="s">
        <v>94</v>
      </c>
      <c r="O340" s="13" t="s">
        <v>698</v>
      </c>
      <c r="P340" s="13" t="s">
        <v>699</v>
      </c>
      <c r="Q340" s="16">
        <v>1030242</v>
      </c>
      <c r="R340" s="16">
        <v>1030242</v>
      </c>
      <c r="S340" s="16" t="s">
        <v>38</v>
      </c>
      <c r="T340" s="13" t="s">
        <v>896</v>
      </c>
      <c r="U340" s="13" t="s">
        <v>897</v>
      </c>
      <c r="V340" s="20" t="s">
        <v>292</v>
      </c>
      <c r="W340" s="13"/>
      <c r="X340" s="13" t="s">
        <v>898</v>
      </c>
      <c r="Y340" s="13"/>
      <c r="Z340" s="13" t="s">
        <v>1433</v>
      </c>
      <c r="AA340" s="19"/>
      <c r="AB340" s="16" t="s">
        <v>1244</v>
      </c>
      <c r="AC340" s="18">
        <v>46006</v>
      </c>
      <c r="AD340" s="18">
        <v>46008</v>
      </c>
      <c r="AE340" s="18">
        <v>46008</v>
      </c>
      <c r="AF340" s="15" t="s">
        <v>37</v>
      </c>
      <c r="AG340" s="18">
        <v>46010</v>
      </c>
      <c r="AH340" s="15"/>
      <c r="AI340" s="18"/>
      <c r="AJ340" s="22"/>
      <c r="AK340" s="22"/>
      <c r="AL340" s="22"/>
    </row>
    <row r="341" spans="1:38" ht="18" customHeight="1">
      <c r="A341" s="16" t="s">
        <v>1434</v>
      </c>
      <c r="B341" s="71" t="s">
        <v>899</v>
      </c>
      <c r="C341" s="64" t="s">
        <v>346</v>
      </c>
      <c r="D341" s="16" t="s">
        <v>38</v>
      </c>
      <c r="E341" s="16" t="s">
        <v>696</v>
      </c>
      <c r="F341" s="16" t="s">
        <v>38</v>
      </c>
      <c r="G341" s="28">
        <v>1</v>
      </c>
      <c r="H341" s="18">
        <v>45200</v>
      </c>
      <c r="I341" s="24" t="s">
        <v>900</v>
      </c>
      <c r="J341" s="18">
        <v>44470</v>
      </c>
      <c r="K341" s="18">
        <v>47026</v>
      </c>
      <c r="L341" s="19" t="s">
        <v>54</v>
      </c>
      <c r="M341" s="19" t="s">
        <v>750</v>
      </c>
      <c r="N341" s="13" t="s">
        <v>117</v>
      </c>
      <c r="O341" s="13" t="s">
        <v>698</v>
      </c>
      <c r="P341" s="13" t="s">
        <v>699</v>
      </c>
      <c r="Q341" s="16">
        <v>1030242</v>
      </c>
      <c r="R341" s="16">
        <v>1030242</v>
      </c>
      <c r="S341" s="16" t="s">
        <v>38</v>
      </c>
      <c r="T341" s="13" t="s">
        <v>901</v>
      </c>
      <c r="U341" s="13" t="s">
        <v>751</v>
      </c>
      <c r="V341" s="20" t="s">
        <v>752</v>
      </c>
      <c r="W341" s="13"/>
      <c r="X341" s="13" t="s">
        <v>902</v>
      </c>
      <c r="Y341" s="13" t="s">
        <v>754</v>
      </c>
      <c r="Z341" s="13" t="s">
        <v>1435</v>
      </c>
      <c r="AA341" s="19"/>
      <c r="AB341" s="16" t="s">
        <v>1244</v>
      </c>
      <c r="AC341" s="18">
        <v>46006</v>
      </c>
      <c r="AD341" s="18">
        <v>46008</v>
      </c>
      <c r="AE341" s="18">
        <v>46008</v>
      </c>
      <c r="AF341" s="15" t="s">
        <v>37</v>
      </c>
      <c r="AG341" s="18">
        <v>46010</v>
      </c>
      <c r="AH341" s="15"/>
      <c r="AI341" s="18"/>
      <c r="AJ341" s="22"/>
      <c r="AK341" s="22"/>
      <c r="AL341" s="22"/>
    </row>
    <row r="342" spans="1:38" ht="18" customHeight="1">
      <c r="A342" s="16" t="s">
        <v>1436</v>
      </c>
      <c r="B342" s="71" t="s">
        <v>904</v>
      </c>
      <c r="C342" s="64" t="s">
        <v>346</v>
      </c>
      <c r="D342" s="16">
        <v>168986</v>
      </c>
      <c r="E342" s="16" t="s">
        <v>696</v>
      </c>
      <c r="F342" s="16" t="s">
        <v>905</v>
      </c>
      <c r="G342" s="28">
        <v>6</v>
      </c>
      <c r="H342" s="18">
        <v>45191</v>
      </c>
      <c r="I342" s="24" t="s">
        <v>551</v>
      </c>
      <c r="J342" s="18">
        <v>44053</v>
      </c>
      <c r="K342" s="18">
        <v>45878</v>
      </c>
      <c r="L342" s="19" t="s">
        <v>95</v>
      </c>
      <c r="M342" s="19" t="s">
        <v>96</v>
      </c>
      <c r="N342" s="13" t="s">
        <v>117</v>
      </c>
      <c r="O342" s="13" t="s">
        <v>698</v>
      </c>
      <c r="P342" s="13" t="s">
        <v>699</v>
      </c>
      <c r="Q342" s="16">
        <v>1030242</v>
      </c>
      <c r="R342" s="16">
        <v>1030242</v>
      </c>
      <c r="S342" s="16" t="s">
        <v>38</v>
      </c>
      <c r="T342" s="13" t="s">
        <v>906</v>
      </c>
      <c r="U342" s="13" t="s">
        <v>843</v>
      </c>
      <c r="V342" s="20" t="s">
        <v>532</v>
      </c>
      <c r="W342" s="13"/>
      <c r="X342" s="13" t="s">
        <v>907</v>
      </c>
      <c r="Y342" s="13" t="s">
        <v>908</v>
      </c>
      <c r="Z342" s="13" t="s">
        <v>1437</v>
      </c>
      <c r="AA342" s="19"/>
      <c r="AB342" s="16" t="s">
        <v>1244</v>
      </c>
      <c r="AC342" s="18">
        <v>46006</v>
      </c>
      <c r="AD342" s="18">
        <v>46008</v>
      </c>
      <c r="AE342" s="18">
        <v>46008</v>
      </c>
      <c r="AF342" s="15" t="s">
        <v>37</v>
      </c>
      <c r="AG342" s="18">
        <v>46010</v>
      </c>
      <c r="AH342" s="15"/>
      <c r="AI342" s="18"/>
      <c r="AJ342" s="22"/>
      <c r="AK342" s="22"/>
      <c r="AL342" s="22"/>
    </row>
    <row r="343" spans="1:38" ht="18" customHeight="1">
      <c r="A343" s="16" t="s">
        <v>1438</v>
      </c>
      <c r="B343" s="71" t="s">
        <v>909</v>
      </c>
      <c r="C343" s="64" t="s">
        <v>346</v>
      </c>
      <c r="D343" s="16">
        <v>175524</v>
      </c>
      <c r="E343" s="16" t="s">
        <v>840</v>
      </c>
      <c r="F343" s="16">
        <v>646195</v>
      </c>
      <c r="G343" s="28">
        <v>0</v>
      </c>
      <c r="H343" s="18">
        <v>45323</v>
      </c>
      <c r="I343" s="24" t="s">
        <v>910</v>
      </c>
      <c r="J343" s="18">
        <v>45323</v>
      </c>
      <c r="K343" s="18">
        <v>46053</v>
      </c>
      <c r="L343" s="19" t="s">
        <v>54</v>
      </c>
      <c r="M343" s="19" t="s">
        <v>911</v>
      </c>
      <c r="N343" s="13" t="s">
        <v>94</v>
      </c>
      <c r="O343" s="13" t="s">
        <v>698</v>
      </c>
      <c r="P343" s="13" t="s">
        <v>699</v>
      </c>
      <c r="Q343" s="16">
        <v>1030242</v>
      </c>
      <c r="R343" s="16">
        <v>1030242</v>
      </c>
      <c r="S343" s="16" t="s">
        <v>38</v>
      </c>
      <c r="T343" s="13" t="s">
        <v>912</v>
      </c>
      <c r="U343" s="13" t="s">
        <v>913</v>
      </c>
      <c r="V343" s="20" t="s">
        <v>532</v>
      </c>
      <c r="W343" s="13"/>
      <c r="X343" s="13" t="s">
        <v>914</v>
      </c>
      <c r="Y343" s="13" t="s">
        <v>915</v>
      </c>
      <c r="Z343" s="13" t="s">
        <v>1439</v>
      </c>
      <c r="AA343" s="19"/>
      <c r="AB343" s="16" t="s">
        <v>1244</v>
      </c>
      <c r="AC343" s="18">
        <v>46006</v>
      </c>
      <c r="AD343" s="18">
        <v>46008</v>
      </c>
      <c r="AE343" s="18">
        <v>46008</v>
      </c>
      <c r="AF343" s="15" t="s">
        <v>37</v>
      </c>
      <c r="AG343" s="18">
        <v>46010</v>
      </c>
      <c r="AH343" s="15"/>
      <c r="AI343" s="18"/>
      <c r="AJ343" s="22"/>
      <c r="AK343" s="22"/>
      <c r="AL343" s="22"/>
    </row>
    <row r="344" spans="1:38" ht="18" customHeight="1">
      <c r="A344" s="16" t="s">
        <v>1440</v>
      </c>
      <c r="B344" s="71" t="s">
        <v>916</v>
      </c>
      <c r="C344" s="64" t="s">
        <v>346</v>
      </c>
      <c r="D344" s="16" t="s">
        <v>38</v>
      </c>
      <c r="E344" s="16" t="s">
        <v>840</v>
      </c>
      <c r="F344" s="16" t="s">
        <v>861</v>
      </c>
      <c r="G344" s="28">
        <v>1</v>
      </c>
      <c r="H344" s="18">
        <v>45359</v>
      </c>
      <c r="I344" s="24" t="s">
        <v>917</v>
      </c>
      <c r="J344" s="18">
        <v>45078</v>
      </c>
      <c r="K344" s="18">
        <v>46173</v>
      </c>
      <c r="L344" s="19" t="s">
        <v>54</v>
      </c>
      <c r="M344" s="19" t="s">
        <v>863</v>
      </c>
      <c r="N344" s="13" t="s">
        <v>918</v>
      </c>
      <c r="O344" s="13" t="s">
        <v>698</v>
      </c>
      <c r="P344" s="13" t="s">
        <v>699</v>
      </c>
      <c r="Q344" s="16">
        <v>1030242</v>
      </c>
      <c r="R344" s="16">
        <v>1030242</v>
      </c>
      <c r="S344" s="16" t="s">
        <v>38</v>
      </c>
      <c r="T344" s="13" t="s">
        <v>916</v>
      </c>
      <c r="U344" s="13" t="s">
        <v>919</v>
      </c>
      <c r="V344" s="20" t="s">
        <v>517</v>
      </c>
      <c r="W344" s="13"/>
      <c r="X344" s="13" t="s">
        <v>866</v>
      </c>
      <c r="Y344" s="13" t="s">
        <v>867</v>
      </c>
      <c r="Z344" s="13" t="s">
        <v>1441</v>
      </c>
      <c r="AA344" s="19"/>
      <c r="AB344" s="16" t="s">
        <v>1244</v>
      </c>
      <c r="AC344" s="18">
        <v>46006</v>
      </c>
      <c r="AD344" s="18">
        <v>46008</v>
      </c>
      <c r="AE344" s="18">
        <v>46008</v>
      </c>
      <c r="AF344" s="15" t="s">
        <v>37</v>
      </c>
      <c r="AG344" s="18">
        <v>46010</v>
      </c>
      <c r="AH344" s="15"/>
      <c r="AI344" s="18"/>
      <c r="AJ344" s="22"/>
      <c r="AK344" s="22"/>
      <c r="AL344" s="22"/>
    </row>
    <row r="345" spans="1:38" ht="18" customHeight="1">
      <c r="A345" s="16" t="s">
        <v>1442</v>
      </c>
      <c r="B345" s="71" t="s">
        <v>920</v>
      </c>
      <c r="C345" s="64" t="s">
        <v>346</v>
      </c>
      <c r="D345" s="16">
        <v>181308</v>
      </c>
      <c r="E345" s="16" t="s">
        <v>840</v>
      </c>
      <c r="F345" s="16" t="s">
        <v>38</v>
      </c>
      <c r="G345" s="28">
        <v>0</v>
      </c>
      <c r="H345" s="18">
        <v>45394</v>
      </c>
      <c r="I345" s="24" t="s">
        <v>488</v>
      </c>
      <c r="J345" s="18">
        <v>45394</v>
      </c>
      <c r="K345" s="18">
        <v>46488</v>
      </c>
      <c r="L345" s="19" t="s">
        <v>95</v>
      </c>
      <c r="M345" s="19" t="s">
        <v>134</v>
      </c>
      <c r="N345" s="13" t="s">
        <v>94</v>
      </c>
      <c r="O345" s="13" t="s">
        <v>698</v>
      </c>
      <c r="P345" s="13" t="s">
        <v>699</v>
      </c>
      <c r="Q345" s="16">
        <v>1030242</v>
      </c>
      <c r="R345" s="16">
        <v>1030242</v>
      </c>
      <c r="S345" s="16" t="s">
        <v>38</v>
      </c>
      <c r="T345" s="13" t="s">
        <v>921</v>
      </c>
      <c r="U345" s="13" t="s">
        <v>922</v>
      </c>
      <c r="V345" s="20" t="s">
        <v>923</v>
      </c>
      <c r="W345" s="13"/>
      <c r="X345" s="13" t="s">
        <v>924</v>
      </c>
      <c r="Y345" s="13" t="s">
        <v>925</v>
      </c>
      <c r="Z345" s="13" t="s">
        <v>1443</v>
      </c>
      <c r="AA345" s="19"/>
      <c r="AB345" s="16" t="s">
        <v>1244</v>
      </c>
      <c r="AC345" s="18">
        <v>46006</v>
      </c>
      <c r="AD345" s="18">
        <v>46008</v>
      </c>
      <c r="AE345" s="18">
        <v>46008</v>
      </c>
      <c r="AF345" s="15" t="s">
        <v>37</v>
      </c>
      <c r="AG345" s="18">
        <v>46010</v>
      </c>
      <c r="AH345" s="15"/>
      <c r="AI345" s="18"/>
      <c r="AJ345" s="22"/>
      <c r="AK345" s="22"/>
      <c r="AL345" s="22"/>
    </row>
    <row r="346" spans="1:38" ht="18" customHeight="1">
      <c r="A346" s="16" t="s">
        <v>1444</v>
      </c>
      <c r="B346" s="71" t="s">
        <v>927</v>
      </c>
      <c r="C346" s="64" t="s">
        <v>346</v>
      </c>
      <c r="D346" s="16">
        <v>186851</v>
      </c>
      <c r="E346" s="16" t="s">
        <v>840</v>
      </c>
      <c r="F346" s="16" t="s">
        <v>38</v>
      </c>
      <c r="G346" s="28">
        <v>0</v>
      </c>
      <c r="H346" s="18">
        <v>45397</v>
      </c>
      <c r="I346" s="24" t="s">
        <v>870</v>
      </c>
      <c r="J346" s="18">
        <v>45397</v>
      </c>
      <c r="K346" s="18">
        <v>46126</v>
      </c>
      <c r="L346" s="19" t="s">
        <v>54</v>
      </c>
      <c r="M346" s="19" t="s">
        <v>871</v>
      </c>
      <c r="N346" s="13" t="s">
        <v>94</v>
      </c>
      <c r="O346" s="13" t="s">
        <v>698</v>
      </c>
      <c r="P346" s="13" t="s">
        <v>699</v>
      </c>
      <c r="Q346" s="16">
        <v>1030242</v>
      </c>
      <c r="R346" s="16">
        <v>1030242</v>
      </c>
      <c r="S346" s="16" t="s">
        <v>38</v>
      </c>
      <c r="T346" s="13" t="s">
        <v>928</v>
      </c>
      <c r="U346" s="13" t="s">
        <v>929</v>
      </c>
      <c r="V346" s="20" t="s">
        <v>874</v>
      </c>
      <c r="W346" s="13"/>
      <c r="X346" s="13" t="s">
        <v>930</v>
      </c>
      <c r="Y346" s="13" t="s">
        <v>880</v>
      </c>
      <c r="Z346" s="13" t="s">
        <v>1445</v>
      </c>
      <c r="AA346" s="19"/>
      <c r="AB346" s="16" t="s">
        <v>1244</v>
      </c>
      <c r="AC346" s="18">
        <v>46006</v>
      </c>
      <c r="AD346" s="18">
        <v>46008</v>
      </c>
      <c r="AE346" s="18">
        <v>46008</v>
      </c>
      <c r="AF346" s="15" t="s">
        <v>37</v>
      </c>
      <c r="AG346" s="18">
        <v>46010</v>
      </c>
      <c r="AH346" s="15"/>
      <c r="AI346" s="18"/>
      <c r="AJ346" s="22"/>
      <c r="AK346" s="22"/>
      <c r="AL346" s="22"/>
    </row>
    <row r="347" spans="1:38" ht="18" customHeight="1">
      <c r="A347" s="16" t="s">
        <v>1446</v>
      </c>
      <c r="B347" s="71" t="s">
        <v>931</v>
      </c>
      <c r="C347" s="64" t="s">
        <v>346</v>
      </c>
      <c r="D347" s="16">
        <v>106356</v>
      </c>
      <c r="E347" s="16" t="s">
        <v>840</v>
      </c>
      <c r="F347" s="16" t="s">
        <v>38</v>
      </c>
      <c r="G347" s="28">
        <v>0</v>
      </c>
      <c r="H347" s="18">
        <v>45408</v>
      </c>
      <c r="I347" s="24" t="s">
        <v>932</v>
      </c>
      <c r="J347" s="18">
        <v>45408</v>
      </c>
      <c r="K347" s="18">
        <v>47233</v>
      </c>
      <c r="L347" s="19" t="s">
        <v>95</v>
      </c>
      <c r="M347" s="19" t="s">
        <v>933</v>
      </c>
      <c r="N347" s="13" t="s">
        <v>94</v>
      </c>
      <c r="O347" s="13" t="s">
        <v>698</v>
      </c>
      <c r="P347" s="13" t="s">
        <v>699</v>
      </c>
      <c r="Q347" s="16">
        <v>1030242</v>
      </c>
      <c r="R347" s="16">
        <v>1030242</v>
      </c>
      <c r="S347" s="16" t="s">
        <v>38</v>
      </c>
      <c r="T347" s="13" t="s">
        <v>934</v>
      </c>
      <c r="U347" s="13" t="s">
        <v>929</v>
      </c>
      <c r="V347" s="20" t="s">
        <v>935</v>
      </c>
      <c r="W347" s="13"/>
      <c r="X347" s="13" t="s">
        <v>936</v>
      </c>
      <c r="Y347" s="13" t="s">
        <v>937</v>
      </c>
      <c r="Z347" s="13" t="s">
        <v>1447</v>
      </c>
      <c r="AA347" s="19"/>
      <c r="AB347" s="16" t="s">
        <v>1244</v>
      </c>
      <c r="AC347" s="18">
        <v>46006</v>
      </c>
      <c r="AD347" s="18">
        <v>46008</v>
      </c>
      <c r="AE347" s="18">
        <v>46008</v>
      </c>
      <c r="AF347" s="15" t="s">
        <v>37</v>
      </c>
      <c r="AG347" s="18">
        <v>46010</v>
      </c>
      <c r="AH347" s="15"/>
      <c r="AI347" s="18"/>
      <c r="AJ347" s="22"/>
      <c r="AK347" s="22"/>
      <c r="AL347" s="22"/>
    </row>
    <row r="348" spans="1:38" ht="18" customHeight="1">
      <c r="A348" s="16" t="s">
        <v>1448</v>
      </c>
      <c r="B348" s="71" t="s">
        <v>938</v>
      </c>
      <c r="C348" s="64" t="s">
        <v>346</v>
      </c>
      <c r="D348" s="16">
        <v>186558</v>
      </c>
      <c r="E348" s="16" t="s">
        <v>696</v>
      </c>
      <c r="F348" s="16">
        <v>606128</v>
      </c>
      <c r="G348" s="28">
        <v>8</v>
      </c>
      <c r="H348" s="18">
        <v>45421</v>
      </c>
      <c r="I348" s="24" t="s">
        <v>847</v>
      </c>
      <c r="J348" s="18">
        <v>44136</v>
      </c>
      <c r="K348" s="18">
        <v>45961</v>
      </c>
      <c r="L348" s="19" t="s">
        <v>95</v>
      </c>
      <c r="M348" s="19" t="s">
        <v>718</v>
      </c>
      <c r="N348" s="13" t="s">
        <v>117</v>
      </c>
      <c r="O348" s="13" t="s">
        <v>698</v>
      </c>
      <c r="P348" s="13" t="s">
        <v>699</v>
      </c>
      <c r="Q348" s="16">
        <v>1030242</v>
      </c>
      <c r="R348" s="16">
        <v>1030242</v>
      </c>
      <c r="S348" s="16" t="s">
        <v>38</v>
      </c>
      <c r="T348" s="13" t="s">
        <v>939</v>
      </c>
      <c r="U348" s="13" t="s">
        <v>720</v>
      </c>
      <c r="V348" s="20" t="s">
        <v>940</v>
      </c>
      <c r="W348" s="13"/>
      <c r="X348" s="13" t="s">
        <v>883</v>
      </c>
      <c r="Y348" s="13" t="s">
        <v>731</v>
      </c>
      <c r="Z348" s="13" t="s">
        <v>1449</v>
      </c>
      <c r="AA348" s="19"/>
      <c r="AB348" s="16" t="s">
        <v>1244</v>
      </c>
      <c r="AC348" s="18">
        <v>46006</v>
      </c>
      <c r="AD348" s="18">
        <v>46008</v>
      </c>
      <c r="AE348" s="18">
        <v>46008</v>
      </c>
      <c r="AF348" s="15" t="s">
        <v>37</v>
      </c>
      <c r="AG348" s="18">
        <v>46010</v>
      </c>
      <c r="AH348" s="15"/>
      <c r="AI348" s="18"/>
      <c r="AJ348" s="22"/>
      <c r="AK348" s="22"/>
      <c r="AL348" s="22"/>
    </row>
    <row r="349" spans="1:38" ht="18" customHeight="1">
      <c r="A349" s="16" t="s">
        <v>1450</v>
      </c>
      <c r="B349" s="71" t="s">
        <v>942</v>
      </c>
      <c r="C349" s="64" t="s">
        <v>346</v>
      </c>
      <c r="D349" s="16">
        <v>190652</v>
      </c>
      <c r="E349" s="16" t="s">
        <v>840</v>
      </c>
      <c r="F349" s="16">
        <v>640834</v>
      </c>
      <c r="G349" s="28">
        <v>1</v>
      </c>
      <c r="H349" s="18">
        <v>45444</v>
      </c>
      <c r="I349" s="24" t="s">
        <v>943</v>
      </c>
      <c r="J349" s="18">
        <v>45158</v>
      </c>
      <c r="K349" s="18">
        <v>45888</v>
      </c>
      <c r="L349" s="19" t="s">
        <v>95</v>
      </c>
      <c r="M349" s="19" t="s">
        <v>157</v>
      </c>
      <c r="N349" s="13" t="s">
        <v>117</v>
      </c>
      <c r="O349" s="13" t="s">
        <v>698</v>
      </c>
      <c r="P349" s="13" t="s">
        <v>699</v>
      </c>
      <c r="Q349" s="16">
        <v>1030242</v>
      </c>
      <c r="R349" s="16">
        <v>1030242</v>
      </c>
      <c r="S349" s="16" t="s">
        <v>38</v>
      </c>
      <c r="T349" s="13" t="s">
        <v>944</v>
      </c>
      <c r="U349" s="13" t="s">
        <v>886</v>
      </c>
      <c r="V349" s="20" t="s">
        <v>625</v>
      </c>
      <c r="W349" s="13"/>
      <c r="X349" s="13" t="s">
        <v>945</v>
      </c>
      <c r="Y349" s="13"/>
      <c r="Z349" s="13" t="s">
        <v>1451</v>
      </c>
      <c r="AA349" s="19"/>
      <c r="AB349" s="16" t="s">
        <v>1244</v>
      </c>
      <c r="AC349" s="18">
        <v>46006</v>
      </c>
      <c r="AD349" s="18">
        <v>46008</v>
      </c>
      <c r="AE349" s="18">
        <v>46008</v>
      </c>
      <c r="AF349" s="15" t="s">
        <v>37</v>
      </c>
      <c r="AG349" s="18">
        <v>46010</v>
      </c>
      <c r="AH349" s="15"/>
      <c r="AI349" s="18"/>
      <c r="AJ349" s="22"/>
      <c r="AK349" s="22"/>
      <c r="AL349" s="22"/>
    </row>
    <row r="350" spans="1:38" ht="18" customHeight="1">
      <c r="A350" s="16" t="s">
        <v>1452</v>
      </c>
      <c r="B350" s="71" t="s">
        <v>946</v>
      </c>
      <c r="C350" s="64" t="s">
        <v>346</v>
      </c>
      <c r="D350" s="16">
        <v>184820</v>
      </c>
      <c r="E350" s="16" t="s">
        <v>840</v>
      </c>
      <c r="F350" s="16" t="s">
        <v>38</v>
      </c>
      <c r="G350" s="28">
        <v>0</v>
      </c>
      <c r="H350" s="18">
        <v>45435</v>
      </c>
      <c r="I350" s="24" t="s">
        <v>947</v>
      </c>
      <c r="J350" s="18">
        <v>45435</v>
      </c>
      <c r="K350" s="18">
        <v>46173</v>
      </c>
      <c r="L350" s="19" t="s">
        <v>54</v>
      </c>
      <c r="M350" s="19" t="s">
        <v>948</v>
      </c>
      <c r="N350" s="13" t="s">
        <v>94</v>
      </c>
      <c r="O350" s="13" t="s">
        <v>698</v>
      </c>
      <c r="P350" s="13" t="s">
        <v>699</v>
      </c>
      <c r="Q350" s="16">
        <v>1030242</v>
      </c>
      <c r="R350" s="16">
        <v>1030242</v>
      </c>
      <c r="S350" s="16" t="s">
        <v>38</v>
      </c>
      <c r="T350" s="13" t="s">
        <v>949</v>
      </c>
      <c r="U350" s="13" t="s">
        <v>929</v>
      </c>
      <c r="V350" s="20" t="s">
        <v>238</v>
      </c>
      <c r="W350" s="13"/>
      <c r="X350" s="13" t="s">
        <v>950</v>
      </c>
      <c r="Y350" s="13" t="s">
        <v>951</v>
      </c>
      <c r="Z350" s="13" t="s">
        <v>1453</v>
      </c>
      <c r="AA350" s="19"/>
      <c r="AB350" s="16" t="s">
        <v>1244</v>
      </c>
      <c r="AC350" s="18">
        <v>46006</v>
      </c>
      <c r="AD350" s="18">
        <v>46008</v>
      </c>
      <c r="AE350" s="18">
        <v>46008</v>
      </c>
      <c r="AF350" s="15" t="s">
        <v>37</v>
      </c>
      <c r="AG350" s="18">
        <v>46010</v>
      </c>
      <c r="AH350" s="15"/>
      <c r="AI350" s="18"/>
      <c r="AJ350" s="22"/>
      <c r="AK350" s="22"/>
      <c r="AL350" s="22"/>
    </row>
    <row r="351" spans="1:38" ht="18" customHeight="1">
      <c r="A351" s="16" t="s">
        <v>1454</v>
      </c>
      <c r="B351" s="71" t="s">
        <v>953</v>
      </c>
      <c r="C351" s="64" t="s">
        <v>346</v>
      </c>
      <c r="D351" s="16">
        <v>181308</v>
      </c>
      <c r="E351" s="16" t="s">
        <v>840</v>
      </c>
      <c r="F351" s="16" t="s">
        <v>38</v>
      </c>
      <c r="G351" s="28">
        <v>0</v>
      </c>
      <c r="H351" s="18">
        <v>45444</v>
      </c>
      <c r="I351" s="24" t="s">
        <v>954</v>
      </c>
      <c r="J351" s="18">
        <v>45444</v>
      </c>
      <c r="K351" s="18">
        <v>46173</v>
      </c>
      <c r="L351" s="19" t="s">
        <v>54</v>
      </c>
      <c r="M351" s="19" t="s">
        <v>955</v>
      </c>
      <c r="N351" s="13" t="s">
        <v>94</v>
      </c>
      <c r="O351" s="13" t="s">
        <v>698</v>
      </c>
      <c r="P351" s="13" t="s">
        <v>699</v>
      </c>
      <c r="Q351" s="16">
        <v>1030242</v>
      </c>
      <c r="R351" s="16">
        <v>1030242</v>
      </c>
      <c r="S351" s="16" t="s">
        <v>38</v>
      </c>
      <c r="T351" s="13" t="s">
        <v>956</v>
      </c>
      <c r="U351" s="13" t="s">
        <v>957</v>
      </c>
      <c r="V351" s="20" t="s">
        <v>532</v>
      </c>
      <c r="W351" s="13"/>
      <c r="X351" s="13" t="s">
        <v>958</v>
      </c>
      <c r="Y351" s="13" t="s">
        <v>959</v>
      </c>
      <c r="Z351" s="13" t="s">
        <v>1455</v>
      </c>
      <c r="AA351" s="19"/>
      <c r="AB351" s="16" t="s">
        <v>1244</v>
      </c>
      <c r="AC351" s="18">
        <v>46006</v>
      </c>
      <c r="AD351" s="18">
        <v>46008</v>
      </c>
      <c r="AE351" s="18">
        <v>46008</v>
      </c>
      <c r="AF351" s="15" t="s">
        <v>37</v>
      </c>
      <c r="AG351" s="18">
        <v>46010</v>
      </c>
      <c r="AH351" s="15"/>
      <c r="AI351" s="18"/>
      <c r="AJ351" s="22"/>
      <c r="AK351" s="22"/>
      <c r="AL351" s="22"/>
    </row>
    <row r="352" spans="1:38" ht="18" customHeight="1">
      <c r="A352" s="16" t="s">
        <v>1456</v>
      </c>
      <c r="B352" s="71" t="s">
        <v>960</v>
      </c>
      <c r="C352" s="64" t="s">
        <v>346</v>
      </c>
      <c r="D352" s="16">
        <v>191738</v>
      </c>
      <c r="E352" s="16" t="s">
        <v>696</v>
      </c>
      <c r="F352" s="16">
        <v>606128</v>
      </c>
      <c r="G352" s="28">
        <v>9</v>
      </c>
      <c r="H352" s="18">
        <v>45470</v>
      </c>
      <c r="I352" s="24" t="s">
        <v>847</v>
      </c>
      <c r="J352" s="18">
        <v>44136</v>
      </c>
      <c r="K352" s="18">
        <v>45961</v>
      </c>
      <c r="L352" s="19" t="s">
        <v>95</v>
      </c>
      <c r="M352" s="19" t="s">
        <v>718</v>
      </c>
      <c r="N352" s="13" t="s">
        <v>117</v>
      </c>
      <c r="O352" s="13" t="s">
        <v>698</v>
      </c>
      <c r="P352" s="13" t="s">
        <v>699</v>
      </c>
      <c r="Q352" s="16">
        <v>1030242</v>
      </c>
      <c r="R352" s="16">
        <v>1030242</v>
      </c>
      <c r="S352" s="16" t="s">
        <v>38</v>
      </c>
      <c r="T352" s="13" t="s">
        <v>961</v>
      </c>
      <c r="U352" s="13" t="s">
        <v>720</v>
      </c>
      <c r="V352" s="20" t="s">
        <v>625</v>
      </c>
      <c r="W352" s="13"/>
      <c r="X352" s="13" t="s">
        <v>962</v>
      </c>
      <c r="Y352" s="13"/>
      <c r="Z352" s="13" t="s">
        <v>1457</v>
      </c>
      <c r="AA352" s="19"/>
      <c r="AB352" s="16" t="s">
        <v>1244</v>
      </c>
      <c r="AC352" s="18">
        <v>46006</v>
      </c>
      <c r="AD352" s="18">
        <v>46008</v>
      </c>
      <c r="AE352" s="18">
        <v>46008</v>
      </c>
      <c r="AF352" s="15" t="s">
        <v>37</v>
      </c>
      <c r="AG352" s="18">
        <v>46010</v>
      </c>
      <c r="AH352" s="15"/>
      <c r="AI352" s="18"/>
      <c r="AJ352" s="22"/>
      <c r="AK352" s="22"/>
      <c r="AL352" s="22"/>
    </row>
    <row r="353" spans="1:38" ht="18" customHeight="1">
      <c r="A353" s="16" t="s">
        <v>1458</v>
      </c>
      <c r="B353" s="71" t="s">
        <v>963</v>
      </c>
      <c r="C353" s="64" t="s">
        <v>346</v>
      </c>
      <c r="D353" s="16">
        <v>191710</v>
      </c>
      <c r="E353" s="16" t="s">
        <v>840</v>
      </c>
      <c r="F353" s="16">
        <v>651534</v>
      </c>
      <c r="G353" s="28">
        <v>0</v>
      </c>
      <c r="H353" s="18">
        <v>45472</v>
      </c>
      <c r="I353" s="24" t="s">
        <v>434</v>
      </c>
      <c r="J353" s="18">
        <v>45472</v>
      </c>
      <c r="K353" s="18">
        <v>46566</v>
      </c>
      <c r="L353" s="19" t="s">
        <v>95</v>
      </c>
      <c r="M353" s="19" t="s">
        <v>697</v>
      </c>
      <c r="N353" s="13" t="s">
        <v>94</v>
      </c>
      <c r="O353" s="13" t="s">
        <v>698</v>
      </c>
      <c r="P353" s="13" t="s">
        <v>699</v>
      </c>
      <c r="Q353" s="16">
        <v>1030242</v>
      </c>
      <c r="R353" s="16">
        <v>1030242</v>
      </c>
      <c r="S353" s="16" t="s">
        <v>38</v>
      </c>
      <c r="T353" s="13" t="s">
        <v>964</v>
      </c>
      <c r="U353" s="13" t="s">
        <v>965</v>
      </c>
      <c r="V353" s="20" t="s">
        <v>625</v>
      </c>
      <c r="W353" s="13"/>
      <c r="X353" s="13" t="s">
        <v>966</v>
      </c>
      <c r="Y353" s="13" t="s">
        <v>967</v>
      </c>
      <c r="Z353" s="13" t="s">
        <v>1459</v>
      </c>
      <c r="AA353" s="19"/>
      <c r="AB353" s="16" t="s">
        <v>1244</v>
      </c>
      <c r="AC353" s="18">
        <v>46006</v>
      </c>
      <c r="AD353" s="18">
        <v>46008</v>
      </c>
      <c r="AE353" s="18">
        <v>46008</v>
      </c>
      <c r="AF353" s="15" t="s">
        <v>37</v>
      </c>
      <c r="AG353" s="18">
        <v>46010</v>
      </c>
      <c r="AH353" s="15"/>
      <c r="AI353" s="18"/>
      <c r="AJ353" s="22"/>
      <c r="AK353" s="22"/>
      <c r="AL353" s="22"/>
    </row>
    <row r="354" spans="1:38" ht="18" customHeight="1">
      <c r="A354" s="16" t="s">
        <v>1460</v>
      </c>
      <c r="B354" s="71" t="s">
        <v>970</v>
      </c>
      <c r="C354" s="64" t="s">
        <v>346</v>
      </c>
      <c r="D354" s="16">
        <v>189250</v>
      </c>
      <c r="E354" s="16" t="s">
        <v>840</v>
      </c>
      <c r="F354" s="16">
        <v>646195</v>
      </c>
      <c r="G354" s="28">
        <v>1</v>
      </c>
      <c r="H354" s="18">
        <v>45505</v>
      </c>
      <c r="I354" s="24" t="s">
        <v>971</v>
      </c>
      <c r="J354" s="18">
        <v>45323</v>
      </c>
      <c r="K354" s="18">
        <v>46053</v>
      </c>
      <c r="L354" s="19" t="s">
        <v>54</v>
      </c>
      <c r="M354" s="19" t="s">
        <v>911</v>
      </c>
      <c r="N354" s="13" t="s">
        <v>117</v>
      </c>
      <c r="O354" s="13" t="s">
        <v>698</v>
      </c>
      <c r="P354" s="13" t="s">
        <v>699</v>
      </c>
      <c r="Q354" s="16">
        <v>1030242</v>
      </c>
      <c r="R354" s="16">
        <v>1030242</v>
      </c>
      <c r="S354" s="16" t="s">
        <v>38</v>
      </c>
      <c r="T354" s="13" t="s">
        <v>972</v>
      </c>
      <c r="U354" s="13" t="s">
        <v>913</v>
      </c>
      <c r="V354" s="20" t="s">
        <v>532</v>
      </c>
      <c r="W354" s="13"/>
      <c r="X354" s="13" t="s">
        <v>973</v>
      </c>
      <c r="Y354" s="13" t="s">
        <v>974</v>
      </c>
      <c r="Z354" s="13" t="s">
        <v>1461</v>
      </c>
      <c r="AA354" s="19"/>
      <c r="AB354" s="16" t="s">
        <v>1244</v>
      </c>
      <c r="AC354" s="18">
        <v>46006</v>
      </c>
      <c r="AD354" s="18">
        <v>46008</v>
      </c>
      <c r="AE354" s="18">
        <v>46008</v>
      </c>
      <c r="AF354" s="15" t="s">
        <v>37</v>
      </c>
      <c r="AG354" s="18">
        <v>46010</v>
      </c>
      <c r="AH354" s="15"/>
      <c r="AI354" s="18"/>
      <c r="AJ354" s="22"/>
      <c r="AK354" s="22"/>
      <c r="AL354" s="22"/>
    </row>
    <row r="355" spans="1:38" ht="18" customHeight="1">
      <c r="A355" s="16" t="s">
        <v>1462</v>
      </c>
      <c r="B355" s="71" t="s">
        <v>975</v>
      </c>
      <c r="C355" s="64" t="s">
        <v>346</v>
      </c>
      <c r="D355" s="16">
        <v>184161</v>
      </c>
      <c r="E355" s="16" t="s">
        <v>840</v>
      </c>
      <c r="F355" s="16" t="s">
        <v>38</v>
      </c>
      <c r="G355" s="28">
        <v>0</v>
      </c>
      <c r="H355" s="18">
        <v>45505</v>
      </c>
      <c r="I355" s="24" t="s">
        <v>94</v>
      </c>
      <c r="J355" s="18">
        <v>45505</v>
      </c>
      <c r="K355" s="18">
        <v>46599</v>
      </c>
      <c r="L355" s="19" t="s">
        <v>63</v>
      </c>
      <c r="M355" s="19" t="s">
        <v>38</v>
      </c>
      <c r="N355" s="13" t="s">
        <v>94</v>
      </c>
      <c r="O355" s="13" t="s">
        <v>698</v>
      </c>
      <c r="P355" s="13" t="s">
        <v>699</v>
      </c>
      <c r="Q355" s="16">
        <v>1030242</v>
      </c>
      <c r="R355" s="16">
        <v>1030242</v>
      </c>
      <c r="S355" s="16" t="s">
        <v>38</v>
      </c>
      <c r="T355" s="13" t="s">
        <v>976</v>
      </c>
      <c r="U355" s="13" t="s">
        <v>977</v>
      </c>
      <c r="V355" s="20" t="s">
        <v>292</v>
      </c>
      <c r="W355" s="13"/>
      <c r="X355" s="13" t="s">
        <v>38</v>
      </c>
      <c r="Y355" s="13" t="s">
        <v>978</v>
      </c>
      <c r="Z355" s="13" t="s">
        <v>1463</v>
      </c>
      <c r="AA355" s="19"/>
      <c r="AB355" s="16" t="s">
        <v>1244</v>
      </c>
      <c r="AC355" s="18">
        <v>46006</v>
      </c>
      <c r="AD355" s="18">
        <v>46008</v>
      </c>
      <c r="AE355" s="18">
        <v>46008</v>
      </c>
      <c r="AF355" s="15" t="s">
        <v>37</v>
      </c>
      <c r="AG355" s="18">
        <v>46010</v>
      </c>
      <c r="AH355" s="15"/>
      <c r="AI355" s="18"/>
      <c r="AJ355" s="22"/>
      <c r="AK355" s="22"/>
      <c r="AL355" s="22"/>
    </row>
    <row r="356" spans="1:38" ht="18" customHeight="1">
      <c r="A356" s="16" t="s">
        <v>1464</v>
      </c>
      <c r="B356" s="71" t="s">
        <v>979</v>
      </c>
      <c r="C356" s="64" t="s">
        <v>346</v>
      </c>
      <c r="D356" s="16">
        <v>194422</v>
      </c>
      <c r="E356" s="16" t="s">
        <v>840</v>
      </c>
      <c r="F356" s="16">
        <v>651912</v>
      </c>
      <c r="G356" s="28">
        <v>0</v>
      </c>
      <c r="H356" s="18">
        <v>45488</v>
      </c>
      <c r="I356" s="24" t="s">
        <v>488</v>
      </c>
      <c r="J356" s="18">
        <v>45488</v>
      </c>
      <c r="K356" s="18">
        <v>45852</v>
      </c>
      <c r="L356" s="19" t="s">
        <v>95</v>
      </c>
      <c r="M356" s="19" t="s">
        <v>134</v>
      </c>
      <c r="N356" s="13" t="s">
        <v>94</v>
      </c>
      <c r="O356" s="13" t="s">
        <v>698</v>
      </c>
      <c r="P356" s="13" t="s">
        <v>699</v>
      </c>
      <c r="Q356" s="16">
        <v>1030242</v>
      </c>
      <c r="R356" s="16">
        <v>1030242</v>
      </c>
      <c r="S356" s="16" t="s">
        <v>38</v>
      </c>
      <c r="T356" s="13" t="s">
        <v>980</v>
      </c>
      <c r="U356" s="13" t="s">
        <v>981</v>
      </c>
      <c r="V356" s="20" t="s">
        <v>923</v>
      </c>
      <c r="W356" s="13"/>
      <c r="X356" s="13" t="s">
        <v>982</v>
      </c>
      <c r="Y356" s="13" t="s">
        <v>983</v>
      </c>
      <c r="Z356" s="13" t="s">
        <v>1465</v>
      </c>
      <c r="AA356" s="19"/>
      <c r="AB356" s="16" t="s">
        <v>1244</v>
      </c>
      <c r="AC356" s="18">
        <v>46006</v>
      </c>
      <c r="AD356" s="18">
        <v>46008</v>
      </c>
      <c r="AE356" s="18">
        <v>46008</v>
      </c>
      <c r="AF356" s="15" t="s">
        <v>37</v>
      </c>
      <c r="AG356" s="18">
        <v>46010</v>
      </c>
      <c r="AH356" s="15"/>
      <c r="AI356" s="18"/>
      <c r="AJ356" s="22"/>
      <c r="AK356" s="22"/>
      <c r="AL356" s="22"/>
    </row>
    <row r="357" spans="1:38" ht="18" customHeight="1">
      <c r="A357" s="16" t="s">
        <v>1466</v>
      </c>
      <c r="B357" s="71" t="s">
        <v>984</v>
      </c>
      <c r="C357" s="64" t="s">
        <v>346</v>
      </c>
      <c r="D357" s="16">
        <v>193992</v>
      </c>
      <c r="E357" s="16" t="s">
        <v>696</v>
      </c>
      <c r="F357" s="16">
        <v>606128</v>
      </c>
      <c r="G357" s="28">
        <v>10</v>
      </c>
      <c r="H357" s="18">
        <v>45421</v>
      </c>
      <c r="I357" s="24" t="s">
        <v>985</v>
      </c>
      <c r="J357" s="18">
        <v>44136</v>
      </c>
      <c r="K357" s="18">
        <v>45961</v>
      </c>
      <c r="L357" s="19" t="s">
        <v>95</v>
      </c>
      <c r="M357" s="19" t="s">
        <v>718</v>
      </c>
      <c r="N357" s="13" t="s">
        <v>986</v>
      </c>
      <c r="O357" s="13" t="s">
        <v>698</v>
      </c>
      <c r="P357" s="13" t="s">
        <v>699</v>
      </c>
      <c r="Q357" s="16">
        <v>1030242</v>
      </c>
      <c r="R357" s="16">
        <v>1030242</v>
      </c>
      <c r="S357" s="16" t="s">
        <v>38</v>
      </c>
      <c r="T357" s="13" t="s">
        <v>987</v>
      </c>
      <c r="U357" s="13" t="s">
        <v>720</v>
      </c>
      <c r="V357" s="20" t="s">
        <v>625</v>
      </c>
      <c r="W357" s="13"/>
      <c r="X357" s="13" t="s">
        <v>988</v>
      </c>
      <c r="Y357" s="13" t="s">
        <v>731</v>
      </c>
      <c r="Z357" s="13" t="s">
        <v>1467</v>
      </c>
      <c r="AA357" s="19"/>
      <c r="AB357" s="16" t="s">
        <v>1244</v>
      </c>
      <c r="AC357" s="18">
        <v>46006</v>
      </c>
      <c r="AD357" s="18">
        <v>46008</v>
      </c>
      <c r="AE357" s="18">
        <v>46008</v>
      </c>
      <c r="AF357" s="15" t="s">
        <v>37</v>
      </c>
      <c r="AG357" s="18">
        <v>46010</v>
      </c>
      <c r="AH357" s="15"/>
      <c r="AI357" s="18"/>
      <c r="AJ357" s="22"/>
      <c r="AK357" s="22"/>
      <c r="AL357" s="22"/>
    </row>
    <row r="358" spans="1:38" ht="18" customHeight="1">
      <c r="A358" s="16" t="s">
        <v>1468</v>
      </c>
      <c r="B358" s="71" t="s">
        <v>989</v>
      </c>
      <c r="C358" s="64" t="s">
        <v>346</v>
      </c>
      <c r="D358" s="16">
        <v>197278</v>
      </c>
      <c r="E358" s="16" t="s">
        <v>840</v>
      </c>
      <c r="F358" s="16">
        <v>651534</v>
      </c>
      <c r="G358" s="28">
        <v>1</v>
      </c>
      <c r="H358" s="18">
        <v>45534</v>
      </c>
      <c r="I358" s="24" t="s">
        <v>990</v>
      </c>
      <c r="J358" s="18">
        <v>45472</v>
      </c>
      <c r="K358" s="18">
        <v>46566</v>
      </c>
      <c r="L358" s="19" t="s">
        <v>95</v>
      </c>
      <c r="M358" s="19" t="s">
        <v>697</v>
      </c>
      <c r="N358" s="13" t="s">
        <v>986</v>
      </c>
      <c r="O358" s="13" t="s">
        <v>698</v>
      </c>
      <c r="P358" s="13" t="s">
        <v>699</v>
      </c>
      <c r="Q358" s="16">
        <v>1030242</v>
      </c>
      <c r="R358" s="16">
        <v>1030242</v>
      </c>
      <c r="S358" s="16" t="s">
        <v>38</v>
      </c>
      <c r="T358" s="13" t="s">
        <v>991</v>
      </c>
      <c r="U358" s="13" t="s">
        <v>965</v>
      </c>
      <c r="V358" s="20" t="s">
        <v>625</v>
      </c>
      <c r="W358" s="13"/>
      <c r="X358" s="13" t="s">
        <v>992</v>
      </c>
      <c r="Y358" s="13" t="s">
        <v>967</v>
      </c>
      <c r="Z358" s="13" t="s">
        <v>1469</v>
      </c>
      <c r="AA358" s="19"/>
      <c r="AB358" s="16" t="s">
        <v>1244</v>
      </c>
      <c r="AC358" s="18">
        <v>46006</v>
      </c>
      <c r="AD358" s="18">
        <v>46008</v>
      </c>
      <c r="AE358" s="18">
        <v>46008</v>
      </c>
      <c r="AF358" s="15" t="s">
        <v>37</v>
      </c>
      <c r="AG358" s="18">
        <v>46010</v>
      </c>
      <c r="AH358" s="15"/>
      <c r="AI358" s="18"/>
      <c r="AJ358" s="22"/>
      <c r="AK358" s="22"/>
      <c r="AL358" s="22"/>
    </row>
    <row r="359" spans="1:38" ht="18" customHeight="1">
      <c r="A359" s="16" t="s">
        <v>1470</v>
      </c>
      <c r="B359" s="71" t="s">
        <v>993</v>
      </c>
      <c r="C359" s="64" t="s">
        <v>346</v>
      </c>
      <c r="D359" s="16">
        <v>198316</v>
      </c>
      <c r="E359" s="16" t="s">
        <v>840</v>
      </c>
      <c r="F359" s="16">
        <v>654321</v>
      </c>
      <c r="G359" s="28">
        <v>0</v>
      </c>
      <c r="H359" s="18">
        <v>45567</v>
      </c>
      <c r="I359" s="24" t="s">
        <v>994</v>
      </c>
      <c r="J359" s="18">
        <v>45567</v>
      </c>
      <c r="K359" s="18">
        <v>45931</v>
      </c>
      <c r="L359" s="19" t="s">
        <v>54</v>
      </c>
      <c r="M359" s="19" t="s">
        <v>871</v>
      </c>
      <c r="N359" s="13" t="s">
        <v>94</v>
      </c>
      <c r="O359" s="13" t="s">
        <v>698</v>
      </c>
      <c r="P359" s="13" t="s">
        <v>699</v>
      </c>
      <c r="Q359" s="16">
        <v>1030242</v>
      </c>
      <c r="R359" s="16">
        <v>1030242</v>
      </c>
      <c r="S359" s="16" t="s">
        <v>38</v>
      </c>
      <c r="T359" s="13" t="s">
        <v>995</v>
      </c>
      <c r="U359" s="13" t="s">
        <v>996</v>
      </c>
      <c r="V359" s="20" t="s">
        <v>997</v>
      </c>
      <c r="W359" s="13"/>
      <c r="X359" s="13" t="s">
        <v>998</v>
      </c>
      <c r="Y359" s="13" t="s">
        <v>999</v>
      </c>
      <c r="Z359" s="13" t="s">
        <v>1471</v>
      </c>
      <c r="AA359" s="19"/>
      <c r="AB359" s="16" t="s">
        <v>1244</v>
      </c>
      <c r="AC359" s="18">
        <v>46006</v>
      </c>
      <c r="AD359" s="18">
        <v>46008</v>
      </c>
      <c r="AE359" s="18">
        <v>46008</v>
      </c>
      <c r="AF359" s="15" t="s">
        <v>37</v>
      </c>
      <c r="AG359" s="18">
        <v>46010</v>
      </c>
      <c r="AH359" s="15"/>
      <c r="AI359" s="18"/>
      <c r="AJ359" s="22"/>
      <c r="AK359" s="22"/>
      <c r="AL359" s="22"/>
    </row>
    <row r="360" spans="1:38" ht="18" customHeight="1">
      <c r="A360" s="16" t="s">
        <v>1472</v>
      </c>
      <c r="B360" s="71" t="s">
        <v>1000</v>
      </c>
      <c r="C360" s="64" t="s">
        <v>346</v>
      </c>
      <c r="D360" s="16">
        <v>197998</v>
      </c>
      <c r="E360" s="16" t="s">
        <v>840</v>
      </c>
      <c r="F360" s="16"/>
      <c r="G360" s="28">
        <v>0</v>
      </c>
      <c r="H360" s="18">
        <v>45597</v>
      </c>
      <c r="I360" s="24" t="s">
        <v>994</v>
      </c>
      <c r="J360" s="18">
        <v>45597</v>
      </c>
      <c r="K360" s="18">
        <v>45961</v>
      </c>
      <c r="L360" s="19" t="s">
        <v>54</v>
      </c>
      <c r="M360" s="19" t="s">
        <v>871</v>
      </c>
      <c r="N360" s="13" t="s">
        <v>94</v>
      </c>
      <c r="O360" s="13" t="s">
        <v>698</v>
      </c>
      <c r="P360" s="13" t="s">
        <v>699</v>
      </c>
      <c r="Q360" s="16">
        <v>1030242</v>
      </c>
      <c r="R360" s="16">
        <v>1030242</v>
      </c>
      <c r="S360" s="16" t="s">
        <v>38</v>
      </c>
      <c r="T360" s="13" t="s">
        <v>1001</v>
      </c>
      <c r="U360" s="13" t="s">
        <v>1002</v>
      </c>
      <c r="V360" s="20" t="s">
        <v>1003</v>
      </c>
      <c r="W360" s="13"/>
      <c r="X360" s="13" t="s">
        <v>1004</v>
      </c>
      <c r="Y360" s="13" t="s">
        <v>1005</v>
      </c>
      <c r="Z360" s="13" t="s">
        <v>1473</v>
      </c>
      <c r="AA360" s="19"/>
      <c r="AB360" s="16" t="s">
        <v>1244</v>
      </c>
      <c r="AC360" s="18">
        <v>46006</v>
      </c>
      <c r="AD360" s="18">
        <v>46008</v>
      </c>
      <c r="AE360" s="18">
        <v>46008</v>
      </c>
      <c r="AF360" s="15" t="s">
        <v>37</v>
      </c>
      <c r="AG360" s="18">
        <v>46010</v>
      </c>
      <c r="AH360" s="15"/>
      <c r="AI360" s="18"/>
      <c r="AJ360" s="22"/>
      <c r="AK360" s="22"/>
      <c r="AL360" s="22"/>
    </row>
    <row r="361" spans="1:38" ht="18" customHeight="1">
      <c r="A361" s="16" t="s">
        <v>1474</v>
      </c>
      <c r="B361" s="13" t="s">
        <v>1014</v>
      </c>
      <c r="C361" s="64" t="s">
        <v>346</v>
      </c>
      <c r="D361" s="16" t="s">
        <v>38</v>
      </c>
      <c r="E361" s="16" t="s">
        <v>840</v>
      </c>
      <c r="F361" s="16">
        <v>655453</v>
      </c>
      <c r="G361" s="28">
        <v>0</v>
      </c>
      <c r="H361" s="18">
        <v>45632</v>
      </c>
      <c r="I361" s="24" t="s">
        <v>1016</v>
      </c>
      <c r="J361" s="18">
        <v>45632</v>
      </c>
      <c r="K361" s="18">
        <v>46726</v>
      </c>
      <c r="L361" s="19" t="s">
        <v>42</v>
      </c>
      <c r="M361" s="19" t="s">
        <v>544</v>
      </c>
      <c r="N361" s="13" t="s">
        <v>94</v>
      </c>
      <c r="O361" s="13" t="s">
        <v>698</v>
      </c>
      <c r="P361" s="13" t="s">
        <v>699</v>
      </c>
      <c r="Q361" s="16">
        <v>1030242</v>
      </c>
      <c r="R361" s="16" t="s">
        <v>1017</v>
      </c>
      <c r="S361" s="16" t="s">
        <v>1017</v>
      </c>
      <c r="T361" s="13" t="s">
        <v>1018</v>
      </c>
      <c r="U361" s="13" t="s">
        <v>1019</v>
      </c>
      <c r="V361" s="20" t="s">
        <v>1020</v>
      </c>
      <c r="W361" s="13"/>
      <c r="X361" s="13" t="s">
        <v>1021</v>
      </c>
      <c r="Y361" s="13" t="s">
        <v>1022</v>
      </c>
      <c r="Z361" s="13" t="s">
        <v>1475</v>
      </c>
      <c r="AA361" s="19"/>
      <c r="AB361" s="16" t="s">
        <v>1244</v>
      </c>
      <c r="AC361" s="18">
        <v>46006</v>
      </c>
      <c r="AD361" s="18">
        <v>46008</v>
      </c>
      <c r="AE361" s="18">
        <v>46008</v>
      </c>
      <c r="AF361" s="15" t="s">
        <v>37</v>
      </c>
      <c r="AG361" s="18">
        <v>46010</v>
      </c>
      <c r="AH361" s="15"/>
      <c r="AI361" s="18"/>
      <c r="AJ361" s="22"/>
      <c r="AK361" s="22"/>
      <c r="AL361" s="22"/>
    </row>
    <row r="362" spans="1:38" ht="18" customHeight="1">
      <c r="A362" s="16" t="s">
        <v>1476</v>
      </c>
      <c r="B362" s="13" t="s">
        <v>1023</v>
      </c>
      <c r="C362" s="64" t="s">
        <v>346</v>
      </c>
      <c r="D362" s="16" t="s">
        <v>1024</v>
      </c>
      <c r="E362" s="16" t="s">
        <v>840</v>
      </c>
      <c r="F362" s="16" t="s">
        <v>38</v>
      </c>
      <c r="G362" s="28">
        <v>0</v>
      </c>
      <c r="H362" s="18">
        <v>45616</v>
      </c>
      <c r="I362" s="24" t="s">
        <v>947</v>
      </c>
      <c r="J362" s="18">
        <v>45616</v>
      </c>
      <c r="K362" s="18">
        <v>46356</v>
      </c>
      <c r="L362" s="19" t="s">
        <v>54</v>
      </c>
      <c r="M362" s="19" t="s">
        <v>234</v>
      </c>
      <c r="N362" s="13" t="s">
        <v>94</v>
      </c>
      <c r="O362" s="13" t="s">
        <v>698</v>
      </c>
      <c r="P362" s="13" t="s">
        <v>699</v>
      </c>
      <c r="Q362" s="16">
        <v>1030242</v>
      </c>
      <c r="R362" s="16" t="s">
        <v>1025</v>
      </c>
      <c r="S362" s="16" t="s">
        <v>1025</v>
      </c>
      <c r="T362" s="13" t="s">
        <v>1026</v>
      </c>
      <c r="U362" s="13" t="s">
        <v>1027</v>
      </c>
      <c r="V362" s="20" t="s">
        <v>923</v>
      </c>
      <c r="W362" s="13"/>
      <c r="X362" s="13" t="s">
        <v>1028</v>
      </c>
      <c r="Y362" s="13" t="s">
        <v>1029</v>
      </c>
      <c r="Z362" s="13" t="s">
        <v>1477</v>
      </c>
      <c r="AA362" s="19"/>
      <c r="AB362" s="16" t="s">
        <v>1244</v>
      </c>
      <c r="AC362" s="18">
        <v>46006</v>
      </c>
      <c r="AD362" s="18">
        <v>46008</v>
      </c>
      <c r="AE362" s="18">
        <v>46008</v>
      </c>
      <c r="AF362" s="15" t="s">
        <v>37</v>
      </c>
      <c r="AG362" s="18">
        <v>46010</v>
      </c>
      <c r="AH362" s="15"/>
      <c r="AI362" s="18"/>
      <c r="AJ362" s="22"/>
      <c r="AK362" s="22"/>
      <c r="AL362" s="22"/>
    </row>
    <row r="363" spans="1:38" ht="18" customHeight="1">
      <c r="A363" s="16" t="s">
        <v>1478</v>
      </c>
      <c r="B363" s="13" t="s">
        <v>1044</v>
      </c>
      <c r="C363" s="64" t="s">
        <v>346</v>
      </c>
      <c r="D363" s="16">
        <v>215123</v>
      </c>
      <c r="E363" s="16" t="s">
        <v>696</v>
      </c>
      <c r="F363" s="16">
        <v>595588</v>
      </c>
      <c r="G363" s="28">
        <v>6</v>
      </c>
      <c r="H363" s="18">
        <v>45701</v>
      </c>
      <c r="I363" s="24" t="s">
        <v>707</v>
      </c>
      <c r="J363" s="18">
        <v>43875</v>
      </c>
      <c r="K363" s="18">
        <v>45760</v>
      </c>
      <c r="L363" s="19" t="s">
        <v>95</v>
      </c>
      <c r="M363" s="19" t="s">
        <v>697</v>
      </c>
      <c r="N363" s="13" t="s">
        <v>117</v>
      </c>
      <c r="O363" s="13" t="s">
        <v>698</v>
      </c>
      <c r="P363" s="13" t="s">
        <v>699</v>
      </c>
      <c r="Q363" s="16">
        <v>1030242</v>
      </c>
      <c r="R363" s="16" t="s">
        <v>1045</v>
      </c>
      <c r="S363" s="16" t="s">
        <v>1045</v>
      </c>
      <c r="T363" s="13" t="s">
        <v>1046</v>
      </c>
      <c r="U363" s="13" t="s">
        <v>735</v>
      </c>
      <c r="V363" s="20" t="s">
        <v>625</v>
      </c>
      <c r="W363" s="13"/>
      <c r="X363" s="13" t="s">
        <v>1047</v>
      </c>
      <c r="Y363" s="13" t="s">
        <v>703</v>
      </c>
      <c r="Z363" s="13" t="s">
        <v>1479</v>
      </c>
      <c r="AA363" s="19"/>
      <c r="AB363" s="16" t="s">
        <v>1244</v>
      </c>
      <c r="AC363" s="18">
        <v>46006</v>
      </c>
      <c r="AD363" s="18">
        <v>46008</v>
      </c>
      <c r="AE363" s="18">
        <v>46008</v>
      </c>
      <c r="AF363" s="15" t="s">
        <v>37</v>
      </c>
      <c r="AG363" s="18">
        <v>46010</v>
      </c>
      <c r="AH363" s="15"/>
      <c r="AI363" s="18"/>
      <c r="AJ363" s="22"/>
      <c r="AK363" s="22"/>
      <c r="AL363" s="22"/>
    </row>
    <row r="364" spans="1:38" ht="18" customHeight="1">
      <c r="A364" s="16" t="s">
        <v>1480</v>
      </c>
      <c r="B364" s="13" t="s">
        <v>1049</v>
      </c>
      <c r="C364" s="64" t="s">
        <v>346</v>
      </c>
      <c r="D364" s="16">
        <v>213221</v>
      </c>
      <c r="E364" s="16" t="s">
        <v>840</v>
      </c>
      <c r="F364" s="16">
        <v>651534</v>
      </c>
      <c r="G364" s="28">
        <v>2</v>
      </c>
      <c r="H364" s="18">
        <v>45723</v>
      </c>
      <c r="I364" s="24" t="s">
        <v>707</v>
      </c>
      <c r="J364" s="18">
        <v>45472</v>
      </c>
      <c r="K364" s="18">
        <v>46566</v>
      </c>
      <c r="L364" s="19" t="s">
        <v>95</v>
      </c>
      <c r="M364" s="19" t="s">
        <v>697</v>
      </c>
      <c r="N364" s="13" t="s">
        <v>117</v>
      </c>
      <c r="O364" s="13" t="s">
        <v>698</v>
      </c>
      <c r="P364" s="13" t="s">
        <v>699</v>
      </c>
      <c r="Q364" s="16">
        <v>1030242</v>
      </c>
      <c r="R364" s="16" t="s">
        <v>1050</v>
      </c>
      <c r="S364" s="16" t="s">
        <v>1050</v>
      </c>
      <c r="T364" s="13" t="s">
        <v>1051</v>
      </c>
      <c r="U364" s="13" t="s">
        <v>965</v>
      </c>
      <c r="V364" s="20" t="s">
        <v>625</v>
      </c>
      <c r="W364" s="13"/>
      <c r="X364" s="13" t="s">
        <v>1052</v>
      </c>
      <c r="Y364" s="13" t="s">
        <v>967</v>
      </c>
      <c r="Z364" s="13" t="s">
        <v>1481</v>
      </c>
      <c r="AA364" s="19"/>
      <c r="AB364" s="16" t="s">
        <v>1244</v>
      </c>
      <c r="AC364" s="18">
        <v>46006</v>
      </c>
      <c r="AD364" s="18">
        <v>46008</v>
      </c>
      <c r="AE364" s="18">
        <v>46008</v>
      </c>
      <c r="AF364" s="15" t="s">
        <v>37</v>
      </c>
      <c r="AG364" s="18">
        <v>46010</v>
      </c>
      <c r="AH364" s="15"/>
      <c r="AI364" s="18"/>
      <c r="AJ364" s="22"/>
      <c r="AK364" s="22"/>
      <c r="AL364" s="22"/>
    </row>
    <row r="365" spans="1:38" ht="18" customHeight="1">
      <c r="A365" s="16" t="s">
        <v>1482</v>
      </c>
      <c r="B365" s="13" t="s">
        <v>1066</v>
      </c>
      <c r="C365" s="64" t="s">
        <v>346</v>
      </c>
      <c r="D365" s="16">
        <v>220150</v>
      </c>
      <c r="E365" s="16" t="s">
        <v>840</v>
      </c>
      <c r="F365" s="16">
        <v>660606</v>
      </c>
      <c r="G365" s="28">
        <v>0</v>
      </c>
      <c r="H365" s="18">
        <v>45778</v>
      </c>
      <c r="I365" s="24" t="s">
        <v>94</v>
      </c>
      <c r="J365" s="18">
        <v>45778</v>
      </c>
      <c r="K365" s="18">
        <v>46142</v>
      </c>
      <c r="L365" s="19" t="s">
        <v>54</v>
      </c>
      <c r="M365" s="19" t="s">
        <v>1067</v>
      </c>
      <c r="N365" s="13" t="s">
        <v>94</v>
      </c>
      <c r="O365" s="13" t="s">
        <v>698</v>
      </c>
      <c r="P365" s="13" t="s">
        <v>699</v>
      </c>
      <c r="Q365" s="16">
        <v>1030242</v>
      </c>
      <c r="R365" s="16" t="s">
        <v>1068</v>
      </c>
      <c r="S365" s="16" t="s">
        <v>1068</v>
      </c>
      <c r="T365" s="13" t="s">
        <v>1069</v>
      </c>
      <c r="U365" s="13" t="s">
        <v>1070</v>
      </c>
      <c r="V365" s="20" t="s">
        <v>671</v>
      </c>
      <c r="W365" s="13"/>
      <c r="X365" s="13" t="s">
        <v>1071</v>
      </c>
      <c r="Y365" s="13" t="s">
        <v>1072</v>
      </c>
      <c r="Z365" s="13" t="s">
        <v>1483</v>
      </c>
      <c r="AA365" s="19"/>
      <c r="AB365" s="16" t="s">
        <v>1244</v>
      </c>
      <c r="AC365" s="18">
        <v>46006</v>
      </c>
      <c r="AD365" s="18">
        <v>46008</v>
      </c>
      <c r="AE365" s="18">
        <v>46008</v>
      </c>
      <c r="AF365" s="15" t="s">
        <v>37</v>
      </c>
      <c r="AG365" s="18">
        <v>46010</v>
      </c>
      <c r="AH365" s="15"/>
      <c r="AI365" s="18"/>
      <c r="AJ365" s="22"/>
      <c r="AK365" s="22"/>
      <c r="AL365" s="22"/>
    </row>
    <row r="366" spans="1:38" ht="18" customHeight="1">
      <c r="A366" s="16" t="s">
        <v>1484</v>
      </c>
      <c r="B366" s="13" t="s">
        <v>1075</v>
      </c>
      <c r="C366" s="64" t="s">
        <v>346</v>
      </c>
      <c r="D366" s="16">
        <v>222946</v>
      </c>
      <c r="E366" s="16" t="s">
        <v>840</v>
      </c>
      <c r="F366" s="16" t="s">
        <v>38</v>
      </c>
      <c r="G366" s="28">
        <v>0</v>
      </c>
      <c r="H366" s="18">
        <v>45839</v>
      </c>
      <c r="I366" s="24" t="s">
        <v>711</v>
      </c>
      <c r="J366" s="18">
        <v>45839</v>
      </c>
      <c r="K366" s="18">
        <v>46568</v>
      </c>
      <c r="L366" s="19" t="s">
        <v>95</v>
      </c>
      <c r="M366" s="19" t="s">
        <v>96</v>
      </c>
      <c r="N366" s="13" t="s">
        <v>94</v>
      </c>
      <c r="O366" s="13" t="s">
        <v>698</v>
      </c>
      <c r="P366" s="13" t="s">
        <v>699</v>
      </c>
      <c r="Q366" s="16">
        <v>1030242</v>
      </c>
      <c r="R366" s="16" t="s">
        <v>1068</v>
      </c>
      <c r="S366" s="16" t="s">
        <v>1068</v>
      </c>
      <c r="T366" s="13" t="s">
        <v>1076</v>
      </c>
      <c r="U366" s="13" t="s">
        <v>1077</v>
      </c>
      <c r="V366" s="20" t="s">
        <v>923</v>
      </c>
      <c r="W366" s="13"/>
      <c r="X366" s="13" t="s">
        <v>1078</v>
      </c>
      <c r="Y366" s="13" t="s">
        <v>1079</v>
      </c>
      <c r="Z366" s="13" t="s">
        <v>1485</v>
      </c>
      <c r="AA366" s="19"/>
      <c r="AB366" s="16" t="s">
        <v>1244</v>
      </c>
      <c r="AC366" s="18">
        <v>46006</v>
      </c>
      <c r="AD366" s="18">
        <v>46008</v>
      </c>
      <c r="AE366" s="18">
        <v>46008</v>
      </c>
      <c r="AF366" s="15" t="s">
        <v>37</v>
      </c>
      <c r="AG366" s="18">
        <v>46010</v>
      </c>
      <c r="AH366" s="15"/>
      <c r="AI366" s="18"/>
      <c r="AJ366" s="22"/>
      <c r="AK366" s="22"/>
      <c r="AL366" s="22"/>
    </row>
    <row r="367" spans="1:38" ht="18" customHeight="1">
      <c r="A367" s="16" t="s">
        <v>1486</v>
      </c>
      <c r="B367" s="13" t="s">
        <v>1080</v>
      </c>
      <c r="C367" s="64" t="s">
        <v>346</v>
      </c>
      <c r="D367" s="16" t="s">
        <v>1081</v>
      </c>
      <c r="E367" s="16" t="s">
        <v>840</v>
      </c>
      <c r="F367" s="16" t="s">
        <v>38</v>
      </c>
      <c r="G367" s="28">
        <v>0</v>
      </c>
      <c r="H367" s="18">
        <v>45809</v>
      </c>
      <c r="I367" s="24" t="s">
        <v>488</v>
      </c>
      <c r="J367" s="18">
        <v>45809</v>
      </c>
      <c r="K367" s="18">
        <v>46904</v>
      </c>
      <c r="L367" s="19" t="s">
        <v>95</v>
      </c>
      <c r="M367" s="19" t="s">
        <v>134</v>
      </c>
      <c r="N367" s="13" t="s">
        <v>94</v>
      </c>
      <c r="O367" s="13" t="s">
        <v>698</v>
      </c>
      <c r="P367" s="13" t="s">
        <v>699</v>
      </c>
      <c r="Q367" s="16">
        <v>1030242</v>
      </c>
      <c r="R367" s="16" t="s">
        <v>1082</v>
      </c>
      <c r="S367" s="16" t="s">
        <v>1082</v>
      </c>
      <c r="T367" s="13" t="s">
        <v>1083</v>
      </c>
      <c r="U367" s="13" t="s">
        <v>886</v>
      </c>
      <c r="V367" s="20" t="s">
        <v>923</v>
      </c>
      <c r="W367" s="13"/>
      <c r="X367" s="13" t="s">
        <v>1084</v>
      </c>
      <c r="Y367" s="13" t="s">
        <v>1085</v>
      </c>
      <c r="Z367" s="13" t="s">
        <v>1487</v>
      </c>
      <c r="AA367" s="19"/>
      <c r="AB367" s="16" t="s">
        <v>1244</v>
      </c>
      <c r="AC367" s="18">
        <v>46006</v>
      </c>
      <c r="AD367" s="18">
        <v>46008</v>
      </c>
      <c r="AE367" s="18">
        <v>46008</v>
      </c>
      <c r="AF367" s="15" t="s">
        <v>37</v>
      </c>
      <c r="AG367" s="18">
        <v>46010</v>
      </c>
      <c r="AH367" s="15"/>
      <c r="AI367" s="18"/>
      <c r="AJ367" s="22"/>
      <c r="AK367" s="22"/>
      <c r="AL367" s="22"/>
    </row>
    <row r="368" spans="1:38" ht="18" customHeight="1">
      <c r="A368" s="16" t="s">
        <v>1488</v>
      </c>
      <c r="B368" s="13" t="s">
        <v>1092</v>
      </c>
      <c r="C368" s="64" t="s">
        <v>346</v>
      </c>
      <c r="D368" s="16" t="s">
        <v>1093</v>
      </c>
      <c r="E368" s="16" t="s">
        <v>840</v>
      </c>
      <c r="F368" s="16">
        <v>660606</v>
      </c>
      <c r="G368" s="28">
        <v>1</v>
      </c>
      <c r="H368" s="18">
        <v>45778</v>
      </c>
      <c r="I368" s="24" t="s">
        <v>1094</v>
      </c>
      <c r="J368" s="18">
        <v>45778</v>
      </c>
      <c r="K368" s="18">
        <v>46142</v>
      </c>
      <c r="L368" s="19" t="s">
        <v>54</v>
      </c>
      <c r="M368" s="19" t="s">
        <v>1095</v>
      </c>
      <c r="N368" s="13" t="s">
        <v>117</v>
      </c>
      <c r="O368" s="13" t="s">
        <v>698</v>
      </c>
      <c r="P368" s="13" t="s">
        <v>699</v>
      </c>
      <c r="Q368" s="16">
        <v>1030242</v>
      </c>
      <c r="R368" s="16" t="s">
        <v>1068</v>
      </c>
      <c r="S368" s="16" t="s">
        <v>1068</v>
      </c>
      <c r="T368" s="13" t="s">
        <v>1096</v>
      </c>
      <c r="U368" s="13" t="s">
        <v>1070</v>
      </c>
      <c r="V368" s="20" t="s">
        <v>671</v>
      </c>
      <c r="W368" s="13"/>
      <c r="X368" s="13" t="s">
        <v>1097</v>
      </c>
      <c r="Y368" s="13" t="s">
        <v>1098</v>
      </c>
      <c r="Z368" s="13" t="s">
        <v>1489</v>
      </c>
      <c r="AA368" s="19"/>
      <c r="AB368" s="16" t="s">
        <v>1244</v>
      </c>
      <c r="AC368" s="18">
        <v>46006</v>
      </c>
      <c r="AD368" s="18">
        <v>46008</v>
      </c>
      <c r="AE368" s="18">
        <v>46008</v>
      </c>
      <c r="AF368" s="15" t="s">
        <v>37</v>
      </c>
      <c r="AG368" s="18">
        <v>46010</v>
      </c>
      <c r="AH368" s="15"/>
      <c r="AI368" s="18"/>
      <c r="AJ368" s="22"/>
      <c r="AK368" s="22"/>
      <c r="AL368" s="22"/>
    </row>
    <row r="369" spans="1:38" ht="18" customHeight="1">
      <c r="A369" s="16" t="s">
        <v>1490</v>
      </c>
      <c r="B369" s="13" t="s">
        <v>1099</v>
      </c>
      <c r="C369" s="64" t="s">
        <v>346</v>
      </c>
      <c r="D369" s="16" t="s">
        <v>1100</v>
      </c>
      <c r="E369" s="16" t="s">
        <v>840</v>
      </c>
      <c r="F369" s="16" t="s">
        <v>38</v>
      </c>
      <c r="G369" s="28">
        <v>0</v>
      </c>
      <c r="H369" s="18">
        <v>45824</v>
      </c>
      <c r="I369" s="24" t="s">
        <v>711</v>
      </c>
      <c r="J369" s="18">
        <v>45824</v>
      </c>
      <c r="K369" s="18">
        <v>47649</v>
      </c>
      <c r="L369" s="19" t="s">
        <v>95</v>
      </c>
      <c r="M369" s="19" t="s">
        <v>96</v>
      </c>
      <c r="N369" s="13" t="s">
        <v>94</v>
      </c>
      <c r="O369" s="13" t="s">
        <v>698</v>
      </c>
      <c r="P369" s="13" t="s">
        <v>699</v>
      </c>
      <c r="Q369" s="16">
        <v>1030242</v>
      </c>
      <c r="R369" s="16" t="s">
        <v>1033</v>
      </c>
      <c r="S369" s="16" t="s">
        <v>1033</v>
      </c>
      <c r="T369" s="13" t="s">
        <v>1101</v>
      </c>
      <c r="U369" s="13" t="s">
        <v>1035</v>
      </c>
      <c r="V369" s="20" t="s">
        <v>625</v>
      </c>
      <c r="W369" s="13"/>
      <c r="X369" s="13" t="s">
        <v>1102</v>
      </c>
      <c r="Y369" s="13" t="s">
        <v>1103</v>
      </c>
      <c r="Z369" s="13" t="s">
        <v>1491</v>
      </c>
      <c r="AA369" s="19"/>
      <c r="AB369" s="16" t="s">
        <v>1244</v>
      </c>
      <c r="AC369" s="18">
        <v>46006</v>
      </c>
      <c r="AD369" s="18">
        <v>46008</v>
      </c>
      <c r="AE369" s="18">
        <v>46008</v>
      </c>
      <c r="AF369" s="15" t="s">
        <v>37</v>
      </c>
      <c r="AG369" s="18">
        <v>46010</v>
      </c>
      <c r="AH369" s="15"/>
      <c r="AI369" s="18"/>
      <c r="AJ369" s="22"/>
      <c r="AK369" s="22"/>
      <c r="AL369" s="22"/>
    </row>
    <row r="370" spans="1:38" ht="18" customHeight="1">
      <c r="A370" s="16" t="s">
        <v>1492</v>
      </c>
      <c r="B370" s="13" t="s">
        <v>1104</v>
      </c>
      <c r="C370" s="64" t="s">
        <v>346</v>
      </c>
      <c r="D370" s="16" t="s">
        <v>1105</v>
      </c>
      <c r="E370" s="16" t="s">
        <v>840</v>
      </c>
      <c r="F370" s="16" t="s">
        <v>38</v>
      </c>
      <c r="G370" s="28">
        <v>0</v>
      </c>
      <c r="H370" s="18">
        <v>45838</v>
      </c>
      <c r="I370" s="24" t="s">
        <v>1106</v>
      </c>
      <c r="J370" s="18">
        <v>45838</v>
      </c>
      <c r="K370" s="18">
        <v>46202</v>
      </c>
      <c r="L370" s="19" t="s">
        <v>95</v>
      </c>
      <c r="M370" s="19" t="s">
        <v>134</v>
      </c>
      <c r="N370" s="13" t="s">
        <v>1107</v>
      </c>
      <c r="O370" s="13" t="s">
        <v>698</v>
      </c>
      <c r="P370" s="13" t="s">
        <v>699</v>
      </c>
      <c r="Q370" s="16">
        <v>1030242</v>
      </c>
      <c r="R370" s="16" t="s">
        <v>1108</v>
      </c>
      <c r="S370" s="16" t="s">
        <v>1108</v>
      </c>
      <c r="T370" s="13" t="s">
        <v>1109</v>
      </c>
      <c r="U370" s="13" t="s">
        <v>1110</v>
      </c>
      <c r="V370" s="20" t="s">
        <v>1111</v>
      </c>
      <c r="W370" s="13"/>
      <c r="X370" s="13" t="s">
        <v>1112</v>
      </c>
      <c r="Y370" s="13" t="s">
        <v>1113</v>
      </c>
      <c r="Z370" s="13" t="s">
        <v>1493</v>
      </c>
      <c r="AA370" s="19"/>
      <c r="AB370" s="16" t="s">
        <v>1244</v>
      </c>
      <c r="AC370" s="18">
        <v>46006</v>
      </c>
      <c r="AD370" s="18">
        <v>46008</v>
      </c>
      <c r="AE370" s="18">
        <v>46008</v>
      </c>
      <c r="AF370" s="15" t="s">
        <v>37</v>
      </c>
      <c r="AG370" s="18">
        <v>46010</v>
      </c>
      <c r="AH370" s="15"/>
      <c r="AI370" s="18"/>
      <c r="AJ370" s="22"/>
      <c r="AK370" s="22"/>
      <c r="AL370" s="22"/>
    </row>
    <row r="371" spans="1:38" ht="18" customHeight="1">
      <c r="A371" s="16" t="s">
        <v>1494</v>
      </c>
      <c r="B371" s="13" t="s">
        <v>1114</v>
      </c>
      <c r="C371" s="64" t="s">
        <v>346</v>
      </c>
      <c r="D371" s="16" t="s">
        <v>38</v>
      </c>
      <c r="E371" s="16" t="s">
        <v>840</v>
      </c>
      <c r="F371" s="16">
        <v>655453</v>
      </c>
      <c r="G371" s="28">
        <v>1</v>
      </c>
      <c r="H371" s="18">
        <v>45824</v>
      </c>
      <c r="I371" s="24" t="s">
        <v>1115</v>
      </c>
      <c r="J371" s="18">
        <v>45632</v>
      </c>
      <c r="K371" s="18">
        <v>46726</v>
      </c>
      <c r="L371" s="19" t="s">
        <v>42</v>
      </c>
      <c r="M371" s="19" t="s">
        <v>544</v>
      </c>
      <c r="N371" s="13" t="s">
        <v>117</v>
      </c>
      <c r="O371" s="13" t="s">
        <v>698</v>
      </c>
      <c r="P371" s="13" t="s">
        <v>699</v>
      </c>
      <c r="Q371" s="16">
        <v>1030242</v>
      </c>
      <c r="R371" s="16" t="s">
        <v>1116</v>
      </c>
      <c r="S371" s="16" t="s">
        <v>1116</v>
      </c>
      <c r="T371" s="13" t="s">
        <v>1117</v>
      </c>
      <c r="U371" s="13" t="s">
        <v>1019</v>
      </c>
      <c r="V371" s="20" t="s">
        <v>1020</v>
      </c>
      <c r="W371" s="13"/>
      <c r="X371" s="13" t="s">
        <v>1118</v>
      </c>
      <c r="Y371" s="13" t="s">
        <v>1022</v>
      </c>
      <c r="Z371" s="13" t="s">
        <v>1495</v>
      </c>
      <c r="AA371" s="19"/>
      <c r="AB371" s="16" t="s">
        <v>1244</v>
      </c>
      <c r="AC371" s="18">
        <v>46006</v>
      </c>
      <c r="AD371" s="18">
        <v>46008</v>
      </c>
      <c r="AE371" s="18">
        <v>46008</v>
      </c>
      <c r="AF371" s="15" t="s">
        <v>37</v>
      </c>
      <c r="AG371" s="18">
        <v>46010</v>
      </c>
      <c r="AH371" s="15"/>
      <c r="AI371" s="18"/>
      <c r="AJ371" s="22"/>
      <c r="AK371" s="22"/>
      <c r="AL371" s="22"/>
    </row>
    <row r="372" spans="1:38" ht="18" customHeight="1">
      <c r="A372" s="16" t="s">
        <v>1496</v>
      </c>
      <c r="B372" s="13" t="s">
        <v>1119</v>
      </c>
      <c r="C372" s="64" t="s">
        <v>346</v>
      </c>
      <c r="D372" s="16" t="s">
        <v>1120</v>
      </c>
      <c r="E372" s="16" t="s">
        <v>840</v>
      </c>
      <c r="F372" s="16">
        <v>651912</v>
      </c>
      <c r="G372" s="28">
        <v>1</v>
      </c>
      <c r="H372" s="18">
        <v>45851</v>
      </c>
      <c r="I372" s="24" t="s">
        <v>1121</v>
      </c>
      <c r="J372" s="18">
        <v>45488</v>
      </c>
      <c r="K372" s="18">
        <v>46217</v>
      </c>
      <c r="L372" s="19" t="s">
        <v>95</v>
      </c>
      <c r="M372" s="19" t="s">
        <v>134</v>
      </c>
      <c r="N372" s="13" t="s">
        <v>117</v>
      </c>
      <c r="O372" s="13" t="s">
        <v>698</v>
      </c>
      <c r="P372" s="13" t="s">
        <v>699</v>
      </c>
      <c r="Q372" s="16">
        <v>1030242</v>
      </c>
      <c r="R372" s="16" t="s">
        <v>1122</v>
      </c>
      <c r="S372" s="16" t="s">
        <v>1122</v>
      </c>
      <c r="T372" s="13" t="s">
        <v>1123</v>
      </c>
      <c r="U372" s="13" t="s">
        <v>981</v>
      </c>
      <c r="V372" s="20" t="s">
        <v>923</v>
      </c>
      <c r="W372" s="13"/>
      <c r="X372" s="13" t="s">
        <v>1124</v>
      </c>
      <c r="Y372" s="13"/>
      <c r="Z372" s="13" t="s">
        <v>1497</v>
      </c>
      <c r="AA372" s="19"/>
      <c r="AB372" s="16" t="s">
        <v>1244</v>
      </c>
      <c r="AC372" s="18">
        <v>46006</v>
      </c>
      <c r="AD372" s="18">
        <v>46008</v>
      </c>
      <c r="AE372" s="18">
        <v>46008</v>
      </c>
      <c r="AF372" s="15" t="s">
        <v>37</v>
      </c>
      <c r="AG372" s="18">
        <v>46010</v>
      </c>
      <c r="AH372" s="15"/>
      <c r="AI372" s="18"/>
      <c r="AJ372" s="22"/>
      <c r="AK372" s="22"/>
      <c r="AL372" s="22"/>
    </row>
    <row r="373" spans="1:38" ht="18" customHeight="1">
      <c r="A373" s="16" t="s">
        <v>1498</v>
      </c>
      <c r="B373" s="13" t="s">
        <v>1125</v>
      </c>
      <c r="C373" s="64" t="s">
        <v>346</v>
      </c>
      <c r="D373" s="16">
        <v>227100</v>
      </c>
      <c r="E373" s="16" t="s">
        <v>840</v>
      </c>
      <c r="F373" s="16" t="s">
        <v>38</v>
      </c>
      <c r="G373" s="28">
        <v>0</v>
      </c>
      <c r="H373" s="18">
        <v>45853</v>
      </c>
      <c r="I373" s="24" t="s">
        <v>488</v>
      </c>
      <c r="J373" s="18">
        <v>45853</v>
      </c>
      <c r="K373" s="18">
        <v>46948</v>
      </c>
      <c r="L373" s="19" t="s">
        <v>95</v>
      </c>
      <c r="M373" s="19" t="s">
        <v>134</v>
      </c>
      <c r="N373" s="13" t="s">
        <v>94</v>
      </c>
      <c r="O373" s="13" t="s">
        <v>698</v>
      </c>
      <c r="P373" s="13" t="s">
        <v>699</v>
      </c>
      <c r="Q373" s="16">
        <v>1030242</v>
      </c>
      <c r="R373" s="16" t="s">
        <v>1126</v>
      </c>
      <c r="S373" s="16" t="s">
        <v>1126</v>
      </c>
      <c r="T373" s="13" t="s">
        <v>1127</v>
      </c>
      <c r="U373" s="13" t="s">
        <v>1128</v>
      </c>
      <c r="V373" s="20" t="s">
        <v>923</v>
      </c>
      <c r="W373" s="13"/>
      <c r="X373" s="13" t="s">
        <v>1129</v>
      </c>
      <c r="Y373" s="13" t="s">
        <v>1130</v>
      </c>
      <c r="Z373" s="13" t="s">
        <v>1499</v>
      </c>
      <c r="AA373" s="19"/>
      <c r="AB373" s="16" t="s">
        <v>1244</v>
      </c>
      <c r="AC373" s="18">
        <v>46006</v>
      </c>
      <c r="AD373" s="18">
        <v>46008</v>
      </c>
      <c r="AE373" s="18">
        <v>46008</v>
      </c>
      <c r="AF373" s="15" t="s">
        <v>37</v>
      </c>
      <c r="AG373" s="18">
        <v>46010</v>
      </c>
      <c r="AH373" s="15"/>
      <c r="AI373" s="18"/>
      <c r="AJ373" s="22"/>
      <c r="AK373" s="22"/>
      <c r="AL373" s="22"/>
    </row>
    <row r="374" spans="1:38" ht="18" customHeight="1">
      <c r="A374" s="16" t="s">
        <v>1500</v>
      </c>
      <c r="B374" s="13" t="s">
        <v>1137</v>
      </c>
      <c r="C374" s="64" t="s">
        <v>346</v>
      </c>
      <c r="D374" s="16">
        <v>229071</v>
      </c>
      <c r="E374" s="16" t="s">
        <v>840</v>
      </c>
      <c r="F374" s="16">
        <v>640834</v>
      </c>
      <c r="G374" s="28">
        <v>2</v>
      </c>
      <c r="H374" s="18">
        <v>45889</v>
      </c>
      <c r="I374" s="24" t="s">
        <v>943</v>
      </c>
      <c r="J374" s="18">
        <v>45158</v>
      </c>
      <c r="K374" s="18">
        <v>46418</v>
      </c>
      <c r="L374" s="19" t="s">
        <v>95</v>
      </c>
      <c r="M374" s="19" t="s">
        <v>157</v>
      </c>
      <c r="N374" s="13" t="s">
        <v>117</v>
      </c>
      <c r="O374" s="13" t="s">
        <v>698</v>
      </c>
      <c r="P374" s="13" t="s">
        <v>699</v>
      </c>
      <c r="Q374" s="16">
        <v>1030242</v>
      </c>
      <c r="R374" s="16" t="s">
        <v>1068</v>
      </c>
      <c r="S374" s="16" t="s">
        <v>1068</v>
      </c>
      <c r="T374" s="13" t="s">
        <v>1138</v>
      </c>
      <c r="U374" s="13" t="s">
        <v>886</v>
      </c>
      <c r="V374" s="20" t="s">
        <v>625</v>
      </c>
      <c r="W374" s="13"/>
      <c r="X374" s="13" t="s">
        <v>1139</v>
      </c>
      <c r="Y374" s="13"/>
      <c r="Z374" s="13" t="s">
        <v>1501</v>
      </c>
      <c r="AA374" s="19"/>
      <c r="AB374" s="16" t="s">
        <v>1244</v>
      </c>
      <c r="AC374" s="18">
        <v>46006</v>
      </c>
      <c r="AD374" s="18">
        <v>46008</v>
      </c>
      <c r="AE374" s="18">
        <v>46008</v>
      </c>
      <c r="AF374" s="15" t="s">
        <v>37</v>
      </c>
      <c r="AG374" s="18">
        <v>46010</v>
      </c>
      <c r="AH374" s="15"/>
      <c r="AI374" s="18"/>
      <c r="AJ374" s="22"/>
      <c r="AK374" s="22"/>
      <c r="AL374" s="22"/>
    </row>
    <row r="375" spans="1:38" ht="18" customHeight="1">
      <c r="A375" s="16" t="s">
        <v>1502</v>
      </c>
      <c r="B375" s="13" t="s">
        <v>1145</v>
      </c>
      <c r="C375" s="64" t="s">
        <v>346</v>
      </c>
      <c r="D375" s="16">
        <v>224438</v>
      </c>
      <c r="E375" s="16" t="s">
        <v>840</v>
      </c>
      <c r="F375" s="16">
        <v>664946</v>
      </c>
      <c r="G375" s="28">
        <v>0</v>
      </c>
      <c r="H375" s="18">
        <v>45922</v>
      </c>
      <c r="I375" s="24" t="s">
        <v>711</v>
      </c>
      <c r="J375" s="18">
        <v>45922</v>
      </c>
      <c r="K375" s="18">
        <v>47017</v>
      </c>
      <c r="L375" s="19" t="s">
        <v>95</v>
      </c>
      <c r="M375" s="19" t="s">
        <v>96</v>
      </c>
      <c r="N375" s="13" t="s">
        <v>94</v>
      </c>
      <c r="O375" s="13" t="s">
        <v>698</v>
      </c>
      <c r="P375" s="13" t="s">
        <v>699</v>
      </c>
      <c r="Q375" s="16">
        <v>1030242</v>
      </c>
      <c r="R375" s="16" t="s">
        <v>1146</v>
      </c>
      <c r="S375" s="16" t="s">
        <v>1146</v>
      </c>
      <c r="T375" s="13" t="s">
        <v>1147</v>
      </c>
      <c r="U375" s="13" t="s">
        <v>1148</v>
      </c>
      <c r="V375" s="20" t="s">
        <v>923</v>
      </c>
      <c r="W375" s="13"/>
      <c r="X375" s="13" t="s">
        <v>1149</v>
      </c>
      <c r="Y375" s="13" t="s">
        <v>1079</v>
      </c>
      <c r="Z375" s="13" t="s">
        <v>1503</v>
      </c>
      <c r="AA375" s="19"/>
      <c r="AB375" s="16" t="s">
        <v>1244</v>
      </c>
      <c r="AC375" s="18">
        <v>46006</v>
      </c>
      <c r="AD375" s="18">
        <v>46008</v>
      </c>
      <c r="AE375" s="18">
        <v>46008</v>
      </c>
      <c r="AF375" s="15" t="s">
        <v>37</v>
      </c>
      <c r="AG375" s="18">
        <v>46010</v>
      </c>
      <c r="AH375" s="15"/>
      <c r="AI375" s="18"/>
      <c r="AJ375" s="22"/>
      <c r="AK375" s="22"/>
      <c r="AL375" s="22"/>
    </row>
    <row r="376" spans="1:38" ht="18" customHeight="1">
      <c r="A376" s="16" t="s">
        <v>1504</v>
      </c>
      <c r="B376" s="13" t="s">
        <v>1150</v>
      </c>
      <c r="C376" s="64" t="s">
        <v>346</v>
      </c>
      <c r="D376" s="16">
        <v>235235</v>
      </c>
      <c r="E376" s="16" t="s">
        <v>696</v>
      </c>
      <c r="F376" s="16">
        <v>606128</v>
      </c>
      <c r="G376" s="28">
        <v>16</v>
      </c>
      <c r="H376" s="18">
        <v>45931</v>
      </c>
      <c r="I376" s="24" t="s">
        <v>1151</v>
      </c>
      <c r="J376" s="18">
        <v>44136</v>
      </c>
      <c r="K376" s="18">
        <v>46691</v>
      </c>
      <c r="L376" s="19" t="s">
        <v>95</v>
      </c>
      <c r="M376" s="19" t="s">
        <v>718</v>
      </c>
      <c r="N376" s="13" t="s">
        <v>117</v>
      </c>
      <c r="O376" s="13" t="s">
        <v>698</v>
      </c>
      <c r="P376" s="13" t="s">
        <v>699</v>
      </c>
      <c r="Q376" s="16">
        <v>1030242</v>
      </c>
      <c r="R376" s="16" t="s">
        <v>1152</v>
      </c>
      <c r="S376" s="16" t="s">
        <v>1152</v>
      </c>
      <c r="T376" s="13" t="s">
        <v>1153</v>
      </c>
      <c r="U376" s="13" t="s">
        <v>1154</v>
      </c>
      <c r="V376" s="20" t="s">
        <v>299</v>
      </c>
      <c r="W376" s="13"/>
      <c r="X376" s="13" t="s">
        <v>1155</v>
      </c>
      <c r="Y376" s="13" t="s">
        <v>1156</v>
      </c>
      <c r="Z376" s="13" t="s">
        <v>1505</v>
      </c>
      <c r="AA376" s="19"/>
      <c r="AB376" s="16" t="s">
        <v>1244</v>
      </c>
      <c r="AC376" s="18">
        <v>46006</v>
      </c>
      <c r="AD376" s="18">
        <v>46008</v>
      </c>
      <c r="AE376" s="18">
        <v>46008</v>
      </c>
      <c r="AF376" s="15" t="s">
        <v>37</v>
      </c>
      <c r="AG376" s="18">
        <v>46010</v>
      </c>
      <c r="AH376" s="15"/>
      <c r="AI376" s="18"/>
      <c r="AJ376" s="22"/>
      <c r="AK376" s="22"/>
      <c r="AL376" s="22"/>
    </row>
    <row r="377" spans="1:38" ht="18" customHeight="1">
      <c r="A377" s="16" t="s">
        <v>1506</v>
      </c>
      <c r="B377" s="13" t="s">
        <v>1157</v>
      </c>
      <c r="C377" s="64" t="s">
        <v>346</v>
      </c>
      <c r="D377" s="16">
        <v>236759</v>
      </c>
      <c r="E377" s="16" t="s">
        <v>840</v>
      </c>
      <c r="F377" s="16">
        <v>664946</v>
      </c>
      <c r="G377" s="28">
        <v>1</v>
      </c>
      <c r="H377" s="18">
        <v>45951</v>
      </c>
      <c r="I377" s="24" t="s">
        <v>551</v>
      </c>
      <c r="J377" s="18">
        <v>45922</v>
      </c>
      <c r="K377" s="18">
        <v>47017</v>
      </c>
      <c r="L377" s="19" t="s">
        <v>95</v>
      </c>
      <c r="M377" s="19" t="s">
        <v>96</v>
      </c>
      <c r="N377" s="13" t="s">
        <v>117</v>
      </c>
      <c r="O377" s="13" t="s">
        <v>698</v>
      </c>
      <c r="P377" s="13" t="s">
        <v>699</v>
      </c>
      <c r="Q377" s="16">
        <v>1030242</v>
      </c>
      <c r="R377" s="16" t="s">
        <v>1146</v>
      </c>
      <c r="S377" s="16" t="s">
        <v>1146</v>
      </c>
      <c r="T377" s="13" t="s">
        <v>1158</v>
      </c>
      <c r="U377" s="13" t="s">
        <v>1148</v>
      </c>
      <c r="V377" s="20" t="s">
        <v>923</v>
      </c>
      <c r="W377" s="13"/>
      <c r="X377" s="13" t="s">
        <v>1149</v>
      </c>
      <c r="Y377" s="13" t="s">
        <v>1159</v>
      </c>
      <c r="Z377" s="13" t="s">
        <v>1507</v>
      </c>
      <c r="AA377" s="19"/>
      <c r="AB377" s="16" t="s">
        <v>1244</v>
      </c>
      <c r="AC377" s="18">
        <v>46006</v>
      </c>
      <c r="AD377" s="18">
        <v>46008</v>
      </c>
      <c r="AE377" s="18">
        <v>46008</v>
      </c>
      <c r="AF377" s="15" t="s">
        <v>37</v>
      </c>
      <c r="AG377" s="18">
        <v>46010</v>
      </c>
      <c r="AH377" s="15"/>
      <c r="AI377" s="18"/>
      <c r="AJ377" s="22"/>
      <c r="AK377" s="22"/>
      <c r="AL377" s="22"/>
    </row>
    <row r="378" spans="1:38" ht="18" customHeight="1">
      <c r="A378" s="16" t="s">
        <v>1508</v>
      </c>
      <c r="B378" s="13" t="s">
        <v>1030</v>
      </c>
      <c r="C378" s="64" t="s">
        <v>346</v>
      </c>
      <c r="D378" s="16">
        <v>193530</v>
      </c>
      <c r="E378" s="16" t="s">
        <v>840</v>
      </c>
      <c r="F378" s="16" t="s">
        <v>38</v>
      </c>
      <c r="G378" s="28">
        <v>0</v>
      </c>
      <c r="H378" s="18">
        <v>45639</v>
      </c>
      <c r="I378" s="24" t="s">
        <v>1031</v>
      </c>
      <c r="J378" s="18">
        <v>45639</v>
      </c>
      <c r="K378" s="18">
        <v>47464</v>
      </c>
      <c r="L378" s="19" t="s">
        <v>95</v>
      </c>
      <c r="M378" s="19" t="s">
        <v>1032</v>
      </c>
      <c r="N378" s="13" t="s">
        <v>94</v>
      </c>
      <c r="O378" s="13" t="s">
        <v>698</v>
      </c>
      <c r="P378" s="13" t="s">
        <v>699</v>
      </c>
      <c r="Q378" s="16">
        <v>1030242</v>
      </c>
      <c r="R378" s="16" t="s">
        <v>1033</v>
      </c>
      <c r="S378" s="16" t="s">
        <v>1033</v>
      </c>
      <c r="T378" s="13" t="s">
        <v>1034</v>
      </c>
      <c r="U378" s="13" t="s">
        <v>1035</v>
      </c>
      <c r="V378" s="20" t="s">
        <v>1036</v>
      </c>
      <c r="W378" s="13"/>
      <c r="X378" s="13" t="s">
        <v>1037</v>
      </c>
      <c r="Y378" s="13" t="s">
        <v>937</v>
      </c>
      <c r="Z378" s="13" t="s">
        <v>1509</v>
      </c>
      <c r="AA378" s="19"/>
      <c r="AB378" s="16" t="s">
        <v>1244</v>
      </c>
      <c r="AC378" s="18">
        <v>46006</v>
      </c>
      <c r="AD378" s="18">
        <v>46008</v>
      </c>
      <c r="AE378" s="18">
        <v>46008</v>
      </c>
      <c r="AF378" s="15" t="s">
        <v>37</v>
      </c>
      <c r="AG378" s="18">
        <v>46010</v>
      </c>
      <c r="AH378" s="15"/>
      <c r="AI378" s="18"/>
      <c r="AJ378" s="22"/>
      <c r="AK378" s="22"/>
      <c r="AL378" s="22"/>
    </row>
    <row r="379" spans="1:38" ht="18" customHeight="1">
      <c r="A379" s="16" t="s">
        <v>1510</v>
      </c>
      <c r="B379" s="13" t="s">
        <v>1006</v>
      </c>
      <c r="C379" s="64" t="s">
        <v>346</v>
      </c>
      <c r="D379" s="16">
        <v>193390</v>
      </c>
      <c r="E379" s="16" t="s">
        <v>696</v>
      </c>
      <c r="F379" s="16">
        <v>606128</v>
      </c>
      <c r="G379" s="28">
        <v>11</v>
      </c>
      <c r="H379" s="18">
        <v>45611</v>
      </c>
      <c r="I379" s="24" t="s">
        <v>847</v>
      </c>
      <c r="J379" s="18">
        <v>44136</v>
      </c>
      <c r="K379" s="18">
        <v>45961</v>
      </c>
      <c r="L379" s="19" t="s">
        <v>95</v>
      </c>
      <c r="M379" s="19" t="s">
        <v>718</v>
      </c>
      <c r="N379" s="13" t="s">
        <v>986</v>
      </c>
      <c r="O379" s="13" t="s">
        <v>698</v>
      </c>
      <c r="P379" s="13" t="s">
        <v>699</v>
      </c>
      <c r="Q379" s="16">
        <v>1030242</v>
      </c>
      <c r="R379" s="16">
        <v>1030242</v>
      </c>
      <c r="S379" s="16" t="s">
        <v>38</v>
      </c>
      <c r="T379" s="13" t="s">
        <v>1007</v>
      </c>
      <c r="U379" s="13" t="s">
        <v>720</v>
      </c>
      <c r="V379" s="20" t="s">
        <v>299</v>
      </c>
      <c r="W379" s="13"/>
      <c r="X379" s="13" t="s">
        <v>1008</v>
      </c>
      <c r="Y379" s="13" t="s">
        <v>731</v>
      </c>
      <c r="Z379" s="13" t="s">
        <v>1511</v>
      </c>
      <c r="AA379" s="19"/>
      <c r="AB379" s="16" t="s">
        <v>1244</v>
      </c>
      <c r="AC379" s="18">
        <v>46006</v>
      </c>
      <c r="AD379" s="18">
        <v>46008</v>
      </c>
      <c r="AE379" s="18">
        <v>46008</v>
      </c>
      <c r="AF379" s="15" t="s">
        <v>37</v>
      </c>
      <c r="AG379" s="18">
        <v>46010</v>
      </c>
      <c r="AH379" s="15"/>
      <c r="AI379" s="18"/>
      <c r="AJ379" s="22"/>
      <c r="AK379" s="22"/>
      <c r="AL379" s="22"/>
    </row>
    <row r="380" spans="1:38" ht="18" customHeight="1">
      <c r="A380" s="16" t="s">
        <v>1512</v>
      </c>
      <c r="B380" s="13" t="s">
        <v>1009</v>
      </c>
      <c r="C380" s="64" t="s">
        <v>346</v>
      </c>
      <c r="D380" s="16">
        <v>195833</v>
      </c>
      <c r="E380" s="16" t="s">
        <v>840</v>
      </c>
      <c r="F380" s="16" t="s">
        <v>38</v>
      </c>
      <c r="G380" s="28">
        <v>1</v>
      </c>
      <c r="H380" s="18">
        <v>45538</v>
      </c>
      <c r="I380" s="24" t="s">
        <v>1010</v>
      </c>
      <c r="J380" s="18">
        <v>45408</v>
      </c>
      <c r="K380" s="18">
        <v>47233</v>
      </c>
      <c r="L380" s="19" t="s">
        <v>95</v>
      </c>
      <c r="M380" s="19" t="s">
        <v>933</v>
      </c>
      <c r="N380" s="13" t="s">
        <v>1011</v>
      </c>
      <c r="O380" s="13" t="s">
        <v>698</v>
      </c>
      <c r="P380" s="13" t="s">
        <v>699</v>
      </c>
      <c r="Q380" s="16">
        <v>1030242</v>
      </c>
      <c r="R380" s="16">
        <v>1030242</v>
      </c>
      <c r="S380" s="16" t="s">
        <v>38</v>
      </c>
      <c r="T380" s="13" t="s">
        <v>1012</v>
      </c>
      <c r="U380" s="13" t="s">
        <v>1013</v>
      </c>
      <c r="V380" s="20" t="s">
        <v>935</v>
      </c>
      <c r="W380" s="13"/>
      <c r="X380" s="13" t="s">
        <v>936</v>
      </c>
      <c r="Y380" s="13" t="s">
        <v>937</v>
      </c>
      <c r="Z380" s="13" t="s">
        <v>1513</v>
      </c>
      <c r="AA380" s="19"/>
      <c r="AB380" s="16" t="s">
        <v>1244</v>
      </c>
      <c r="AC380" s="18">
        <v>46006</v>
      </c>
      <c r="AD380" s="18">
        <v>46008</v>
      </c>
      <c r="AE380" s="18">
        <v>46008</v>
      </c>
      <c r="AF380" s="15" t="s">
        <v>37</v>
      </c>
      <c r="AG380" s="18">
        <v>46010</v>
      </c>
      <c r="AH380" s="15"/>
      <c r="AI380" s="18"/>
      <c r="AJ380" s="22"/>
      <c r="AK380" s="22"/>
      <c r="AL380" s="22"/>
    </row>
    <row r="381" spans="1:38" ht="18" customHeight="1">
      <c r="A381" s="16" t="s">
        <v>1514</v>
      </c>
      <c r="B381" s="13" t="s">
        <v>1038</v>
      </c>
      <c r="C381" s="64" t="s">
        <v>346</v>
      </c>
      <c r="D381" s="16">
        <v>205598</v>
      </c>
      <c r="E381" s="16" t="s">
        <v>696</v>
      </c>
      <c r="F381" s="16">
        <v>606128</v>
      </c>
      <c r="G381" s="28">
        <v>12</v>
      </c>
      <c r="H381" s="18">
        <v>45694</v>
      </c>
      <c r="I381" s="24" t="s">
        <v>728</v>
      </c>
      <c r="J381" s="18">
        <v>44136</v>
      </c>
      <c r="K381" s="18">
        <v>46691</v>
      </c>
      <c r="L381" s="19" t="s">
        <v>95</v>
      </c>
      <c r="M381" s="19" t="s">
        <v>718</v>
      </c>
      <c r="N381" s="13" t="s">
        <v>986</v>
      </c>
      <c r="O381" s="13" t="s">
        <v>698</v>
      </c>
      <c r="P381" s="13" t="s">
        <v>699</v>
      </c>
      <c r="Q381" s="16">
        <v>1030242</v>
      </c>
      <c r="R381" s="16" t="s">
        <v>1039</v>
      </c>
      <c r="S381" s="16" t="s">
        <v>1039</v>
      </c>
      <c r="T381" s="13" t="s">
        <v>1040</v>
      </c>
      <c r="U381" s="13" t="s">
        <v>720</v>
      </c>
      <c r="V381" s="20" t="s">
        <v>299</v>
      </c>
      <c r="W381" s="13"/>
      <c r="X381" s="13" t="s">
        <v>1041</v>
      </c>
      <c r="Y381" s="13" t="s">
        <v>1042</v>
      </c>
      <c r="Z381" s="13" t="s">
        <v>1515</v>
      </c>
      <c r="AA381" s="19"/>
      <c r="AB381" s="16" t="s">
        <v>1244</v>
      </c>
      <c r="AC381" s="18">
        <v>46006</v>
      </c>
      <c r="AD381" s="18">
        <v>46008</v>
      </c>
      <c r="AE381" s="18">
        <v>46008</v>
      </c>
      <c r="AF381" s="15" t="s">
        <v>37</v>
      </c>
      <c r="AG381" s="18">
        <v>46010</v>
      </c>
      <c r="AH381" s="15"/>
      <c r="AI381" s="18"/>
      <c r="AJ381" s="22"/>
      <c r="AK381" s="22"/>
      <c r="AL381" s="22"/>
    </row>
    <row r="382" spans="1:38" ht="18" customHeight="1">
      <c r="A382" s="16" t="s">
        <v>1516</v>
      </c>
      <c r="B382" s="13" t="s">
        <v>1059</v>
      </c>
      <c r="C382" s="64" t="s">
        <v>346</v>
      </c>
      <c r="D382" s="16" t="s">
        <v>1060</v>
      </c>
      <c r="E382" s="16" t="s">
        <v>696</v>
      </c>
      <c r="F382" s="16" t="s">
        <v>1061</v>
      </c>
      <c r="G382" s="28">
        <v>13</v>
      </c>
      <c r="H382" s="18">
        <v>45748</v>
      </c>
      <c r="I382" s="24" t="s">
        <v>985</v>
      </c>
      <c r="J382" s="18">
        <v>44136</v>
      </c>
      <c r="K382" s="18">
        <v>46691</v>
      </c>
      <c r="L382" s="19" t="s">
        <v>95</v>
      </c>
      <c r="M382" s="19" t="s">
        <v>718</v>
      </c>
      <c r="N382" s="13" t="s">
        <v>117</v>
      </c>
      <c r="O382" s="13" t="s">
        <v>698</v>
      </c>
      <c r="P382" s="13" t="s">
        <v>699</v>
      </c>
      <c r="Q382" s="16">
        <v>1030242</v>
      </c>
      <c r="R382" s="16" t="s">
        <v>1062</v>
      </c>
      <c r="S382" s="16" t="s">
        <v>1062</v>
      </c>
      <c r="T382" s="13" t="s">
        <v>1063</v>
      </c>
      <c r="U382" s="13" t="s">
        <v>1064</v>
      </c>
      <c r="V382" s="20" t="s">
        <v>299</v>
      </c>
      <c r="W382" s="13"/>
      <c r="X382" s="13" t="s">
        <v>1065</v>
      </c>
      <c r="Y382" s="13" t="s">
        <v>722</v>
      </c>
      <c r="Z382" s="13" t="s">
        <v>1517</v>
      </c>
      <c r="AA382" s="19"/>
      <c r="AB382" s="16" t="s">
        <v>1244</v>
      </c>
      <c r="AC382" s="18">
        <v>46006</v>
      </c>
      <c r="AD382" s="18">
        <v>46008</v>
      </c>
      <c r="AE382" s="18">
        <v>46008</v>
      </c>
      <c r="AF382" s="15" t="s">
        <v>37</v>
      </c>
      <c r="AG382" s="18">
        <v>46010</v>
      </c>
      <c r="AH382" s="15"/>
      <c r="AI382" s="18"/>
      <c r="AJ382" s="22"/>
      <c r="AK382" s="22"/>
      <c r="AL382" s="22"/>
    </row>
    <row r="383" spans="1:38" ht="18" customHeight="1">
      <c r="A383" s="16" t="s">
        <v>1518</v>
      </c>
      <c r="B383" s="13" t="s">
        <v>1086</v>
      </c>
      <c r="C383" s="64" t="s">
        <v>346</v>
      </c>
      <c r="D383" s="16" t="s">
        <v>1087</v>
      </c>
      <c r="E383" s="16" t="s">
        <v>696</v>
      </c>
      <c r="F383" s="16">
        <v>595588</v>
      </c>
      <c r="G383" s="28">
        <v>7</v>
      </c>
      <c r="H383" s="18">
        <v>45729</v>
      </c>
      <c r="I383" s="24" t="s">
        <v>769</v>
      </c>
      <c r="J383" s="18">
        <v>43875</v>
      </c>
      <c r="K383" s="18">
        <v>46431</v>
      </c>
      <c r="L383" s="19" t="s">
        <v>95</v>
      </c>
      <c r="M383" s="19" t="s">
        <v>1088</v>
      </c>
      <c r="N383" s="13" t="s">
        <v>117</v>
      </c>
      <c r="O383" s="13" t="s">
        <v>698</v>
      </c>
      <c r="P383" s="13" t="s">
        <v>699</v>
      </c>
      <c r="Q383" s="16">
        <v>1030242</v>
      </c>
      <c r="R383" s="16" t="s">
        <v>1045</v>
      </c>
      <c r="S383" s="16" t="s">
        <v>1045</v>
      </c>
      <c r="T383" s="13" t="s">
        <v>1089</v>
      </c>
      <c r="U383" s="13" t="s">
        <v>735</v>
      </c>
      <c r="V383" s="20" t="s">
        <v>625</v>
      </c>
      <c r="W383" s="13"/>
      <c r="X383" s="13" t="s">
        <v>1090</v>
      </c>
      <c r="Y383" s="13" t="s">
        <v>1091</v>
      </c>
      <c r="Z383" s="13" t="s">
        <v>1519</v>
      </c>
      <c r="AA383" s="19"/>
      <c r="AB383" s="16" t="s">
        <v>1244</v>
      </c>
      <c r="AC383" s="18">
        <v>46006</v>
      </c>
      <c r="AD383" s="18">
        <v>46008</v>
      </c>
      <c r="AE383" s="18">
        <v>46008</v>
      </c>
      <c r="AF383" s="15" t="s">
        <v>37</v>
      </c>
      <c r="AG383" s="18">
        <v>46010</v>
      </c>
      <c r="AH383" s="15"/>
      <c r="AI383" s="18"/>
      <c r="AJ383" s="22"/>
      <c r="AK383" s="22"/>
      <c r="AL383" s="22"/>
    </row>
    <row r="384" spans="1:38" ht="18" customHeight="1">
      <c r="A384" s="16" t="s">
        <v>1520</v>
      </c>
      <c r="B384" s="13" t="s">
        <v>1131</v>
      </c>
      <c r="C384" s="64" t="s">
        <v>346</v>
      </c>
      <c r="D384" s="16">
        <v>227370</v>
      </c>
      <c r="E384" s="16" t="s">
        <v>696</v>
      </c>
      <c r="F384" s="16">
        <v>606128</v>
      </c>
      <c r="G384" s="28">
        <v>15</v>
      </c>
      <c r="H384" s="18">
        <v>45868</v>
      </c>
      <c r="I384" s="24" t="s">
        <v>756</v>
      </c>
      <c r="J384" s="18">
        <v>44136</v>
      </c>
      <c r="K384" s="18">
        <v>46691</v>
      </c>
      <c r="L384" s="19" t="s">
        <v>95</v>
      </c>
      <c r="M384" s="19" t="s">
        <v>718</v>
      </c>
      <c r="N384" s="13" t="s">
        <v>117</v>
      </c>
      <c r="O384" s="13" t="s">
        <v>698</v>
      </c>
      <c r="P384" s="13" t="s">
        <v>699</v>
      </c>
      <c r="Q384" s="16">
        <v>1030242</v>
      </c>
      <c r="R384" s="16" t="s">
        <v>1132</v>
      </c>
      <c r="S384" s="16" t="s">
        <v>1132</v>
      </c>
      <c r="T384" s="13" t="s">
        <v>1133</v>
      </c>
      <c r="U384" s="13" t="s">
        <v>1134</v>
      </c>
      <c r="V384" s="20" t="s">
        <v>671</v>
      </c>
      <c r="W384" s="13" t="s">
        <v>1135</v>
      </c>
      <c r="X384" s="13" t="s">
        <v>1136</v>
      </c>
      <c r="Y384" s="13" t="s">
        <v>722</v>
      </c>
      <c r="Z384" s="13" t="s">
        <v>1521</v>
      </c>
      <c r="AA384" s="19"/>
      <c r="AB384" s="16" t="s">
        <v>1244</v>
      </c>
      <c r="AC384" s="18">
        <v>46006</v>
      </c>
      <c r="AD384" s="18">
        <v>46008</v>
      </c>
      <c r="AE384" s="18">
        <v>46008</v>
      </c>
      <c r="AF384" s="15" t="s">
        <v>37</v>
      </c>
      <c r="AG384" s="18">
        <v>46010</v>
      </c>
      <c r="AH384" s="15"/>
      <c r="AI384" s="18"/>
      <c r="AJ384" s="22"/>
      <c r="AK384" s="22"/>
      <c r="AL384" s="22"/>
    </row>
    <row r="385" spans="1:38" ht="18" customHeight="1">
      <c r="A385" s="16" t="s">
        <v>1522</v>
      </c>
      <c r="B385" s="13" t="s">
        <v>1053</v>
      </c>
      <c r="C385" s="64" t="s">
        <v>346</v>
      </c>
      <c r="D385" s="16">
        <v>203339</v>
      </c>
      <c r="E385" s="16" t="s">
        <v>840</v>
      </c>
      <c r="F385" s="16">
        <v>654321</v>
      </c>
      <c r="G385" s="28">
        <v>1</v>
      </c>
      <c r="H385" s="18">
        <v>45723</v>
      </c>
      <c r="I385" s="24" t="s">
        <v>1054</v>
      </c>
      <c r="J385" s="18">
        <v>45567</v>
      </c>
      <c r="K385" s="18">
        <v>45931</v>
      </c>
      <c r="L385" s="19" t="s">
        <v>54</v>
      </c>
      <c r="M385" s="19" t="s">
        <v>871</v>
      </c>
      <c r="N385" s="13" t="s">
        <v>117</v>
      </c>
      <c r="O385" s="13" t="s">
        <v>698</v>
      </c>
      <c r="P385" s="13" t="s">
        <v>699</v>
      </c>
      <c r="Q385" s="16">
        <v>1030242</v>
      </c>
      <c r="R385" s="16" t="s">
        <v>1055</v>
      </c>
      <c r="S385" s="16" t="s">
        <v>1055</v>
      </c>
      <c r="T385" s="13" t="s">
        <v>1056</v>
      </c>
      <c r="U385" s="13" t="s">
        <v>1057</v>
      </c>
      <c r="V385" s="20" t="s">
        <v>1003</v>
      </c>
      <c r="W385" s="13"/>
      <c r="X385" s="13" t="s">
        <v>1058</v>
      </c>
      <c r="Y385" s="13"/>
      <c r="Z385" s="13" t="s">
        <v>1523</v>
      </c>
      <c r="AA385" s="19"/>
      <c r="AB385" s="16" t="s">
        <v>1244</v>
      </c>
      <c r="AC385" s="18">
        <v>46006</v>
      </c>
      <c r="AD385" s="18">
        <v>46008</v>
      </c>
      <c r="AE385" s="18">
        <v>46008</v>
      </c>
      <c r="AF385" s="15" t="s">
        <v>37</v>
      </c>
      <c r="AG385" s="18">
        <v>46010</v>
      </c>
      <c r="AH385" s="15"/>
      <c r="AI385" s="18"/>
      <c r="AJ385" s="22"/>
      <c r="AK385" s="22"/>
      <c r="AL385" s="22"/>
    </row>
    <row r="386" spans="1:38" ht="18" customHeight="1">
      <c r="A386" s="16" t="s">
        <v>1524</v>
      </c>
      <c r="B386" s="13" t="s">
        <v>1140</v>
      </c>
      <c r="C386" s="64" t="s">
        <v>346</v>
      </c>
      <c r="D386" s="16">
        <v>222858</v>
      </c>
      <c r="E386" s="16" t="s">
        <v>696</v>
      </c>
      <c r="F386" s="16">
        <v>602716</v>
      </c>
      <c r="G386" s="28">
        <v>7</v>
      </c>
      <c r="H386" s="18">
        <v>45879</v>
      </c>
      <c r="I386" s="24" t="s">
        <v>551</v>
      </c>
      <c r="J386" s="18">
        <v>44053</v>
      </c>
      <c r="K386" s="18">
        <v>46608</v>
      </c>
      <c r="L386" s="19" t="s">
        <v>95</v>
      </c>
      <c r="M386" s="19" t="s">
        <v>96</v>
      </c>
      <c r="N386" s="13" t="s">
        <v>117</v>
      </c>
      <c r="O386" s="13" t="s">
        <v>698</v>
      </c>
      <c r="P386" s="13" t="s">
        <v>699</v>
      </c>
      <c r="Q386" s="16">
        <v>1030242</v>
      </c>
      <c r="R386" s="16" t="s">
        <v>1141</v>
      </c>
      <c r="S386" s="16" t="s">
        <v>1141</v>
      </c>
      <c r="T386" s="13" t="s">
        <v>1142</v>
      </c>
      <c r="U386" s="13" t="s">
        <v>843</v>
      </c>
      <c r="V386" s="20" t="s">
        <v>532</v>
      </c>
      <c r="W386" s="13"/>
      <c r="X386" s="13" t="s">
        <v>1143</v>
      </c>
      <c r="Y386" s="13" t="s">
        <v>1144</v>
      </c>
      <c r="Z386" s="13" t="s">
        <v>1525</v>
      </c>
      <c r="AA386" s="19"/>
      <c r="AB386" s="16" t="s">
        <v>1244</v>
      </c>
      <c r="AC386" s="18">
        <v>46006</v>
      </c>
      <c r="AD386" s="18">
        <v>46008</v>
      </c>
      <c r="AE386" s="18">
        <v>46008</v>
      </c>
      <c r="AF386" s="15" t="s">
        <v>37</v>
      </c>
      <c r="AG386" s="18">
        <v>46010</v>
      </c>
      <c r="AH386" s="15"/>
      <c r="AI386" s="18"/>
      <c r="AJ386" s="22"/>
      <c r="AK386" s="22"/>
      <c r="AL386" s="22"/>
    </row>
    <row r="387" spans="1:38" ht="18" customHeight="1">
      <c r="A387" s="16" t="s">
        <v>1526</v>
      </c>
      <c r="B387" s="13" t="s">
        <v>1073</v>
      </c>
      <c r="C387" s="64" t="s">
        <v>346</v>
      </c>
      <c r="D387" s="16">
        <v>219744</v>
      </c>
      <c r="E387" s="16" t="s">
        <v>696</v>
      </c>
      <c r="F387" s="16">
        <v>606128</v>
      </c>
      <c r="G387" s="28">
        <v>14</v>
      </c>
      <c r="H387" s="18">
        <v>45770</v>
      </c>
      <c r="I387" s="24" t="s">
        <v>728</v>
      </c>
      <c r="J387" s="18">
        <v>44136</v>
      </c>
      <c r="K387" s="18">
        <v>46691</v>
      </c>
      <c r="L387" s="19" t="s">
        <v>95</v>
      </c>
      <c r="M387" s="19" t="s">
        <v>718</v>
      </c>
      <c r="N387" s="13" t="s">
        <v>117</v>
      </c>
      <c r="O387" s="13" t="s">
        <v>698</v>
      </c>
      <c r="P387" s="13" t="s">
        <v>699</v>
      </c>
      <c r="Q387" s="16">
        <v>1030242</v>
      </c>
      <c r="R387" s="16" t="s">
        <v>1062</v>
      </c>
      <c r="S387" s="16" t="s">
        <v>1062</v>
      </c>
      <c r="T387" s="13" t="s">
        <v>1074</v>
      </c>
      <c r="U387" s="13" t="s">
        <v>1064</v>
      </c>
      <c r="V387" s="20" t="s">
        <v>299</v>
      </c>
      <c r="W387" s="13"/>
      <c r="X387" s="13" t="s">
        <v>1065</v>
      </c>
      <c r="Y387" s="13" t="s">
        <v>722</v>
      </c>
      <c r="Z387" s="13" t="s">
        <v>1527</v>
      </c>
      <c r="AA387" s="19"/>
      <c r="AB387" s="16" t="s">
        <v>1244</v>
      </c>
      <c r="AC387" s="18">
        <v>46006</v>
      </c>
      <c r="AD387" s="18">
        <v>46008</v>
      </c>
      <c r="AE387" s="18">
        <v>46008</v>
      </c>
      <c r="AF387" s="15" t="s">
        <v>37</v>
      </c>
      <c r="AG387" s="18">
        <v>46010</v>
      </c>
      <c r="AH387" s="15"/>
      <c r="AI387" s="18"/>
      <c r="AJ387" s="22"/>
      <c r="AK387" s="22"/>
      <c r="AL387" s="22"/>
    </row>
    <row r="388" spans="1:38" ht="18" customHeight="1">
      <c r="A388" s="16" t="s">
        <v>1528</v>
      </c>
      <c r="B388" s="13" t="s">
        <v>613</v>
      </c>
      <c r="C388" s="64" t="s">
        <v>1015</v>
      </c>
      <c r="D388" s="15" t="s">
        <v>38</v>
      </c>
      <c r="E388" s="17" t="s">
        <v>614</v>
      </c>
      <c r="F388" s="17" t="s">
        <v>614</v>
      </c>
      <c r="G388" s="16">
        <v>0</v>
      </c>
      <c r="H388" s="18">
        <v>44796</v>
      </c>
      <c r="I388" s="13" t="s">
        <v>62</v>
      </c>
      <c r="J388" s="18">
        <v>44796</v>
      </c>
      <c r="K388" s="18">
        <v>46621</v>
      </c>
      <c r="L388" s="34" t="s">
        <v>63</v>
      </c>
      <c r="M388" s="19" t="s">
        <v>38</v>
      </c>
      <c r="N388" s="13" t="s">
        <v>62</v>
      </c>
      <c r="O388" s="13" t="s">
        <v>350</v>
      </c>
      <c r="P388" s="13" t="s">
        <v>556</v>
      </c>
      <c r="Q388" s="16">
        <v>1018845</v>
      </c>
      <c r="R388" s="16" t="s">
        <v>38</v>
      </c>
      <c r="S388" s="16" t="s">
        <v>38</v>
      </c>
      <c r="T388" s="13" t="s">
        <v>615</v>
      </c>
      <c r="U388" s="13" t="s">
        <v>350</v>
      </c>
      <c r="V388" s="20" t="s">
        <v>38</v>
      </c>
      <c r="W388" s="13"/>
      <c r="X388" s="13" t="s">
        <v>38</v>
      </c>
      <c r="Y388" s="13" t="s">
        <v>38</v>
      </c>
      <c r="Z388" s="13"/>
      <c r="AA388" s="16"/>
      <c r="AB388" s="16" t="s">
        <v>1244</v>
      </c>
      <c r="AC388" s="18">
        <v>46006</v>
      </c>
      <c r="AD388" s="18">
        <v>46007</v>
      </c>
      <c r="AE388" s="18">
        <v>46008</v>
      </c>
      <c r="AF388" s="15"/>
      <c r="AG388" s="18"/>
      <c r="AH388" s="15"/>
      <c r="AI388" s="18"/>
      <c r="AJ388" s="72" t="e">
        <f>HYPERLINK(_xlfn.XLOOKUP(B388,[1]Sheet2!A:A,[1]Sheet2!D:D),"link")</f>
        <v>#N/A</v>
      </c>
      <c r="AK388" s="22"/>
      <c r="AL388" s="22"/>
    </row>
    <row r="389" spans="1:38" ht="18" customHeight="1">
      <c r="A389" s="16" t="s">
        <v>1529</v>
      </c>
      <c r="B389" s="13" t="s">
        <v>617</v>
      </c>
      <c r="C389" s="64" t="s">
        <v>1015</v>
      </c>
      <c r="D389" s="15" t="s">
        <v>38</v>
      </c>
      <c r="E389" s="17" t="s">
        <v>614</v>
      </c>
      <c r="F389" s="17" t="s">
        <v>614</v>
      </c>
      <c r="G389" s="16">
        <v>1</v>
      </c>
      <c r="H389" s="18">
        <v>45006</v>
      </c>
      <c r="I389" s="13" t="s">
        <v>618</v>
      </c>
      <c r="J389" s="18">
        <v>44796</v>
      </c>
      <c r="K389" s="18">
        <v>46621</v>
      </c>
      <c r="L389" s="34" t="s">
        <v>63</v>
      </c>
      <c r="M389" s="34" t="s">
        <v>38</v>
      </c>
      <c r="N389" s="13" t="s">
        <v>619</v>
      </c>
      <c r="O389" s="13" t="s">
        <v>350</v>
      </c>
      <c r="P389" s="13" t="s">
        <v>556</v>
      </c>
      <c r="Q389" s="16">
        <v>1018845</v>
      </c>
      <c r="R389" s="16" t="s">
        <v>38</v>
      </c>
      <c r="S389" s="16" t="s">
        <v>38</v>
      </c>
      <c r="T389" s="13" t="s">
        <v>617</v>
      </c>
      <c r="U389" s="13" t="s">
        <v>350</v>
      </c>
      <c r="V389" s="20" t="s">
        <v>38</v>
      </c>
      <c r="W389" s="13"/>
      <c r="X389" s="13" t="s">
        <v>38</v>
      </c>
      <c r="Y389" s="13" t="s">
        <v>38</v>
      </c>
      <c r="Z389" s="13"/>
      <c r="AA389" s="16"/>
      <c r="AB389" s="16" t="s">
        <v>1244</v>
      </c>
      <c r="AC389" s="18">
        <v>46006</v>
      </c>
      <c r="AD389" s="18">
        <v>46007</v>
      </c>
      <c r="AE389" s="18">
        <v>46008</v>
      </c>
      <c r="AF389" s="15"/>
      <c r="AG389" s="18"/>
      <c r="AH389" s="15"/>
      <c r="AI389" s="18"/>
      <c r="AJ389" s="72" t="e">
        <f>HYPERLINK(_xlfn.XLOOKUP(B389,[1]Sheet2!A:A,[1]Sheet2!D:D),"link")</f>
        <v>#N/A</v>
      </c>
      <c r="AK389" s="22"/>
      <c r="AL389" s="22"/>
    </row>
    <row r="390" spans="1:38" ht="18" customHeight="1">
      <c r="A390" s="16" t="s">
        <v>1530</v>
      </c>
      <c r="B390" s="13" t="s">
        <v>814</v>
      </c>
      <c r="C390" s="64" t="s">
        <v>486</v>
      </c>
      <c r="D390" s="16" t="s">
        <v>1531</v>
      </c>
      <c r="E390" s="16" t="s">
        <v>815</v>
      </c>
      <c r="F390" s="16" t="s">
        <v>1532</v>
      </c>
      <c r="G390" s="28">
        <v>0</v>
      </c>
      <c r="H390" s="18">
        <v>44958</v>
      </c>
      <c r="I390" s="24" t="s">
        <v>1374</v>
      </c>
      <c r="J390" s="18">
        <v>44958</v>
      </c>
      <c r="K390" s="18">
        <v>46783</v>
      </c>
      <c r="L390" s="19" t="s">
        <v>95</v>
      </c>
      <c r="M390" s="19" t="s">
        <v>435</v>
      </c>
      <c r="N390" s="13" t="s">
        <v>1192</v>
      </c>
      <c r="O390" s="13" t="s">
        <v>698</v>
      </c>
      <c r="P390" s="13" t="s">
        <v>1224</v>
      </c>
      <c r="Q390" s="16">
        <v>1030242</v>
      </c>
      <c r="R390" s="16"/>
      <c r="S390" s="16"/>
      <c r="T390" s="13" t="s">
        <v>818</v>
      </c>
      <c r="U390" s="13"/>
      <c r="V390" s="20" t="s">
        <v>923</v>
      </c>
      <c r="W390" s="13" t="s">
        <v>272</v>
      </c>
      <c r="X390" s="13" t="s">
        <v>1378</v>
      </c>
      <c r="Y390" s="13" t="s">
        <v>1533</v>
      </c>
      <c r="Z390" s="13"/>
      <c r="AA390" s="16"/>
      <c r="AB390" s="16" t="s">
        <v>1244</v>
      </c>
      <c r="AC390" s="18">
        <v>46006</v>
      </c>
      <c r="AD390" s="18">
        <v>46007</v>
      </c>
      <c r="AE390" s="18">
        <v>46008</v>
      </c>
      <c r="AF390" s="15"/>
      <c r="AG390" s="18"/>
      <c r="AH390" s="15"/>
      <c r="AI390" s="18"/>
      <c r="AJ390" s="22"/>
      <c r="AK390" s="22"/>
      <c r="AL390" s="22"/>
    </row>
    <row r="391" spans="1:38" ht="18" customHeight="1">
      <c r="A391" s="16" t="s">
        <v>1534</v>
      </c>
      <c r="B391" s="13" t="s">
        <v>822</v>
      </c>
      <c r="C391" s="64" t="s">
        <v>486</v>
      </c>
      <c r="D391" s="16" t="s">
        <v>1535</v>
      </c>
      <c r="E391" s="16" t="s">
        <v>815</v>
      </c>
      <c r="F391" s="16" t="s">
        <v>1532</v>
      </c>
      <c r="G391" s="28">
        <v>1</v>
      </c>
      <c r="H391" s="18">
        <v>45210</v>
      </c>
      <c r="I391" s="24" t="s">
        <v>1536</v>
      </c>
      <c r="J391" s="18">
        <v>44958</v>
      </c>
      <c r="K391" s="18">
        <v>46783</v>
      </c>
      <c r="L391" s="19" t="s">
        <v>95</v>
      </c>
      <c r="M391" s="19" t="s">
        <v>435</v>
      </c>
      <c r="N391" s="13" t="s">
        <v>1198</v>
      </c>
      <c r="O391" s="13" t="s">
        <v>698</v>
      </c>
      <c r="P391" s="13" t="s">
        <v>1224</v>
      </c>
      <c r="Q391" s="16">
        <v>1030242</v>
      </c>
      <c r="R391" s="16"/>
      <c r="S391" s="16"/>
      <c r="T391" s="13" t="s">
        <v>824</v>
      </c>
      <c r="U391" s="13"/>
      <c r="V391" s="20" t="s">
        <v>923</v>
      </c>
      <c r="W391" s="13" t="s">
        <v>272</v>
      </c>
      <c r="X391" s="13" t="s">
        <v>1378</v>
      </c>
      <c r="Y391" s="13" t="s">
        <v>1533</v>
      </c>
      <c r="Z391" s="13"/>
      <c r="AA391" s="16"/>
      <c r="AB391" s="16" t="s">
        <v>1244</v>
      </c>
      <c r="AC391" s="18">
        <v>46006</v>
      </c>
      <c r="AD391" s="18">
        <v>46007</v>
      </c>
      <c r="AE391" s="18">
        <v>46008</v>
      </c>
      <c r="AF391" s="15"/>
      <c r="AG391" s="18"/>
      <c r="AH391" s="15"/>
      <c r="AI391" s="18"/>
      <c r="AJ391" s="22"/>
      <c r="AK391" s="22"/>
      <c r="AL391" s="22"/>
    </row>
    <row r="392" spans="1:38" ht="18" customHeight="1">
      <c r="A392" s="16" t="s">
        <v>1537</v>
      </c>
      <c r="B392" s="13" t="s">
        <v>826</v>
      </c>
      <c r="C392" s="64" t="s">
        <v>486</v>
      </c>
      <c r="D392" s="16" t="s">
        <v>1538</v>
      </c>
      <c r="E392" s="16" t="s">
        <v>815</v>
      </c>
      <c r="F392" s="16" t="s">
        <v>1532</v>
      </c>
      <c r="G392" s="28">
        <v>2</v>
      </c>
      <c r="H392" s="18">
        <v>45318</v>
      </c>
      <c r="I392" s="24" t="s">
        <v>1536</v>
      </c>
      <c r="J392" s="18">
        <v>44958</v>
      </c>
      <c r="K392" s="18">
        <v>46783</v>
      </c>
      <c r="L392" s="19" t="s">
        <v>95</v>
      </c>
      <c r="M392" s="19" t="s">
        <v>435</v>
      </c>
      <c r="N392" s="13" t="s">
        <v>1198</v>
      </c>
      <c r="O392" s="13" t="s">
        <v>698</v>
      </c>
      <c r="P392" s="13" t="s">
        <v>1224</v>
      </c>
      <c r="Q392" s="16">
        <v>1030242</v>
      </c>
      <c r="R392" s="16"/>
      <c r="S392" s="16"/>
      <c r="T392" s="13" t="s">
        <v>1539</v>
      </c>
      <c r="U392" s="13"/>
      <c r="V392" s="20" t="s">
        <v>923</v>
      </c>
      <c r="W392" s="13" t="s">
        <v>272</v>
      </c>
      <c r="X392" s="13" t="s">
        <v>1378</v>
      </c>
      <c r="Y392" s="13" t="s">
        <v>1533</v>
      </c>
      <c r="Z392" s="13"/>
      <c r="AA392" s="16"/>
      <c r="AB392" s="16" t="s">
        <v>1244</v>
      </c>
      <c r="AC392" s="18">
        <v>46006</v>
      </c>
      <c r="AD392" s="18">
        <v>46007</v>
      </c>
      <c r="AE392" s="18">
        <v>46008</v>
      </c>
      <c r="AF392" s="15"/>
      <c r="AG392" s="18"/>
      <c r="AH392" s="15"/>
      <c r="AI392" s="18"/>
      <c r="AJ392" s="22"/>
      <c r="AK392" s="22"/>
      <c r="AL392" s="22"/>
    </row>
    <row r="393" spans="1:38" ht="18" customHeight="1">
      <c r="A393" s="16" t="s">
        <v>1540</v>
      </c>
      <c r="B393" s="13" t="s">
        <v>828</v>
      </c>
      <c r="C393" s="64" t="s">
        <v>486</v>
      </c>
      <c r="D393" s="16" t="s">
        <v>1541</v>
      </c>
      <c r="E393" s="16" t="s">
        <v>815</v>
      </c>
      <c r="F393" s="16" t="s">
        <v>1532</v>
      </c>
      <c r="G393" s="28">
        <v>3</v>
      </c>
      <c r="H393" s="18">
        <v>45470</v>
      </c>
      <c r="I393" s="24" t="s">
        <v>1536</v>
      </c>
      <c r="J393" s="18">
        <v>44958</v>
      </c>
      <c r="K393" s="18">
        <v>46783</v>
      </c>
      <c r="L393" s="19" t="s">
        <v>95</v>
      </c>
      <c r="M393" s="19" t="s">
        <v>435</v>
      </c>
      <c r="N393" s="13" t="s">
        <v>1198</v>
      </c>
      <c r="O393" s="13" t="s">
        <v>698</v>
      </c>
      <c r="P393" s="13" t="s">
        <v>1224</v>
      </c>
      <c r="Q393" s="16">
        <v>1030242</v>
      </c>
      <c r="R393" s="16"/>
      <c r="S393" s="16"/>
      <c r="T393" s="13" t="s">
        <v>1542</v>
      </c>
      <c r="U393" s="13"/>
      <c r="V393" s="20" t="s">
        <v>923</v>
      </c>
      <c r="W393" s="13" t="s">
        <v>272</v>
      </c>
      <c r="X393" s="13" t="s">
        <v>1378</v>
      </c>
      <c r="Y393" s="13" t="s">
        <v>1533</v>
      </c>
      <c r="Z393" s="13"/>
      <c r="AA393" s="16"/>
      <c r="AB393" s="16" t="s">
        <v>1244</v>
      </c>
      <c r="AC393" s="18">
        <v>46006</v>
      </c>
      <c r="AD393" s="18">
        <v>46007</v>
      </c>
      <c r="AE393" s="18">
        <v>46008</v>
      </c>
      <c r="AF393" s="15"/>
      <c r="AG393" s="18"/>
      <c r="AH393" s="15"/>
      <c r="AI393" s="18"/>
      <c r="AJ393" s="22"/>
      <c r="AK393" s="22"/>
      <c r="AL393" s="22"/>
    </row>
    <row r="394" spans="1:38" ht="18" customHeight="1">
      <c r="A394" s="16" t="s">
        <v>1543</v>
      </c>
      <c r="B394" s="13" t="s">
        <v>830</v>
      </c>
      <c r="C394" s="64" t="s">
        <v>486</v>
      </c>
      <c r="D394" s="16" t="s">
        <v>1544</v>
      </c>
      <c r="E394" s="16" t="s">
        <v>815</v>
      </c>
      <c r="F394" s="16" t="s">
        <v>1532</v>
      </c>
      <c r="G394" s="28">
        <v>4</v>
      </c>
      <c r="H394" s="18">
        <v>45748</v>
      </c>
      <c r="I394" s="24" t="s">
        <v>1536</v>
      </c>
      <c r="J394" s="18">
        <v>44958</v>
      </c>
      <c r="K394" s="18">
        <v>46783</v>
      </c>
      <c r="L394" s="19" t="s">
        <v>95</v>
      </c>
      <c r="M394" s="19" t="s">
        <v>435</v>
      </c>
      <c r="N394" s="13" t="s">
        <v>1198</v>
      </c>
      <c r="O394" s="13" t="s">
        <v>698</v>
      </c>
      <c r="P394" s="13" t="s">
        <v>1224</v>
      </c>
      <c r="Q394" s="16">
        <v>1030242</v>
      </c>
      <c r="R394" s="16"/>
      <c r="S394" s="16"/>
      <c r="T394" s="13" t="s">
        <v>831</v>
      </c>
      <c r="U394" s="13"/>
      <c r="V394" s="20" t="s">
        <v>923</v>
      </c>
      <c r="W394" s="13" t="s">
        <v>272</v>
      </c>
      <c r="X394" s="13" t="s">
        <v>1378</v>
      </c>
      <c r="Y394" s="13" t="s">
        <v>1533</v>
      </c>
      <c r="Z394" s="13"/>
      <c r="AA394" s="16"/>
      <c r="AB394" s="16" t="s">
        <v>1244</v>
      </c>
      <c r="AC394" s="18">
        <v>46006</v>
      </c>
      <c r="AD394" s="18">
        <v>46007</v>
      </c>
      <c r="AE394" s="18">
        <v>46008</v>
      </c>
      <c r="AF394" s="15"/>
      <c r="AG394" s="18"/>
      <c r="AH394" s="15"/>
      <c r="AI394" s="18"/>
      <c r="AJ394" s="22"/>
      <c r="AK394" s="22"/>
      <c r="AL394" s="22"/>
    </row>
    <row r="395" spans="1:38" ht="18" customHeight="1">
      <c r="A395" s="19" t="s">
        <v>1545</v>
      </c>
      <c r="B395" s="19" t="s">
        <v>1160</v>
      </c>
      <c r="C395" s="64" t="s">
        <v>37</v>
      </c>
      <c r="D395" s="16">
        <v>151521</v>
      </c>
      <c r="E395" s="16"/>
      <c r="F395" s="16">
        <v>634630</v>
      </c>
      <c r="G395" s="16">
        <v>0</v>
      </c>
      <c r="H395" s="18">
        <v>44972</v>
      </c>
      <c r="I395" s="19" t="s">
        <v>289</v>
      </c>
      <c r="J395" s="18">
        <v>44972</v>
      </c>
      <c r="K395" s="18">
        <v>45336</v>
      </c>
      <c r="L395" s="19" t="s">
        <v>95</v>
      </c>
      <c r="M395" s="19" t="s">
        <v>369</v>
      </c>
      <c r="N395" s="13" t="s">
        <v>289</v>
      </c>
      <c r="O395" s="13" t="s">
        <v>698</v>
      </c>
      <c r="P395" s="13" t="s">
        <v>699</v>
      </c>
      <c r="Q395" s="16">
        <v>1030242</v>
      </c>
      <c r="R395" s="16">
        <v>1030242</v>
      </c>
      <c r="S395" s="16"/>
      <c r="T395" s="13" t="s">
        <v>1161</v>
      </c>
      <c r="U395" s="13" t="s">
        <v>1162</v>
      </c>
      <c r="V395" s="20" t="s">
        <v>923</v>
      </c>
      <c r="W395" s="13" t="s">
        <v>1163</v>
      </c>
      <c r="X395" s="20" t="s">
        <v>1164</v>
      </c>
      <c r="Y395" s="13" t="s">
        <v>1165</v>
      </c>
      <c r="Z395" s="13" t="s">
        <v>1244</v>
      </c>
      <c r="AA395" s="19"/>
      <c r="AB395" s="16" t="s">
        <v>1244</v>
      </c>
      <c r="AC395" s="18">
        <v>46006</v>
      </c>
      <c r="AD395" s="18">
        <v>46008</v>
      </c>
      <c r="AE395" s="18">
        <v>46008</v>
      </c>
      <c r="AF395" s="68"/>
      <c r="AG395" s="23"/>
      <c r="AH395" s="68"/>
      <c r="AI395" s="23"/>
      <c r="AJ395" s="69" t="e">
        <f>HYPERLINK(_xlfn.XLOOKUP(B395,[1]Sheet1!A:A,[1]Sheet1!C:C),"link")</f>
        <v>#N/A</v>
      </c>
      <c r="AK395" s="70"/>
      <c r="AL395" s="70"/>
    </row>
    <row r="396" spans="1:38" ht="18" customHeight="1">
      <c r="A396" s="19" t="s">
        <v>1546</v>
      </c>
      <c r="B396" s="19" t="s">
        <v>1166</v>
      </c>
      <c r="C396" s="64" t="s">
        <v>37</v>
      </c>
      <c r="D396" s="16">
        <v>168052</v>
      </c>
      <c r="E396" s="16"/>
      <c r="F396" s="16">
        <v>634630</v>
      </c>
      <c r="G396" s="16">
        <v>1</v>
      </c>
      <c r="H396" s="18">
        <v>45166</v>
      </c>
      <c r="I396" s="19" t="s">
        <v>1167</v>
      </c>
      <c r="J396" s="18">
        <v>44972</v>
      </c>
      <c r="K396" s="18">
        <v>45336</v>
      </c>
      <c r="L396" s="19" t="s">
        <v>95</v>
      </c>
      <c r="M396" s="19" t="s">
        <v>369</v>
      </c>
      <c r="N396" s="13" t="s">
        <v>1168</v>
      </c>
      <c r="O396" s="13" t="s">
        <v>698</v>
      </c>
      <c r="P396" s="13" t="s">
        <v>699</v>
      </c>
      <c r="Q396" s="16">
        <v>1030242</v>
      </c>
      <c r="R396" s="16">
        <v>1030242</v>
      </c>
      <c r="S396" s="16"/>
      <c r="T396" s="13" t="s">
        <v>1169</v>
      </c>
      <c r="U396" s="13" t="s">
        <v>1170</v>
      </c>
      <c r="V396" s="20" t="s">
        <v>923</v>
      </c>
      <c r="W396" s="13" t="s">
        <v>1163</v>
      </c>
      <c r="X396" s="20" t="s">
        <v>1164</v>
      </c>
      <c r="Y396" s="13" t="s">
        <v>1165</v>
      </c>
      <c r="Z396" s="13" t="s">
        <v>1244</v>
      </c>
      <c r="AA396" s="19"/>
      <c r="AB396" s="16" t="s">
        <v>1244</v>
      </c>
      <c r="AC396" s="18">
        <v>46006</v>
      </c>
      <c r="AD396" s="18">
        <v>46008</v>
      </c>
      <c r="AE396" s="18">
        <v>46008</v>
      </c>
      <c r="AF396" s="68"/>
      <c r="AG396" s="23"/>
      <c r="AH396" s="68"/>
      <c r="AI396" s="23"/>
      <c r="AJ396" s="69" t="e">
        <f>HYPERLINK(_xlfn.XLOOKUP(B396,[1]Sheet1!A:A,[1]Sheet1!C:C),"link")</f>
        <v>#N/A</v>
      </c>
      <c r="AK396" s="70"/>
      <c r="AL396" s="70"/>
    </row>
    <row r="397" spans="1:38" ht="18" customHeight="1">
      <c r="A397" s="19" t="s">
        <v>1547</v>
      </c>
      <c r="B397" s="19" t="s">
        <v>1171</v>
      </c>
      <c r="C397" s="64" t="s">
        <v>37</v>
      </c>
      <c r="D397" s="16">
        <v>179911</v>
      </c>
      <c r="E397" s="16"/>
      <c r="F397" s="16">
        <v>634630</v>
      </c>
      <c r="G397" s="16">
        <v>2</v>
      </c>
      <c r="H397" s="18">
        <v>45336</v>
      </c>
      <c r="I397" s="19" t="s">
        <v>1172</v>
      </c>
      <c r="J397" s="18">
        <v>44972</v>
      </c>
      <c r="K397" s="18">
        <v>45702</v>
      </c>
      <c r="L397" s="19" t="s">
        <v>95</v>
      </c>
      <c r="M397" s="19" t="s">
        <v>369</v>
      </c>
      <c r="N397" s="13" t="s">
        <v>1173</v>
      </c>
      <c r="O397" s="13" t="s">
        <v>698</v>
      </c>
      <c r="P397" s="13" t="s">
        <v>699</v>
      </c>
      <c r="Q397" s="16">
        <v>1030242</v>
      </c>
      <c r="R397" s="16">
        <v>1030242</v>
      </c>
      <c r="S397" s="16"/>
      <c r="T397" s="13" t="s">
        <v>1174</v>
      </c>
      <c r="U397" s="13" t="s">
        <v>1170</v>
      </c>
      <c r="V397" s="20" t="s">
        <v>923</v>
      </c>
      <c r="W397" s="13" t="s">
        <v>1163</v>
      </c>
      <c r="X397" s="20" t="s">
        <v>1164</v>
      </c>
      <c r="Y397" s="13" t="s">
        <v>1165</v>
      </c>
      <c r="Z397" s="13" t="s">
        <v>1244</v>
      </c>
      <c r="AA397" s="19"/>
      <c r="AB397" s="16" t="s">
        <v>1244</v>
      </c>
      <c r="AC397" s="18">
        <v>46006</v>
      </c>
      <c r="AD397" s="18">
        <v>46008</v>
      </c>
      <c r="AE397" s="18">
        <v>46008</v>
      </c>
      <c r="AF397" s="68"/>
      <c r="AG397" s="23"/>
      <c r="AH397" s="68"/>
      <c r="AI397" s="23"/>
      <c r="AJ397" s="69" t="e">
        <f>HYPERLINK(_xlfn.XLOOKUP(B397,[1]Sheet1!A:A,[1]Sheet1!C:C),"link")</f>
        <v>#N/A</v>
      </c>
      <c r="AK397" s="70"/>
      <c r="AL397" s="70"/>
    </row>
    <row r="398" spans="1:38" ht="18" customHeight="1">
      <c r="A398" s="19" t="s">
        <v>1548</v>
      </c>
      <c r="B398" s="19" t="s">
        <v>1175</v>
      </c>
      <c r="C398" s="64" t="s">
        <v>37</v>
      </c>
      <c r="D398" s="16">
        <v>189993</v>
      </c>
      <c r="E398" s="16"/>
      <c r="F398" s="16">
        <v>634630</v>
      </c>
      <c r="G398" s="16">
        <v>3</v>
      </c>
      <c r="H398" s="18">
        <v>45422</v>
      </c>
      <c r="I398" s="19" t="s">
        <v>1167</v>
      </c>
      <c r="J398" s="18">
        <v>44972</v>
      </c>
      <c r="K398" s="18">
        <v>45702</v>
      </c>
      <c r="L398" s="19" t="s">
        <v>95</v>
      </c>
      <c r="M398" s="19" t="s">
        <v>369</v>
      </c>
      <c r="N398" s="13" t="s">
        <v>1168</v>
      </c>
      <c r="O398" s="13" t="s">
        <v>698</v>
      </c>
      <c r="P398" s="13" t="s">
        <v>699</v>
      </c>
      <c r="Q398" s="16">
        <v>1030242</v>
      </c>
      <c r="R398" s="16">
        <v>1030242</v>
      </c>
      <c r="S398" s="16"/>
      <c r="T398" s="13" t="s">
        <v>1176</v>
      </c>
      <c r="U398" s="13" t="s">
        <v>1177</v>
      </c>
      <c r="V398" s="20" t="s">
        <v>923</v>
      </c>
      <c r="W398" s="13" t="s">
        <v>1163</v>
      </c>
      <c r="X398" s="20" t="s">
        <v>1164</v>
      </c>
      <c r="Y398" s="13" t="s">
        <v>1165</v>
      </c>
      <c r="Z398" s="13" t="s">
        <v>1244</v>
      </c>
      <c r="AA398" s="19"/>
      <c r="AB398" s="16" t="s">
        <v>1244</v>
      </c>
      <c r="AC398" s="18">
        <v>46006</v>
      </c>
      <c r="AD398" s="18">
        <v>46008</v>
      </c>
      <c r="AE398" s="18">
        <v>46008</v>
      </c>
      <c r="AF398" s="68"/>
      <c r="AG398" s="23"/>
      <c r="AH398" s="68"/>
      <c r="AI398" s="23"/>
      <c r="AJ398" s="69" t="e">
        <f>HYPERLINK(_xlfn.XLOOKUP(B398,[1]Sheet1!A:A,[1]Sheet1!C:C),"link")</f>
        <v>#N/A</v>
      </c>
      <c r="AK398" s="70"/>
      <c r="AL398" s="70"/>
    </row>
    <row r="399" spans="1:38" ht="18" customHeight="1">
      <c r="A399" s="19" t="s">
        <v>1549</v>
      </c>
      <c r="B399" s="19" t="s">
        <v>1178</v>
      </c>
      <c r="C399" s="64" t="s">
        <v>37</v>
      </c>
      <c r="D399" s="16">
        <v>192015</v>
      </c>
      <c r="E399" s="16"/>
      <c r="F399" s="16">
        <v>634630</v>
      </c>
      <c r="G399" s="16">
        <v>4</v>
      </c>
      <c r="H399" s="18">
        <v>45440</v>
      </c>
      <c r="I399" s="19" t="s">
        <v>630</v>
      </c>
      <c r="J399" s="18">
        <v>44972</v>
      </c>
      <c r="K399" s="18">
        <v>45702</v>
      </c>
      <c r="L399" s="19" t="s">
        <v>95</v>
      </c>
      <c r="M399" s="19" t="s">
        <v>369</v>
      </c>
      <c r="N399" s="13" t="s">
        <v>1168</v>
      </c>
      <c r="O399" s="13" t="s">
        <v>698</v>
      </c>
      <c r="P399" s="13" t="s">
        <v>699</v>
      </c>
      <c r="Q399" s="16">
        <v>1030242</v>
      </c>
      <c r="R399" s="16">
        <v>1030242</v>
      </c>
      <c r="S399" s="16"/>
      <c r="T399" s="13" t="s">
        <v>1179</v>
      </c>
      <c r="U399" s="13" t="s">
        <v>1180</v>
      </c>
      <c r="V399" s="20" t="s">
        <v>923</v>
      </c>
      <c r="W399" s="13" t="s">
        <v>1163</v>
      </c>
      <c r="X399" s="20" t="s">
        <v>1164</v>
      </c>
      <c r="Y399" s="13" t="s">
        <v>1165</v>
      </c>
      <c r="Z399" s="13" t="s">
        <v>1244</v>
      </c>
      <c r="AA399" s="19"/>
      <c r="AB399" s="16" t="s">
        <v>1244</v>
      </c>
      <c r="AC399" s="18">
        <v>46006</v>
      </c>
      <c r="AD399" s="18">
        <v>46008</v>
      </c>
      <c r="AE399" s="18">
        <v>46008</v>
      </c>
      <c r="AF399" s="68"/>
      <c r="AG399" s="23"/>
      <c r="AH399" s="68"/>
      <c r="AI399" s="23"/>
      <c r="AJ399" s="69" t="e">
        <f>HYPERLINK(_xlfn.XLOOKUP(B399,[1]Sheet1!A:A,[1]Sheet1!C:C),"link")</f>
        <v>#N/A</v>
      </c>
      <c r="AK399" s="70"/>
      <c r="AL399" s="70"/>
    </row>
    <row r="400" spans="1:38" ht="18" customHeight="1">
      <c r="A400" s="19" t="s">
        <v>1550</v>
      </c>
      <c r="B400" s="19" t="s">
        <v>1181</v>
      </c>
      <c r="C400" s="64" t="s">
        <v>37</v>
      </c>
      <c r="D400" s="16">
        <v>192300</v>
      </c>
      <c r="E400" s="16"/>
      <c r="F400" s="16">
        <v>634630</v>
      </c>
      <c r="G400" s="16">
        <v>5</v>
      </c>
      <c r="H400" s="18">
        <v>45443</v>
      </c>
      <c r="I400" s="19" t="s">
        <v>630</v>
      </c>
      <c r="J400" s="18">
        <v>44972</v>
      </c>
      <c r="K400" s="18">
        <v>45702</v>
      </c>
      <c r="L400" s="19" t="s">
        <v>95</v>
      </c>
      <c r="M400" s="19" t="s">
        <v>369</v>
      </c>
      <c r="N400" s="13" t="s">
        <v>1168</v>
      </c>
      <c r="O400" s="13" t="s">
        <v>698</v>
      </c>
      <c r="P400" s="13" t="s">
        <v>699</v>
      </c>
      <c r="Q400" s="16">
        <v>1030242</v>
      </c>
      <c r="R400" s="16">
        <v>1030242</v>
      </c>
      <c r="S400" s="16"/>
      <c r="T400" s="13" t="s">
        <v>1182</v>
      </c>
      <c r="U400" s="13" t="s">
        <v>1183</v>
      </c>
      <c r="V400" s="20" t="s">
        <v>923</v>
      </c>
      <c r="W400" s="13" t="s">
        <v>1163</v>
      </c>
      <c r="X400" s="20" t="s">
        <v>1164</v>
      </c>
      <c r="Y400" s="13" t="s">
        <v>1165</v>
      </c>
      <c r="Z400" s="13" t="s">
        <v>1244</v>
      </c>
      <c r="AA400" s="19"/>
      <c r="AB400" s="16" t="s">
        <v>1244</v>
      </c>
      <c r="AC400" s="18">
        <v>46006</v>
      </c>
      <c r="AD400" s="18">
        <v>46008</v>
      </c>
      <c r="AE400" s="18">
        <v>46008</v>
      </c>
      <c r="AF400" s="68"/>
      <c r="AG400" s="23"/>
      <c r="AH400" s="68"/>
      <c r="AI400" s="23"/>
      <c r="AJ400" s="69" t="e">
        <f>HYPERLINK(_xlfn.XLOOKUP(B400,[1]Sheet1!A:A,[1]Sheet1!C:C),"link")</f>
        <v>#N/A</v>
      </c>
      <c r="AK400" s="70"/>
      <c r="AL400" s="70"/>
    </row>
    <row r="401" spans="1:38" ht="18" customHeight="1">
      <c r="A401" s="19" t="s">
        <v>1551</v>
      </c>
      <c r="B401" s="19" t="s">
        <v>1184</v>
      </c>
      <c r="C401" s="64" t="s">
        <v>37</v>
      </c>
      <c r="D401" s="16">
        <v>203317</v>
      </c>
      <c r="E401" s="16"/>
      <c r="F401" s="16">
        <v>634630</v>
      </c>
      <c r="G401" s="16">
        <v>6</v>
      </c>
      <c r="H401" s="18">
        <v>45573</v>
      </c>
      <c r="I401" s="19" t="s">
        <v>630</v>
      </c>
      <c r="J401" s="18">
        <v>44972</v>
      </c>
      <c r="K401" s="18">
        <v>45702</v>
      </c>
      <c r="L401" s="19" t="s">
        <v>95</v>
      </c>
      <c r="M401" s="19" t="s">
        <v>369</v>
      </c>
      <c r="N401" s="13" t="s">
        <v>1168</v>
      </c>
      <c r="O401" s="13" t="s">
        <v>698</v>
      </c>
      <c r="P401" s="13" t="s">
        <v>699</v>
      </c>
      <c r="Q401" s="16">
        <v>1030242</v>
      </c>
      <c r="R401" s="16">
        <v>1030242</v>
      </c>
      <c r="S401" s="16"/>
      <c r="T401" s="13" t="s">
        <v>1185</v>
      </c>
      <c r="U401" s="13" t="s">
        <v>1186</v>
      </c>
      <c r="V401" s="20" t="s">
        <v>923</v>
      </c>
      <c r="W401" s="13" t="s">
        <v>1163</v>
      </c>
      <c r="X401" s="20" t="s">
        <v>1164</v>
      </c>
      <c r="Y401" s="13" t="s">
        <v>1165</v>
      </c>
      <c r="Z401" s="13" t="s">
        <v>1244</v>
      </c>
      <c r="AA401" s="19"/>
      <c r="AB401" s="16" t="s">
        <v>1244</v>
      </c>
      <c r="AC401" s="18">
        <v>46006</v>
      </c>
      <c r="AD401" s="18">
        <v>46008</v>
      </c>
      <c r="AE401" s="18">
        <v>46008</v>
      </c>
      <c r="AF401" s="68"/>
      <c r="AG401" s="23"/>
      <c r="AH401" s="68"/>
      <c r="AI401" s="23"/>
      <c r="AJ401" s="69" t="e">
        <f>HYPERLINK(_xlfn.XLOOKUP(B401,[1]Sheet1!A:A,[1]Sheet1!C:C),"link")</f>
        <v>#N/A</v>
      </c>
      <c r="AK401" s="70"/>
      <c r="AL401" s="70"/>
    </row>
    <row r="402" spans="1:38" ht="18" customHeight="1">
      <c r="A402" s="19" t="s">
        <v>1552</v>
      </c>
      <c r="B402" s="19" t="s">
        <v>1187</v>
      </c>
      <c r="C402" s="64" t="s">
        <v>37</v>
      </c>
      <c r="D402" s="16">
        <v>213871</v>
      </c>
      <c r="E402" s="16"/>
      <c r="F402" s="16">
        <v>634630</v>
      </c>
      <c r="G402" s="16">
        <v>7</v>
      </c>
      <c r="H402" s="18">
        <v>45702</v>
      </c>
      <c r="I402" s="19" t="s">
        <v>1172</v>
      </c>
      <c r="J402" s="18">
        <v>44972</v>
      </c>
      <c r="K402" s="18">
        <v>46067</v>
      </c>
      <c r="L402" s="19" t="s">
        <v>95</v>
      </c>
      <c r="M402" s="19" t="s">
        <v>369</v>
      </c>
      <c r="N402" s="13" t="s">
        <v>1173</v>
      </c>
      <c r="O402" s="13" t="s">
        <v>698</v>
      </c>
      <c r="P402" s="13" t="s">
        <v>699</v>
      </c>
      <c r="Q402" s="16">
        <v>1030242</v>
      </c>
      <c r="R402" s="16">
        <v>1030242</v>
      </c>
      <c r="S402" s="16"/>
      <c r="T402" s="13" t="s">
        <v>1188</v>
      </c>
      <c r="U402" s="13" t="s">
        <v>1186</v>
      </c>
      <c r="V402" s="20" t="s">
        <v>923</v>
      </c>
      <c r="W402" s="13" t="s">
        <v>1163</v>
      </c>
      <c r="X402" s="20" t="s">
        <v>1164</v>
      </c>
      <c r="Y402" s="13" t="s">
        <v>1165</v>
      </c>
      <c r="Z402" s="13" t="s">
        <v>1244</v>
      </c>
      <c r="AA402" s="19"/>
      <c r="AB402" s="16" t="s">
        <v>1244</v>
      </c>
      <c r="AC402" s="18">
        <v>46006</v>
      </c>
      <c r="AD402" s="18">
        <v>46008</v>
      </c>
      <c r="AE402" s="18">
        <v>46008</v>
      </c>
      <c r="AF402" s="68"/>
      <c r="AG402" s="23"/>
      <c r="AH402" s="68"/>
      <c r="AI402" s="23"/>
      <c r="AJ402" s="69" t="e">
        <f>HYPERLINK(_xlfn.XLOOKUP(B402,[1]Sheet1!A:A,[1]Sheet1!C:C),"link")</f>
        <v>#N/A</v>
      </c>
      <c r="AK402" s="70"/>
      <c r="AL402" s="70"/>
    </row>
    <row r="403" spans="1:38" ht="18" customHeight="1">
      <c r="A403" s="16" t="s">
        <v>1553</v>
      </c>
      <c r="B403" s="13" t="s">
        <v>286</v>
      </c>
      <c r="C403" s="64" t="s">
        <v>773</v>
      </c>
      <c r="D403" s="16" t="s">
        <v>38</v>
      </c>
      <c r="E403" s="16" t="s">
        <v>38</v>
      </c>
      <c r="F403" s="14">
        <v>636291</v>
      </c>
      <c r="G403" s="28">
        <v>0</v>
      </c>
      <c r="H403" s="18">
        <v>45292</v>
      </c>
      <c r="I403" s="24" t="s">
        <v>1554</v>
      </c>
      <c r="J403" s="18">
        <v>45292</v>
      </c>
      <c r="K403" s="18">
        <v>47118</v>
      </c>
      <c r="L403" s="19" t="s">
        <v>54</v>
      </c>
      <c r="M403" s="34" t="s">
        <v>288</v>
      </c>
      <c r="N403" s="13" t="s">
        <v>289</v>
      </c>
      <c r="O403" s="13" t="s">
        <v>45</v>
      </c>
      <c r="P403" s="13" t="s">
        <v>46</v>
      </c>
      <c r="Q403" s="33">
        <v>1018471</v>
      </c>
      <c r="R403" s="16" t="s">
        <v>38</v>
      </c>
      <c r="S403" s="16" t="s">
        <v>38</v>
      </c>
      <c r="T403" s="13" t="s">
        <v>290</v>
      </c>
      <c r="U403" s="20" t="s">
        <v>291</v>
      </c>
      <c r="V403" s="20" t="s">
        <v>292</v>
      </c>
      <c r="W403" s="13"/>
      <c r="X403" s="20" t="s">
        <v>293</v>
      </c>
      <c r="Y403" s="13" t="s">
        <v>38</v>
      </c>
      <c r="Z403" s="13" t="s">
        <v>1555</v>
      </c>
      <c r="AA403" s="16"/>
      <c r="AB403" s="16" t="s">
        <v>1244</v>
      </c>
      <c r="AC403" s="18">
        <v>46006</v>
      </c>
      <c r="AD403" s="18">
        <v>46007</v>
      </c>
      <c r="AE403" s="18"/>
      <c r="AF403" s="15"/>
      <c r="AG403" s="18"/>
      <c r="AH403" s="15"/>
      <c r="AI403" s="18"/>
      <c r="AJ403" s="22"/>
      <c r="AK403" s="22"/>
      <c r="AL403" s="22"/>
    </row>
    <row r="404" spans="1:38" ht="18" customHeight="1">
      <c r="A404" s="16" t="s">
        <v>1556</v>
      </c>
      <c r="B404" s="13" t="s">
        <v>1222</v>
      </c>
      <c r="C404" s="64" t="s">
        <v>1015</v>
      </c>
      <c r="D404" s="16" t="s">
        <v>38</v>
      </c>
      <c r="E404" s="16" t="s">
        <v>38</v>
      </c>
      <c r="F404" s="16" t="s">
        <v>38</v>
      </c>
      <c r="G404" s="16">
        <v>0</v>
      </c>
      <c r="H404" s="18">
        <v>44859</v>
      </c>
      <c r="I404" s="24" t="s">
        <v>336</v>
      </c>
      <c r="J404" s="18">
        <v>44859</v>
      </c>
      <c r="K404" s="18" t="s">
        <v>38</v>
      </c>
      <c r="L404" s="19" t="s">
        <v>54</v>
      </c>
      <c r="M404" s="19" t="s">
        <v>337</v>
      </c>
      <c r="N404" s="13" t="s">
        <v>1223</v>
      </c>
      <c r="O404" s="13" t="s">
        <v>698</v>
      </c>
      <c r="P404" s="13" t="s">
        <v>1224</v>
      </c>
      <c r="Q404" s="16">
        <v>1030242</v>
      </c>
      <c r="R404" s="16">
        <v>1030242</v>
      </c>
      <c r="S404" s="16" t="s">
        <v>38</v>
      </c>
      <c r="T404" t="s">
        <v>1225</v>
      </c>
      <c r="U404" s="20" t="s">
        <v>1226</v>
      </c>
      <c r="V404" s="20" t="s">
        <v>1227</v>
      </c>
      <c r="W404" s="22"/>
      <c r="X404" s="50" t="s">
        <v>1228</v>
      </c>
      <c r="Y404" s="20" t="s">
        <v>1229</v>
      </c>
      <c r="Z404" s="13" t="s">
        <v>1557</v>
      </c>
      <c r="AA404" s="16"/>
      <c r="AB404" s="16" t="s">
        <v>1244</v>
      </c>
      <c r="AC404" s="18">
        <v>46006</v>
      </c>
      <c r="AD404" s="18">
        <v>46007</v>
      </c>
      <c r="AE404" s="18">
        <v>46008</v>
      </c>
      <c r="AF404" s="15"/>
      <c r="AG404" s="18"/>
      <c r="AH404" s="15"/>
      <c r="AI404" s="18"/>
      <c r="AJ404" s="72" t="e">
        <f>HYPERLINK(_xlfn.XLOOKUP(B404,[1]Sheet2!A:A,[1]Sheet2!D:D),"link")</f>
        <v>#N/A</v>
      </c>
      <c r="AK404" s="22"/>
      <c r="AL404" s="22"/>
    </row>
    <row r="405" spans="1:38" ht="18" customHeight="1">
      <c r="A405" s="16" t="s">
        <v>1558</v>
      </c>
      <c r="B405" s="13" t="s">
        <v>1231</v>
      </c>
      <c r="C405" s="64" t="s">
        <v>1015</v>
      </c>
      <c r="D405" s="16" t="s">
        <v>38</v>
      </c>
      <c r="E405" s="16" t="s">
        <v>38</v>
      </c>
      <c r="F405" s="16" t="s">
        <v>38</v>
      </c>
      <c r="G405" s="16">
        <v>1</v>
      </c>
      <c r="H405" s="18">
        <v>45474</v>
      </c>
      <c r="I405" s="46" t="s">
        <v>1232</v>
      </c>
      <c r="J405" s="18">
        <v>44860</v>
      </c>
      <c r="K405" s="18" t="s">
        <v>38</v>
      </c>
      <c r="L405" s="19" t="s">
        <v>54</v>
      </c>
      <c r="M405" s="19" t="s">
        <v>337</v>
      </c>
      <c r="N405" s="13" t="s">
        <v>1233</v>
      </c>
      <c r="O405" s="13" t="s">
        <v>698</v>
      </c>
      <c r="P405" s="13" t="s">
        <v>699</v>
      </c>
      <c r="Q405" s="16">
        <v>1030242</v>
      </c>
      <c r="R405" s="16">
        <v>1030242</v>
      </c>
      <c r="S405" s="16" t="s">
        <v>38</v>
      </c>
      <c r="T405" t="s">
        <v>1234</v>
      </c>
      <c r="U405" s="20" t="s">
        <v>1226</v>
      </c>
      <c r="V405" s="20" t="s">
        <v>1227</v>
      </c>
      <c r="W405" s="22"/>
      <c r="X405" s="50" t="s">
        <v>1228</v>
      </c>
      <c r="Y405" s="20" t="s">
        <v>1235</v>
      </c>
      <c r="Z405" s="13" t="s">
        <v>1559</v>
      </c>
      <c r="AA405" s="16"/>
      <c r="AB405" s="16" t="s">
        <v>1244</v>
      </c>
      <c r="AC405" s="18">
        <v>46006</v>
      </c>
      <c r="AD405" s="18">
        <v>46007</v>
      </c>
      <c r="AE405" s="18">
        <v>46008</v>
      </c>
      <c r="AF405" s="15"/>
      <c r="AG405" s="18"/>
      <c r="AH405" s="15"/>
      <c r="AI405" s="18"/>
      <c r="AJ405" s="72" t="e">
        <f>HYPERLINK(_xlfn.XLOOKUP(B405,[1]Sheet2!A:A,[1]Sheet2!D:D),"link")</f>
        <v>#N/A</v>
      </c>
      <c r="AK405" s="22"/>
      <c r="AL405" s="22"/>
    </row>
    <row r="406" spans="1:38" ht="18" customHeight="1">
      <c r="A406" s="16" t="s">
        <v>1560</v>
      </c>
      <c r="B406" s="13" t="s">
        <v>620</v>
      </c>
      <c r="C406" s="64" t="s">
        <v>1015</v>
      </c>
      <c r="D406" s="16">
        <v>190395</v>
      </c>
      <c r="E406" s="16"/>
      <c r="F406" s="16">
        <v>650868</v>
      </c>
      <c r="G406" s="16">
        <v>0</v>
      </c>
      <c r="H406" s="18">
        <v>45494</v>
      </c>
      <c r="I406" s="19" t="s">
        <v>621</v>
      </c>
      <c r="J406" s="18">
        <v>45494</v>
      </c>
      <c r="K406" s="18">
        <v>45930</v>
      </c>
      <c r="L406" s="19" t="s">
        <v>95</v>
      </c>
      <c r="M406" s="34" t="s">
        <v>157</v>
      </c>
      <c r="N406" s="13" t="s">
        <v>289</v>
      </c>
      <c r="O406" s="13" t="s">
        <v>350</v>
      </c>
      <c r="P406" s="13" t="s">
        <v>556</v>
      </c>
      <c r="Q406" s="16">
        <v>1018845</v>
      </c>
      <c r="R406" s="28" t="s">
        <v>622</v>
      </c>
      <c r="S406" s="28" t="s">
        <v>622</v>
      </c>
      <c r="T406" s="13" t="s">
        <v>623</v>
      </c>
      <c r="U406" s="20" t="s">
        <v>624</v>
      </c>
      <c r="V406" s="20" t="s">
        <v>625</v>
      </c>
      <c r="W406" s="13"/>
      <c r="X406" s="20" t="s">
        <v>626</v>
      </c>
      <c r="Y406" s="13" t="s">
        <v>627</v>
      </c>
      <c r="Z406" s="13"/>
      <c r="AA406" s="16"/>
      <c r="AB406" s="16" t="s">
        <v>1244</v>
      </c>
      <c r="AC406" s="18">
        <v>46006</v>
      </c>
      <c r="AD406" s="18">
        <v>46007</v>
      </c>
      <c r="AE406" s="18">
        <v>46008</v>
      </c>
      <c r="AF406" s="15"/>
      <c r="AG406" s="18"/>
      <c r="AH406" s="15"/>
      <c r="AI406" s="18"/>
      <c r="AJ406" s="72" t="e">
        <f>HYPERLINK(_xlfn.XLOOKUP(B406,[1]Sheet2!A:A,[1]Sheet2!D:D),"link")</f>
        <v>#N/A</v>
      </c>
      <c r="AK406" s="22"/>
      <c r="AL406" s="22"/>
    </row>
    <row r="407" spans="1:38" ht="18" customHeight="1">
      <c r="A407" s="16" t="s">
        <v>1561</v>
      </c>
      <c r="B407" s="13" t="s">
        <v>628</v>
      </c>
      <c r="C407" s="64" t="s">
        <v>1015</v>
      </c>
      <c r="D407" s="16">
        <v>228240</v>
      </c>
      <c r="E407" s="16"/>
      <c r="F407" s="16" t="s">
        <v>629</v>
      </c>
      <c r="G407" s="16">
        <v>1</v>
      </c>
      <c r="H407" s="18">
        <v>45930</v>
      </c>
      <c r="I407" s="19" t="s">
        <v>630</v>
      </c>
      <c r="J407" s="18">
        <v>45494</v>
      </c>
      <c r="K407" s="18">
        <v>46295</v>
      </c>
      <c r="L407" s="19" t="s">
        <v>95</v>
      </c>
      <c r="M407" s="19" t="s">
        <v>631</v>
      </c>
      <c r="N407" s="13" t="s">
        <v>632</v>
      </c>
      <c r="O407" s="13" t="s">
        <v>350</v>
      </c>
      <c r="P407" s="13" t="s">
        <v>556</v>
      </c>
      <c r="Q407" s="16">
        <v>1018845</v>
      </c>
      <c r="R407" s="28" t="s">
        <v>622</v>
      </c>
      <c r="S407" s="28" t="s">
        <v>622</v>
      </c>
      <c r="T407" s="13" t="s">
        <v>633</v>
      </c>
      <c r="U407" s="13" t="s">
        <v>624</v>
      </c>
      <c r="V407" s="20" t="s">
        <v>625</v>
      </c>
      <c r="W407" s="13"/>
      <c r="X407" s="13" t="s">
        <v>634</v>
      </c>
      <c r="Y407" s="13" t="s">
        <v>627</v>
      </c>
      <c r="Z407" s="13"/>
      <c r="AA407" s="16"/>
      <c r="AB407" s="16" t="s">
        <v>1244</v>
      </c>
      <c r="AC407" s="18">
        <v>46006</v>
      </c>
      <c r="AD407" s="18">
        <v>46007</v>
      </c>
      <c r="AE407" s="18">
        <v>46008</v>
      </c>
      <c r="AF407" s="15"/>
      <c r="AG407" s="18"/>
      <c r="AH407" s="15"/>
      <c r="AI407" s="18"/>
      <c r="AJ407" s="72" t="e">
        <f>HYPERLINK(_xlfn.XLOOKUP(B407,[1]Sheet2!A:A,[1]Sheet2!D:D),"link")</f>
        <v>#N/A</v>
      </c>
      <c r="AK407" s="22"/>
      <c r="AL407" s="22"/>
    </row>
    <row r="408" spans="1:38" ht="18" customHeight="1">
      <c r="A408" s="16" t="s">
        <v>1562</v>
      </c>
      <c r="B408" s="13" t="s">
        <v>302</v>
      </c>
      <c r="C408" s="64" t="s">
        <v>773</v>
      </c>
      <c r="D408" s="16" t="s">
        <v>303</v>
      </c>
      <c r="E408" s="16" t="s">
        <v>38</v>
      </c>
      <c r="F408" s="14">
        <v>658958</v>
      </c>
      <c r="G408" s="16">
        <v>0</v>
      </c>
      <c r="H408" s="18">
        <v>45719</v>
      </c>
      <c r="I408" s="24" t="s">
        <v>649</v>
      </c>
      <c r="J408" s="18">
        <v>45719</v>
      </c>
      <c r="K408" s="18">
        <v>46083</v>
      </c>
      <c r="L408" s="19" t="s">
        <v>95</v>
      </c>
      <c r="M408" s="19" t="s">
        <v>305</v>
      </c>
      <c r="N408" s="13" t="s">
        <v>289</v>
      </c>
      <c r="O408" s="13" t="s">
        <v>45</v>
      </c>
      <c r="P408" s="13" t="s">
        <v>46</v>
      </c>
      <c r="Q408" s="33">
        <v>1018471</v>
      </c>
      <c r="R408" s="16"/>
      <c r="S408" s="16"/>
      <c r="T408" s="13" t="s">
        <v>307</v>
      </c>
      <c r="U408" s="20" t="s">
        <v>308</v>
      </c>
      <c r="V408" s="20" t="s">
        <v>309</v>
      </c>
      <c r="W408" s="13"/>
      <c r="X408" s="13"/>
      <c r="Y408" s="13"/>
      <c r="Z408" s="13" t="s">
        <v>1563</v>
      </c>
      <c r="AA408" s="16"/>
      <c r="AB408" s="16" t="s">
        <v>1244</v>
      </c>
      <c r="AC408" s="18">
        <v>46006</v>
      </c>
      <c r="AD408" s="18">
        <v>46007</v>
      </c>
      <c r="AE408" s="18"/>
      <c r="AF408" s="15"/>
      <c r="AG408" s="18"/>
      <c r="AH408" s="15"/>
      <c r="AI408" s="18"/>
      <c r="AJ408" s="22"/>
      <c r="AK408" s="22"/>
      <c r="AL408" s="22"/>
    </row>
    <row r="409" spans="1:38" ht="18" customHeight="1">
      <c r="A409" s="16" t="s">
        <v>1564</v>
      </c>
      <c r="B409" s="13" t="s">
        <v>647</v>
      </c>
      <c r="C409" s="64" t="s">
        <v>1015</v>
      </c>
      <c r="D409" s="16" t="s">
        <v>648</v>
      </c>
      <c r="E409" s="16"/>
      <c r="F409" s="16">
        <v>659734</v>
      </c>
      <c r="G409" s="16">
        <v>0</v>
      </c>
      <c r="H409" s="18">
        <v>45743</v>
      </c>
      <c r="I409" s="19" t="s">
        <v>649</v>
      </c>
      <c r="J409" s="18">
        <v>45743</v>
      </c>
      <c r="K409" s="18">
        <v>46107</v>
      </c>
      <c r="L409" s="19" t="s">
        <v>95</v>
      </c>
      <c r="M409" s="19" t="s">
        <v>369</v>
      </c>
      <c r="N409" s="13" t="s">
        <v>289</v>
      </c>
      <c r="O409" s="13" t="s">
        <v>350</v>
      </c>
      <c r="P409" s="13" t="s">
        <v>556</v>
      </c>
      <c r="Q409" s="16">
        <v>1018845</v>
      </c>
      <c r="R409" s="28" t="s">
        <v>650</v>
      </c>
      <c r="S409" s="28" t="s">
        <v>650</v>
      </c>
      <c r="T409" s="13" t="s">
        <v>651</v>
      </c>
      <c r="U409" s="20" t="s">
        <v>652</v>
      </c>
      <c r="V409" s="20" t="s">
        <v>653</v>
      </c>
      <c r="W409" s="13"/>
      <c r="X409" s="13" t="s">
        <v>654</v>
      </c>
      <c r="Y409" s="13" t="s">
        <v>655</v>
      </c>
      <c r="Z409" s="13"/>
      <c r="AA409" s="16"/>
      <c r="AB409" s="16" t="s">
        <v>1244</v>
      </c>
      <c r="AC409" s="18">
        <v>46006</v>
      </c>
      <c r="AD409" s="18">
        <v>46008</v>
      </c>
      <c r="AE409" s="18">
        <v>46008</v>
      </c>
      <c r="AF409" s="15"/>
      <c r="AG409" s="18"/>
      <c r="AH409" s="15"/>
      <c r="AI409" s="18"/>
      <c r="AJ409" s="72" t="e">
        <f>HYPERLINK(_xlfn.XLOOKUP(B409,[1]Sheet2!A:A,[1]Sheet2!D:D),"link")</f>
        <v>#N/A</v>
      </c>
      <c r="AK409" s="22"/>
      <c r="AL409" s="22"/>
    </row>
    <row r="410" spans="1:38" ht="18" customHeight="1">
      <c r="A410" s="16" t="s">
        <v>1565</v>
      </c>
      <c r="B410" s="13" t="s">
        <v>310</v>
      </c>
      <c r="C410" s="64" t="s">
        <v>773</v>
      </c>
      <c r="D410" s="16" t="s">
        <v>38</v>
      </c>
      <c r="E410" s="16" t="s">
        <v>38</v>
      </c>
      <c r="F410" s="14">
        <v>659856</v>
      </c>
      <c r="G410" s="28">
        <v>0</v>
      </c>
      <c r="H410" s="18">
        <v>45719</v>
      </c>
      <c r="I410" s="24" t="s">
        <v>311</v>
      </c>
      <c r="J410" s="18">
        <v>45744</v>
      </c>
      <c r="K410" s="18">
        <v>46108</v>
      </c>
      <c r="L410" s="19" t="s">
        <v>42</v>
      </c>
      <c r="M410" s="19" t="s">
        <v>43</v>
      </c>
      <c r="N410" s="13" t="s">
        <v>312</v>
      </c>
      <c r="O410" s="13" t="s">
        <v>45</v>
      </c>
      <c r="P410" s="13" t="s">
        <v>46</v>
      </c>
      <c r="Q410" s="33">
        <v>1018471</v>
      </c>
      <c r="R410" s="28" t="s">
        <v>313</v>
      </c>
      <c r="S410" s="28" t="s">
        <v>313</v>
      </c>
      <c r="T410" s="13" t="s">
        <v>314</v>
      </c>
      <c r="U410" s="20" t="s">
        <v>315</v>
      </c>
      <c r="V410" s="20" t="s">
        <v>316</v>
      </c>
      <c r="W410" s="13"/>
      <c r="X410" s="13"/>
      <c r="Y410" s="13"/>
      <c r="Z410" s="13" t="s">
        <v>1566</v>
      </c>
      <c r="AA410" s="16"/>
      <c r="AB410" s="16" t="s">
        <v>1244</v>
      </c>
      <c r="AC410" s="18">
        <v>46006</v>
      </c>
      <c r="AD410" s="18">
        <v>46007</v>
      </c>
      <c r="AE410" s="18"/>
      <c r="AF410" s="15"/>
      <c r="AG410" s="18"/>
      <c r="AH410" s="15"/>
      <c r="AI410" s="18"/>
      <c r="AJ410" s="22"/>
      <c r="AK410" s="22"/>
      <c r="AL410" s="22"/>
    </row>
    <row r="411" spans="1:38" ht="18" customHeight="1">
      <c r="A411" s="16" t="s">
        <v>1567</v>
      </c>
      <c r="B411" s="13" t="s">
        <v>657</v>
      </c>
      <c r="C411" s="64" t="s">
        <v>773</v>
      </c>
      <c r="D411" s="14">
        <v>221018</v>
      </c>
      <c r="E411" s="16" t="s">
        <v>38</v>
      </c>
      <c r="F411" s="14">
        <v>660389</v>
      </c>
      <c r="G411" s="28">
        <v>0</v>
      </c>
      <c r="H411" s="18">
        <v>45759</v>
      </c>
      <c r="I411" s="24" t="s">
        <v>658</v>
      </c>
      <c r="J411" s="18">
        <v>45759</v>
      </c>
      <c r="K411" s="18">
        <v>46123</v>
      </c>
      <c r="L411" s="19" t="s">
        <v>54</v>
      </c>
      <c r="M411" s="19" t="s">
        <v>503</v>
      </c>
      <c r="N411" s="13" t="s">
        <v>289</v>
      </c>
      <c r="O411" s="13" t="s">
        <v>350</v>
      </c>
      <c r="P411" s="13" t="s">
        <v>556</v>
      </c>
      <c r="Q411" s="16">
        <v>1018845</v>
      </c>
      <c r="R411" s="28" t="s">
        <v>659</v>
      </c>
      <c r="S411" s="28" t="s">
        <v>659</v>
      </c>
      <c r="T411" s="13" t="s">
        <v>660</v>
      </c>
      <c r="U411" s="20" t="s">
        <v>661</v>
      </c>
      <c r="V411" s="20" t="s">
        <v>38</v>
      </c>
      <c r="W411" s="13"/>
      <c r="X411" s="13" t="s">
        <v>662</v>
      </c>
      <c r="Y411" s="13" t="s">
        <v>663</v>
      </c>
      <c r="Z411" s="13" t="s">
        <v>1568</v>
      </c>
      <c r="AA411" s="16"/>
      <c r="AB411" s="16" t="s">
        <v>1244</v>
      </c>
      <c r="AC411" s="18">
        <v>46006</v>
      </c>
      <c r="AD411" s="18">
        <v>46007</v>
      </c>
      <c r="AE411" s="18"/>
      <c r="AF411" s="15"/>
      <c r="AG411" s="18"/>
      <c r="AH411" s="15"/>
      <c r="AI411" s="18"/>
      <c r="AJ411" s="22"/>
      <c r="AK411" s="22"/>
      <c r="AL411" s="22"/>
    </row>
    <row r="412" spans="1:38" ht="18" customHeight="1">
      <c r="A412" s="16" t="s">
        <v>1569</v>
      </c>
      <c r="B412" s="13" t="s">
        <v>832</v>
      </c>
      <c r="C412" s="64" t="s">
        <v>773</v>
      </c>
      <c r="D412" s="16">
        <v>214575</v>
      </c>
      <c r="E412" s="16" t="s">
        <v>833</v>
      </c>
      <c r="F412" s="16" t="s">
        <v>38</v>
      </c>
      <c r="G412" s="16">
        <v>0</v>
      </c>
      <c r="H412" s="18">
        <v>45809</v>
      </c>
      <c r="I412" s="19" t="s">
        <v>638</v>
      </c>
      <c r="J412" s="18">
        <v>45809</v>
      </c>
      <c r="K412" s="18">
        <v>46904</v>
      </c>
      <c r="L412" s="19" t="s">
        <v>54</v>
      </c>
      <c r="M412" s="19" t="s">
        <v>834</v>
      </c>
      <c r="N412" s="13" t="s">
        <v>638</v>
      </c>
      <c r="O412" s="13" t="s">
        <v>698</v>
      </c>
      <c r="P412" s="13" t="s">
        <v>699</v>
      </c>
      <c r="Q412" s="16">
        <v>1030242</v>
      </c>
      <c r="R412" s="16">
        <v>1030242</v>
      </c>
      <c r="S412" s="16" t="s">
        <v>38</v>
      </c>
      <c r="T412" s="13" t="s">
        <v>835</v>
      </c>
      <c r="U412" s="13" t="s">
        <v>836</v>
      </c>
      <c r="V412" s="20" t="s">
        <v>837</v>
      </c>
      <c r="W412" s="13"/>
      <c r="X412" s="20" t="s">
        <v>838</v>
      </c>
      <c r="Y412" s="13"/>
      <c r="Z412" s="13" t="s">
        <v>1570</v>
      </c>
      <c r="AA412" s="16"/>
      <c r="AB412" s="16" t="s">
        <v>1244</v>
      </c>
      <c r="AC412" s="18">
        <v>46006</v>
      </c>
      <c r="AD412" s="18">
        <v>46007</v>
      </c>
      <c r="AE412" s="18"/>
      <c r="AF412" s="15"/>
      <c r="AG412" s="18"/>
      <c r="AH412" s="15"/>
      <c r="AI412" s="18"/>
      <c r="AJ412" s="22"/>
      <c r="AK412" s="22"/>
      <c r="AL412" s="22"/>
    </row>
    <row r="413" spans="1:38" ht="18" customHeight="1">
      <c r="A413" s="16" t="s">
        <v>1571</v>
      </c>
      <c r="B413" s="13" t="s">
        <v>1216</v>
      </c>
      <c r="C413" s="64" t="s">
        <v>773</v>
      </c>
      <c r="D413" s="14">
        <v>224864</v>
      </c>
      <c r="E413" s="16"/>
      <c r="F413" s="14">
        <v>661642</v>
      </c>
      <c r="G413" s="28">
        <v>0</v>
      </c>
      <c r="H413" s="18">
        <v>45800</v>
      </c>
      <c r="I413" s="24" t="s">
        <v>1572</v>
      </c>
      <c r="J413" s="18">
        <v>45800</v>
      </c>
      <c r="K413" s="18">
        <v>46112</v>
      </c>
      <c r="L413" s="19" t="s">
        <v>54</v>
      </c>
      <c r="M413" s="24" t="s">
        <v>871</v>
      </c>
      <c r="N413" s="13" t="s">
        <v>289</v>
      </c>
      <c r="O413" s="13" t="s">
        <v>698</v>
      </c>
      <c r="P413" s="13" t="s">
        <v>699</v>
      </c>
      <c r="Q413" s="16">
        <v>1030242</v>
      </c>
      <c r="R413" s="16">
        <v>1030242</v>
      </c>
      <c r="S413" s="16"/>
      <c r="T413" t="s">
        <v>1218</v>
      </c>
      <c r="U413" s="20" t="s">
        <v>1219</v>
      </c>
      <c r="V413" s="20" t="s">
        <v>1163</v>
      </c>
      <c r="W413" s="13"/>
      <c r="X413" s="20" t="s">
        <v>1220</v>
      </c>
      <c r="Y413" s="20" t="s">
        <v>1221</v>
      </c>
      <c r="Z413" s="13" t="s">
        <v>1573</v>
      </c>
      <c r="AA413" s="16"/>
      <c r="AB413" s="16" t="s">
        <v>1244</v>
      </c>
      <c r="AC413" s="18">
        <v>46006</v>
      </c>
      <c r="AD413" s="18">
        <v>46007</v>
      </c>
      <c r="AE413" s="18"/>
      <c r="AF413" s="15"/>
      <c r="AG413" s="18"/>
      <c r="AH413" s="15"/>
      <c r="AI413" s="18"/>
      <c r="AJ413" s="22"/>
      <c r="AK413" s="22"/>
      <c r="AL413" s="22"/>
    </row>
    <row r="414" spans="1:38" ht="18" customHeight="1">
      <c r="A414" s="16" t="s">
        <v>1574</v>
      </c>
      <c r="B414" s="13" t="s">
        <v>319</v>
      </c>
      <c r="C414" s="64" t="s">
        <v>1015</v>
      </c>
      <c r="D414" s="16" t="s">
        <v>38</v>
      </c>
      <c r="E414" s="16" t="s">
        <v>38</v>
      </c>
      <c r="F414" s="16" t="s">
        <v>320</v>
      </c>
      <c r="G414" s="16">
        <v>0</v>
      </c>
      <c r="H414" s="18">
        <v>45744</v>
      </c>
      <c r="I414" s="19" t="s">
        <v>321</v>
      </c>
      <c r="J414" s="18">
        <v>45814</v>
      </c>
      <c r="K414" s="18">
        <v>46203</v>
      </c>
      <c r="L414" s="19" t="s">
        <v>322</v>
      </c>
      <c r="M414" s="19" t="s">
        <v>323</v>
      </c>
      <c r="N414" s="13" t="s">
        <v>324</v>
      </c>
      <c r="O414" s="13" t="s">
        <v>45</v>
      </c>
      <c r="P414" s="13" t="s">
        <v>46</v>
      </c>
      <c r="Q414" s="33">
        <v>1018471</v>
      </c>
      <c r="R414" s="28" t="s">
        <v>325</v>
      </c>
      <c r="S414" s="28" t="s">
        <v>325</v>
      </c>
      <c r="T414" s="13" t="s">
        <v>326</v>
      </c>
      <c r="U414" s="20" t="s">
        <v>327</v>
      </c>
      <c r="V414" s="20" t="s">
        <v>38</v>
      </c>
      <c r="W414" s="13"/>
      <c r="X414" s="20" t="s">
        <v>328</v>
      </c>
      <c r="Y414" s="13" t="s">
        <v>38</v>
      </c>
      <c r="Z414" s="13"/>
      <c r="AA414" s="16"/>
      <c r="AB414" s="16" t="s">
        <v>1244</v>
      </c>
      <c r="AC414" s="18">
        <v>46006</v>
      </c>
      <c r="AD414" s="18">
        <v>46008</v>
      </c>
      <c r="AE414" s="18">
        <v>46008</v>
      </c>
      <c r="AF414" s="15"/>
      <c r="AG414" s="18"/>
      <c r="AH414" s="15"/>
      <c r="AI414" s="18"/>
      <c r="AJ414" s="72" t="e">
        <f>HYPERLINK(_xlfn.XLOOKUP(B414,[1]Sheet2!A:A,[1]Sheet2!D:D),"link")</f>
        <v>#N/A</v>
      </c>
      <c r="AK414" s="22"/>
      <c r="AL414" s="22"/>
    </row>
    <row r="415" spans="1:38" ht="18" customHeight="1">
      <c r="A415" s="16" t="s">
        <v>1575</v>
      </c>
      <c r="B415" s="13" t="s">
        <v>329</v>
      </c>
      <c r="C415" s="64" t="s">
        <v>1015</v>
      </c>
      <c r="D415" s="16" t="s">
        <v>38</v>
      </c>
      <c r="E415" s="16" t="s">
        <v>38</v>
      </c>
      <c r="F415" s="16">
        <v>25050160</v>
      </c>
      <c r="G415" s="16">
        <v>1</v>
      </c>
      <c r="H415" s="18">
        <v>45903</v>
      </c>
      <c r="I415" s="19" t="s">
        <v>330</v>
      </c>
      <c r="J415" s="18">
        <v>45814</v>
      </c>
      <c r="K415" s="18">
        <v>46203</v>
      </c>
      <c r="L415" s="19" t="s">
        <v>322</v>
      </c>
      <c r="M415" s="19" t="s">
        <v>323</v>
      </c>
      <c r="N415" s="13" t="s">
        <v>331</v>
      </c>
      <c r="O415" s="13" t="s">
        <v>45</v>
      </c>
      <c r="P415" s="13" t="s">
        <v>46</v>
      </c>
      <c r="Q415" s="33">
        <v>1018471</v>
      </c>
      <c r="R415" s="28" t="s">
        <v>38</v>
      </c>
      <c r="S415" s="28" t="s">
        <v>38</v>
      </c>
      <c r="T415" s="13" t="s">
        <v>332</v>
      </c>
      <c r="U415" s="20" t="s">
        <v>327</v>
      </c>
      <c r="V415" s="20" t="s">
        <v>38</v>
      </c>
      <c r="W415" s="13"/>
      <c r="X415" s="20" t="s">
        <v>333</v>
      </c>
      <c r="Y415" s="13" t="s">
        <v>38</v>
      </c>
      <c r="Z415" s="13"/>
      <c r="AA415" s="16"/>
      <c r="AB415" s="16" t="s">
        <v>1244</v>
      </c>
      <c r="AC415" s="18">
        <v>46006</v>
      </c>
      <c r="AD415" s="18">
        <v>46008</v>
      </c>
      <c r="AE415" s="18">
        <v>46008</v>
      </c>
      <c r="AF415" s="15"/>
      <c r="AG415" s="18"/>
      <c r="AH415" s="15"/>
      <c r="AI415" s="18"/>
      <c r="AJ415" s="72" t="e">
        <f>HYPERLINK(_xlfn.XLOOKUP(B415,[1]Sheet2!A:A,[1]Sheet2!D:D),"link")</f>
        <v>#N/A</v>
      </c>
      <c r="AK415" s="22"/>
      <c r="AL415" s="22"/>
    </row>
    <row r="416" spans="1:38" ht="18" customHeight="1">
      <c r="A416" s="16" t="s">
        <v>1576</v>
      </c>
      <c r="B416" s="13" t="s">
        <v>335</v>
      </c>
      <c r="C416" s="64" t="s">
        <v>773</v>
      </c>
      <c r="D416" s="16" t="s">
        <v>38</v>
      </c>
      <c r="E416" s="16" t="s">
        <v>38</v>
      </c>
      <c r="F416" s="16">
        <v>232451</v>
      </c>
      <c r="G416" s="16">
        <v>0</v>
      </c>
      <c r="H416" s="18">
        <v>45813</v>
      </c>
      <c r="I416" s="65" t="s">
        <v>1577</v>
      </c>
      <c r="J416" s="18">
        <v>45813</v>
      </c>
      <c r="K416" s="18" t="s">
        <v>38</v>
      </c>
      <c r="L416" s="34" t="s">
        <v>54</v>
      </c>
      <c r="M416" s="19" t="s">
        <v>337</v>
      </c>
      <c r="N416" s="13" t="s">
        <v>338</v>
      </c>
      <c r="O416" s="13" t="s">
        <v>45</v>
      </c>
      <c r="P416" s="13" t="s">
        <v>46</v>
      </c>
      <c r="Q416" s="33">
        <v>1018471</v>
      </c>
      <c r="R416" s="28" t="s">
        <v>339</v>
      </c>
      <c r="S416" s="28" t="s">
        <v>339</v>
      </c>
      <c r="T416" s="73" t="s">
        <v>340</v>
      </c>
      <c r="U416" s="20" t="s">
        <v>341</v>
      </c>
      <c r="V416" s="20" t="s">
        <v>38</v>
      </c>
      <c r="W416" s="13"/>
      <c r="X416" s="13" t="s">
        <v>38</v>
      </c>
      <c r="Y416" s="13"/>
      <c r="Z416" s="13" t="s">
        <v>1578</v>
      </c>
      <c r="AA416" s="16"/>
      <c r="AB416" s="16" t="s">
        <v>1244</v>
      </c>
      <c r="AC416" s="18">
        <v>46006</v>
      </c>
      <c r="AD416" s="18">
        <v>46007</v>
      </c>
      <c r="AE416" s="18"/>
      <c r="AF416" s="15"/>
      <c r="AG416" s="18"/>
      <c r="AH416" s="15"/>
      <c r="AI416" s="18"/>
      <c r="AJ416" s="22"/>
      <c r="AK416" s="22"/>
      <c r="AL416" s="22"/>
    </row>
    <row r="417" spans="1:38" ht="18" customHeight="1">
      <c r="A417" s="16" t="s">
        <v>1579</v>
      </c>
      <c r="B417" s="13" t="s">
        <v>665</v>
      </c>
      <c r="C417" s="64" t="s">
        <v>1015</v>
      </c>
      <c r="D417" s="16">
        <v>221578</v>
      </c>
      <c r="E417" s="16" t="s">
        <v>666</v>
      </c>
      <c r="F417" s="16" t="s">
        <v>38</v>
      </c>
      <c r="G417" s="16">
        <v>0</v>
      </c>
      <c r="H417" s="18">
        <v>45859</v>
      </c>
      <c r="I417" s="19" t="s">
        <v>638</v>
      </c>
      <c r="J417" s="18">
        <v>45859</v>
      </c>
      <c r="K417" s="18">
        <v>46965</v>
      </c>
      <c r="L417" s="19" t="s">
        <v>54</v>
      </c>
      <c r="M417" s="19" t="s">
        <v>667</v>
      </c>
      <c r="N417" s="13" t="s">
        <v>640</v>
      </c>
      <c r="O417" s="13" t="s">
        <v>350</v>
      </c>
      <c r="P417" s="13" t="s">
        <v>556</v>
      </c>
      <c r="Q417" s="16">
        <v>1018845</v>
      </c>
      <c r="R417" s="28" t="s">
        <v>668</v>
      </c>
      <c r="S417" s="28" t="s">
        <v>668</v>
      </c>
      <c r="T417" s="13" t="s">
        <v>669</v>
      </c>
      <c r="U417" s="20" t="s">
        <v>670</v>
      </c>
      <c r="V417" s="20" t="s">
        <v>671</v>
      </c>
      <c r="W417" s="13"/>
      <c r="X417" s="13" t="s">
        <v>672</v>
      </c>
      <c r="Y417" s="13" t="s">
        <v>673</v>
      </c>
      <c r="Z417" s="13"/>
      <c r="AA417" s="16"/>
      <c r="AB417" s="16" t="s">
        <v>1244</v>
      </c>
      <c r="AC417" s="18">
        <v>46006</v>
      </c>
      <c r="AD417" s="18">
        <v>46008</v>
      </c>
      <c r="AE417" s="18">
        <v>46008</v>
      </c>
      <c r="AF417" s="15"/>
      <c r="AG417" s="18"/>
      <c r="AH417" s="15"/>
      <c r="AI417" s="18"/>
      <c r="AJ417" s="72" t="e">
        <f>HYPERLINK(_xlfn.XLOOKUP(B417,[1]Sheet2!A:A,[1]Sheet2!D:D),"link")</f>
        <v>#N/A</v>
      </c>
      <c r="AK417" s="22"/>
      <c r="AL417" s="22"/>
    </row>
    <row r="418" spans="1:38" ht="18" customHeight="1">
      <c r="A418" s="16" t="s">
        <v>1580</v>
      </c>
      <c r="B418" s="13" t="s">
        <v>1189</v>
      </c>
      <c r="C418" s="64" t="s">
        <v>486</v>
      </c>
      <c r="D418" s="14">
        <v>198597</v>
      </c>
      <c r="E418" s="16" t="s">
        <v>1190</v>
      </c>
      <c r="F418" s="16" t="s">
        <v>1581</v>
      </c>
      <c r="G418" s="28">
        <v>0</v>
      </c>
      <c r="H418" s="18">
        <v>45658</v>
      </c>
      <c r="I418" s="24" t="s">
        <v>1582</v>
      </c>
      <c r="J418" s="18">
        <v>45658</v>
      </c>
      <c r="K418" s="18">
        <v>47848</v>
      </c>
      <c r="L418" s="19" t="s">
        <v>95</v>
      </c>
      <c r="M418" s="19" t="s">
        <v>409</v>
      </c>
      <c r="N418" s="13" t="s">
        <v>1192</v>
      </c>
      <c r="O418" s="13" t="s">
        <v>698</v>
      </c>
      <c r="P418" s="13" t="s">
        <v>1224</v>
      </c>
      <c r="Q418" s="16">
        <v>1030242</v>
      </c>
      <c r="R418" s="16"/>
      <c r="S418" s="16"/>
      <c r="T418" s="32" t="s">
        <v>1193</v>
      </c>
      <c r="U418" s="13"/>
      <c r="V418" s="20" t="s">
        <v>923</v>
      </c>
      <c r="W418" s="13" t="s">
        <v>196</v>
      </c>
      <c r="X418" s="13"/>
      <c r="Y418" s="13"/>
      <c r="Z418" s="13"/>
      <c r="AA418" s="16"/>
      <c r="AB418" s="16" t="s">
        <v>1244</v>
      </c>
      <c r="AC418" s="18">
        <v>46006</v>
      </c>
      <c r="AD418" s="18">
        <v>46007</v>
      </c>
      <c r="AE418" s="18"/>
      <c r="AF418" s="15"/>
      <c r="AG418" s="18"/>
      <c r="AH418" s="15"/>
      <c r="AI418" s="18"/>
      <c r="AJ418" s="22"/>
      <c r="AK418" s="22"/>
      <c r="AL418" s="22"/>
    </row>
    <row r="419" spans="1:38" ht="18" customHeight="1">
      <c r="A419" s="16" t="s">
        <v>1583</v>
      </c>
      <c r="B419" s="13" t="s">
        <v>1196</v>
      </c>
      <c r="C419" s="64" t="s">
        <v>486</v>
      </c>
      <c r="D419" s="16" t="s">
        <v>1584</v>
      </c>
      <c r="E419" s="16" t="s">
        <v>1190</v>
      </c>
      <c r="F419" s="16" t="s">
        <v>1581</v>
      </c>
      <c r="G419" s="28">
        <v>1</v>
      </c>
      <c r="H419" s="18">
        <v>45698</v>
      </c>
      <c r="I419" s="24" t="s">
        <v>1585</v>
      </c>
      <c r="J419" s="18">
        <v>45658</v>
      </c>
      <c r="K419" s="18">
        <v>47848</v>
      </c>
      <c r="L419" s="19" t="s">
        <v>95</v>
      </c>
      <c r="M419" s="19" t="s">
        <v>409</v>
      </c>
      <c r="N419" s="13" t="s">
        <v>1198</v>
      </c>
      <c r="O419" s="13" t="s">
        <v>698</v>
      </c>
      <c r="P419" s="13" t="s">
        <v>1224</v>
      </c>
      <c r="Q419" s="16">
        <v>1030242</v>
      </c>
      <c r="R419" s="16"/>
      <c r="S419" s="16"/>
      <c r="T419" s="13" t="s">
        <v>1586</v>
      </c>
      <c r="U419" s="13"/>
      <c r="V419" s="20" t="s">
        <v>923</v>
      </c>
      <c r="W419" s="13" t="s">
        <v>196</v>
      </c>
      <c r="X419" s="13"/>
      <c r="Y419" s="13"/>
      <c r="Z419" s="13"/>
      <c r="AA419" s="16"/>
      <c r="AB419" s="16" t="s">
        <v>1244</v>
      </c>
      <c r="AC419" s="18">
        <v>46006</v>
      </c>
      <c r="AD419" s="18">
        <v>46007</v>
      </c>
      <c r="AE419" s="18"/>
      <c r="AF419" s="15"/>
      <c r="AG419" s="18"/>
      <c r="AH419" s="15"/>
      <c r="AI419" s="18"/>
      <c r="AJ419" s="22"/>
      <c r="AK419" s="22"/>
      <c r="AL419" s="22"/>
    </row>
    <row r="420" spans="1:38" ht="18" customHeight="1">
      <c r="A420" s="16" t="s">
        <v>1587</v>
      </c>
      <c r="B420" s="13" t="s">
        <v>1202</v>
      </c>
      <c r="C420" s="64" t="s">
        <v>486</v>
      </c>
      <c r="D420" s="16" t="s">
        <v>1588</v>
      </c>
      <c r="E420" s="74" t="s">
        <v>1190</v>
      </c>
      <c r="F420" s="16" t="s">
        <v>1581</v>
      </c>
      <c r="G420" s="28">
        <v>3</v>
      </c>
      <c r="H420" s="18">
        <v>45782</v>
      </c>
      <c r="I420" s="24" t="s">
        <v>1585</v>
      </c>
      <c r="J420" s="18">
        <v>45658</v>
      </c>
      <c r="K420" s="18">
        <v>47848</v>
      </c>
      <c r="L420" s="19" t="s">
        <v>95</v>
      </c>
      <c r="M420" s="19" t="s">
        <v>409</v>
      </c>
      <c r="N420" s="13" t="s">
        <v>1198</v>
      </c>
      <c r="O420" s="13" t="s">
        <v>698</v>
      </c>
      <c r="P420" s="13" t="s">
        <v>1224</v>
      </c>
      <c r="Q420" s="16">
        <v>1030242</v>
      </c>
      <c r="R420" s="16"/>
      <c r="S420" s="16"/>
      <c r="T420" s="13" t="s">
        <v>1204</v>
      </c>
      <c r="U420" s="13"/>
      <c r="V420" s="20" t="s">
        <v>923</v>
      </c>
      <c r="W420" s="13" t="s">
        <v>196</v>
      </c>
      <c r="X420" s="13"/>
      <c r="Y420" s="13"/>
      <c r="Z420" s="13"/>
      <c r="AA420" s="16"/>
      <c r="AB420" s="16" t="s">
        <v>1244</v>
      </c>
      <c r="AC420" s="18">
        <v>46006</v>
      </c>
      <c r="AD420" s="18">
        <v>46007</v>
      </c>
      <c r="AE420" s="18"/>
      <c r="AF420" s="15"/>
      <c r="AG420" s="18"/>
      <c r="AH420" s="15"/>
      <c r="AI420" s="18"/>
      <c r="AJ420" s="22"/>
      <c r="AK420" s="22"/>
      <c r="AL420" s="22"/>
    </row>
    <row r="421" spans="1:38" ht="18" customHeight="1">
      <c r="A421" s="16" t="s">
        <v>1589</v>
      </c>
      <c r="B421" s="13" t="s">
        <v>1200</v>
      </c>
      <c r="C421" s="64" t="s">
        <v>486</v>
      </c>
      <c r="D421" s="16" t="s">
        <v>1590</v>
      </c>
      <c r="E421" s="74" t="s">
        <v>1190</v>
      </c>
      <c r="F421" s="16" t="s">
        <v>1581</v>
      </c>
      <c r="G421" s="28">
        <v>2</v>
      </c>
      <c r="H421" s="18">
        <v>45748</v>
      </c>
      <c r="I421" s="24" t="s">
        <v>1585</v>
      </c>
      <c r="J421" s="18">
        <v>45658</v>
      </c>
      <c r="K421" s="18">
        <v>47848</v>
      </c>
      <c r="L421" s="19" t="s">
        <v>95</v>
      </c>
      <c r="M421" s="19" t="s">
        <v>409</v>
      </c>
      <c r="N421" s="13" t="s">
        <v>1198</v>
      </c>
      <c r="O421" s="13" t="s">
        <v>698</v>
      </c>
      <c r="P421" s="13" t="s">
        <v>1224</v>
      </c>
      <c r="Q421" s="16">
        <v>1030242</v>
      </c>
      <c r="R421" s="16"/>
      <c r="S421" s="16"/>
      <c r="T421" s="13" t="s">
        <v>1591</v>
      </c>
      <c r="U421" s="13"/>
      <c r="V421" s="20" t="s">
        <v>923</v>
      </c>
      <c r="W421" s="13" t="s">
        <v>196</v>
      </c>
      <c r="X421" s="13"/>
      <c r="Y421" s="13"/>
      <c r="Z421" s="13"/>
      <c r="AA421" s="16"/>
      <c r="AB421" s="16" t="s">
        <v>1244</v>
      </c>
      <c r="AC421" s="18">
        <v>46006</v>
      </c>
      <c r="AD421" s="18">
        <v>46007</v>
      </c>
      <c r="AE421" s="18"/>
      <c r="AF421" s="15"/>
      <c r="AG421" s="18"/>
      <c r="AH421" s="15"/>
      <c r="AI421" s="18"/>
      <c r="AJ421" s="22"/>
      <c r="AK421" s="22"/>
      <c r="AL421" s="22"/>
    </row>
    <row r="422" spans="1:38" ht="18" customHeight="1">
      <c r="A422" s="16" t="s">
        <v>1592</v>
      </c>
      <c r="B422" s="13" t="s">
        <v>1205</v>
      </c>
      <c r="C422" s="64" t="s">
        <v>486</v>
      </c>
      <c r="D422" s="16" t="s">
        <v>1593</v>
      </c>
      <c r="E422" s="74" t="s">
        <v>1190</v>
      </c>
      <c r="F422" s="16" t="s">
        <v>1581</v>
      </c>
      <c r="G422" s="28">
        <v>4</v>
      </c>
      <c r="H422" s="18">
        <v>45863</v>
      </c>
      <c r="I422" s="24" t="s">
        <v>1585</v>
      </c>
      <c r="J422" s="18">
        <v>45658</v>
      </c>
      <c r="K422" s="18">
        <v>47848</v>
      </c>
      <c r="L422" s="19" t="s">
        <v>95</v>
      </c>
      <c r="M422" s="19" t="s">
        <v>409</v>
      </c>
      <c r="N422" s="13" t="s">
        <v>1198</v>
      </c>
      <c r="O422" s="13" t="s">
        <v>698</v>
      </c>
      <c r="P422" s="13" t="s">
        <v>1224</v>
      </c>
      <c r="Q422" s="16">
        <v>1030242</v>
      </c>
      <c r="R422" s="16"/>
      <c r="S422" s="16"/>
      <c r="T422" s="13" t="s">
        <v>1206</v>
      </c>
      <c r="U422" s="13"/>
      <c r="V422" s="20" t="s">
        <v>923</v>
      </c>
      <c r="W422" s="13" t="s">
        <v>196</v>
      </c>
      <c r="X422" s="13"/>
      <c r="Y422" s="13"/>
      <c r="Z422" s="13"/>
      <c r="AA422" s="16"/>
      <c r="AB422" s="16" t="s">
        <v>1244</v>
      </c>
      <c r="AC422" s="18">
        <v>46006</v>
      </c>
      <c r="AD422" s="18">
        <v>46007</v>
      </c>
      <c r="AE422" s="18"/>
      <c r="AF422" s="15"/>
      <c r="AG422" s="18"/>
      <c r="AH422" s="15"/>
      <c r="AI422" s="18"/>
      <c r="AJ422" s="22"/>
      <c r="AK422" s="22"/>
      <c r="AL422" s="22"/>
    </row>
    <row r="423" spans="1:38" ht="18" customHeight="1">
      <c r="A423" s="16" t="s">
        <v>1594</v>
      </c>
      <c r="B423" s="13" t="s">
        <v>294</v>
      </c>
      <c r="C423" s="64" t="s">
        <v>773</v>
      </c>
      <c r="D423" s="14">
        <v>208920</v>
      </c>
      <c r="E423" s="16"/>
      <c r="F423" s="14">
        <v>656729</v>
      </c>
      <c r="G423" s="28">
        <v>0</v>
      </c>
      <c r="H423" s="18">
        <v>45649</v>
      </c>
      <c r="I423" s="24" t="s">
        <v>1595</v>
      </c>
      <c r="J423" s="18">
        <v>45649</v>
      </c>
      <c r="K423" s="18">
        <v>46743</v>
      </c>
      <c r="L423" s="19" t="s">
        <v>95</v>
      </c>
      <c r="M423" s="19" t="s">
        <v>1596</v>
      </c>
      <c r="N423" s="13" t="s">
        <v>289</v>
      </c>
      <c r="O423" s="13" t="s">
        <v>45</v>
      </c>
      <c r="P423" s="13" t="s">
        <v>46</v>
      </c>
      <c r="Q423" s="33">
        <v>1018471</v>
      </c>
      <c r="R423" s="28" t="s">
        <v>296</v>
      </c>
      <c r="S423" s="16" t="s">
        <v>38</v>
      </c>
      <c r="T423" s="13" t="s">
        <v>297</v>
      </c>
      <c r="U423" s="20" t="s">
        <v>298</v>
      </c>
      <c r="V423" s="20" t="s">
        <v>299</v>
      </c>
      <c r="W423" s="13"/>
      <c r="X423" s="13" t="s">
        <v>300</v>
      </c>
      <c r="Y423" s="13"/>
      <c r="Z423" s="13" t="s">
        <v>1597</v>
      </c>
      <c r="AA423" s="16"/>
      <c r="AB423" s="16" t="s">
        <v>1244</v>
      </c>
      <c r="AC423" s="18">
        <v>46006</v>
      </c>
      <c r="AD423" s="18">
        <v>46007</v>
      </c>
      <c r="AE423" s="18"/>
      <c r="AF423" s="15"/>
      <c r="AG423" s="18"/>
      <c r="AH423" s="15"/>
      <c r="AI423" s="18"/>
      <c r="AJ423" s="22"/>
      <c r="AK423" s="22"/>
      <c r="AL423" s="22"/>
    </row>
    <row r="424" spans="1:38" ht="18" customHeight="1">
      <c r="A424" s="16" t="s">
        <v>1598</v>
      </c>
      <c r="B424" s="13" t="s">
        <v>636</v>
      </c>
      <c r="C424" s="64" t="s">
        <v>773</v>
      </c>
      <c r="D424" s="16">
        <v>197138</v>
      </c>
      <c r="E424" s="16"/>
      <c r="F424" s="16" t="s">
        <v>637</v>
      </c>
      <c r="G424" s="16">
        <v>0</v>
      </c>
      <c r="H424" s="18">
        <v>45658</v>
      </c>
      <c r="I424" s="19" t="s">
        <v>638</v>
      </c>
      <c r="J424" s="18">
        <v>45658</v>
      </c>
      <c r="K424" s="18">
        <v>46752</v>
      </c>
      <c r="L424" s="19" t="s">
        <v>54</v>
      </c>
      <c r="M424" s="19" t="s">
        <v>639</v>
      </c>
      <c r="N424" s="13" t="s">
        <v>640</v>
      </c>
      <c r="O424" s="13" t="s">
        <v>350</v>
      </c>
      <c r="P424" s="13" t="s">
        <v>556</v>
      </c>
      <c r="Q424" s="16">
        <v>1018845</v>
      </c>
      <c r="R424" s="28" t="s">
        <v>641</v>
      </c>
      <c r="S424" s="28" t="s">
        <v>641</v>
      </c>
      <c r="T424" s="13" t="s">
        <v>642</v>
      </c>
      <c r="U424" s="20" t="s">
        <v>643</v>
      </c>
      <c r="V424" s="20" t="s">
        <v>532</v>
      </c>
      <c r="W424" s="13"/>
      <c r="X424" s="20" t="s">
        <v>644</v>
      </c>
      <c r="Y424" s="13" t="s">
        <v>645</v>
      </c>
      <c r="Z424" s="13" t="s">
        <v>1599</v>
      </c>
      <c r="AA424" s="16"/>
      <c r="AB424" s="16" t="s">
        <v>1244</v>
      </c>
      <c r="AC424" s="18">
        <v>46006</v>
      </c>
      <c r="AD424" s="18">
        <v>46008</v>
      </c>
      <c r="AE424" s="18"/>
      <c r="AF424" s="15"/>
      <c r="AG424" s="18"/>
      <c r="AH424" s="15"/>
      <c r="AI424" s="18"/>
      <c r="AJ424" s="22"/>
      <c r="AK424" s="22"/>
      <c r="AL424" s="22"/>
    </row>
    <row r="425" spans="1:38" ht="18" customHeight="1">
      <c r="A425" s="16" t="s">
        <v>1600</v>
      </c>
      <c r="B425" s="13" t="s">
        <v>1601</v>
      </c>
      <c r="C425" s="64" t="s">
        <v>346</v>
      </c>
      <c r="D425" s="16" t="s">
        <v>38</v>
      </c>
      <c r="E425" s="16" t="s">
        <v>38</v>
      </c>
      <c r="F425" s="16">
        <v>514266</v>
      </c>
      <c r="G425" s="28">
        <v>0</v>
      </c>
      <c r="H425" s="18">
        <v>42199</v>
      </c>
      <c r="I425" s="24" t="s">
        <v>1602</v>
      </c>
      <c r="J425" s="18">
        <v>42199</v>
      </c>
      <c r="K425" s="16" t="s">
        <v>38</v>
      </c>
      <c r="L425" s="19" t="s">
        <v>42</v>
      </c>
      <c r="M425" s="19" t="s">
        <v>1603</v>
      </c>
      <c r="N425" s="13" t="s">
        <v>1604</v>
      </c>
      <c r="O425" s="13" t="s">
        <v>1605</v>
      </c>
      <c r="P425" s="13" t="s">
        <v>1606</v>
      </c>
      <c r="Q425" s="75" t="s">
        <v>1607</v>
      </c>
      <c r="R425" s="16" t="s">
        <v>1607</v>
      </c>
      <c r="S425" s="16" t="s">
        <v>1607</v>
      </c>
      <c r="T425" s="13" t="s">
        <v>1608</v>
      </c>
      <c r="U425" s="13" t="s">
        <v>1609</v>
      </c>
      <c r="V425" s="20" t="s">
        <v>1610</v>
      </c>
      <c r="W425" s="13" t="s">
        <v>38</v>
      </c>
      <c r="X425" s="13" t="s">
        <v>1276</v>
      </c>
      <c r="Y425" s="20" t="s">
        <v>1611</v>
      </c>
      <c r="Z425" s="13"/>
      <c r="AA425" s="16"/>
      <c r="AB425" s="16" t="str">
        <f t="shared" ref="AB425:AB429" si="4">IF(NOT(ISBLANK(AD425)),IF(NOT(ISBLANK(AE425)),IF(NOT(ISBLANK(AG425)),IF(NOT(ISBLANK(AI425)),"Completed","For Final Review"),"For Peer Check"),"In Progress"),"Not Started")</f>
        <v>Completed</v>
      </c>
      <c r="AC425" s="18">
        <v>46006</v>
      </c>
      <c r="AD425" s="18">
        <v>46008</v>
      </c>
      <c r="AE425" s="18">
        <v>46008</v>
      </c>
      <c r="AF425" s="15" t="s">
        <v>37</v>
      </c>
      <c r="AG425" s="18">
        <v>46010</v>
      </c>
      <c r="AH425" s="15" t="s">
        <v>486</v>
      </c>
      <c r="AI425" s="18">
        <v>46014</v>
      </c>
      <c r="AJ425" s="72" t="e">
        <f>HYPERLINK(_xlfn.CONCAT("https://jnj.sharepoint.com/:b:/r/teams/ContractIQ/Shared%20Documents/General/2025/Metadata-Contracts/Ind%20Ship_To%20UCN/Raw%20Contracts/",AK425),"link")</f>
        <v>#N/A</v>
      </c>
      <c r="AK425" s="22" t="e">
        <f>_xlfn.XLOOKUP(B425,[1]Sheet2!A:A,[1]Sheet2!B:B)</f>
        <v>#N/A</v>
      </c>
      <c r="AL425" s="22"/>
    </row>
    <row r="426" spans="1:38" ht="18" customHeight="1">
      <c r="A426" s="16" t="s">
        <v>1612</v>
      </c>
      <c r="B426" s="13" t="s">
        <v>1613</v>
      </c>
      <c r="C426" s="64" t="s">
        <v>346</v>
      </c>
      <c r="D426" s="16" t="s">
        <v>38</v>
      </c>
      <c r="E426" s="16" t="s">
        <v>38</v>
      </c>
      <c r="F426" s="16">
        <v>514266</v>
      </c>
      <c r="G426" s="28">
        <v>1</v>
      </c>
      <c r="H426" s="18">
        <v>44109</v>
      </c>
      <c r="I426" s="24" t="s">
        <v>1614</v>
      </c>
      <c r="J426" s="18">
        <v>42199</v>
      </c>
      <c r="K426" s="16" t="s">
        <v>38</v>
      </c>
      <c r="L426" s="19" t="s">
        <v>42</v>
      </c>
      <c r="M426" s="19" t="s">
        <v>1603</v>
      </c>
      <c r="N426" s="13" t="s">
        <v>1615</v>
      </c>
      <c r="O426" s="13" t="s">
        <v>1605</v>
      </c>
      <c r="P426" s="13" t="s">
        <v>1606</v>
      </c>
      <c r="Q426" s="75" t="s">
        <v>1607</v>
      </c>
      <c r="R426" s="16" t="s">
        <v>1607</v>
      </c>
      <c r="S426" s="16" t="s">
        <v>1607</v>
      </c>
      <c r="T426" s="13" t="s">
        <v>1616</v>
      </c>
      <c r="U426" s="13" t="s">
        <v>1609</v>
      </c>
      <c r="V426" s="20" t="s">
        <v>1610</v>
      </c>
      <c r="W426" s="13" t="s">
        <v>38</v>
      </c>
      <c r="X426" s="13" t="s">
        <v>1276</v>
      </c>
      <c r="Y426" s="20" t="s">
        <v>1611</v>
      </c>
      <c r="Z426" s="13"/>
      <c r="AA426" s="16"/>
      <c r="AB426" s="16" t="str">
        <f t="shared" si="4"/>
        <v>Completed</v>
      </c>
      <c r="AC426" s="18">
        <v>46006</v>
      </c>
      <c r="AD426" s="18">
        <v>46008</v>
      </c>
      <c r="AE426" s="18">
        <v>46008</v>
      </c>
      <c r="AF426" s="15" t="s">
        <v>37</v>
      </c>
      <c r="AG426" s="18">
        <v>46010</v>
      </c>
      <c r="AH426" s="15" t="s">
        <v>486</v>
      </c>
      <c r="AI426" s="18">
        <v>46014</v>
      </c>
      <c r="AJ426" s="72" t="e">
        <f>HYPERLINK(_xlfn.CONCAT("https://jnj.sharepoint.com/:b:/r/teams/ContractIQ/Shared%20Documents/General/2025/Metadata-Contracts/Ind%20Ship_To%20UCN/Raw%20Contracts/",AK426),"link")</f>
        <v>#N/A</v>
      </c>
      <c r="AK426" s="22" t="e">
        <f>_xlfn.XLOOKUP(B426,[1]Sheet2!A:A,[1]Sheet2!B:B)</f>
        <v>#N/A</v>
      </c>
      <c r="AL426" s="22"/>
    </row>
    <row r="427" spans="1:38" ht="18" customHeight="1">
      <c r="A427" s="16" t="s">
        <v>1617</v>
      </c>
      <c r="B427" s="13" t="s">
        <v>1618</v>
      </c>
      <c r="C427" s="64" t="s">
        <v>773</v>
      </c>
      <c r="D427" s="16" t="s">
        <v>38</v>
      </c>
      <c r="E427" s="16" t="s">
        <v>38</v>
      </c>
      <c r="F427" s="16" t="s">
        <v>38</v>
      </c>
      <c r="G427" s="28">
        <v>0</v>
      </c>
      <c r="H427" s="18">
        <v>43762</v>
      </c>
      <c r="I427" s="24" t="s">
        <v>1619</v>
      </c>
      <c r="J427" s="18">
        <v>43762</v>
      </c>
      <c r="K427" s="18" t="s">
        <v>38</v>
      </c>
      <c r="L427" s="19" t="s">
        <v>95</v>
      </c>
      <c r="M427" s="19" t="s">
        <v>96</v>
      </c>
      <c r="N427" s="13" t="s">
        <v>1620</v>
      </c>
      <c r="O427" s="13" t="s">
        <v>1621</v>
      </c>
      <c r="P427" s="13" t="s">
        <v>38</v>
      </c>
      <c r="Q427" s="16">
        <v>11718</v>
      </c>
      <c r="R427" s="16">
        <v>11718</v>
      </c>
      <c r="S427" s="16">
        <v>11718</v>
      </c>
      <c r="T427" s="13" t="s">
        <v>38</v>
      </c>
      <c r="U427" s="13" t="s">
        <v>38</v>
      </c>
      <c r="V427" s="20" t="s">
        <v>1622</v>
      </c>
      <c r="W427" s="13"/>
      <c r="X427" s="13" t="s">
        <v>1276</v>
      </c>
      <c r="Y427" s="13"/>
      <c r="Z427" s="13"/>
      <c r="AA427" s="24" t="s">
        <v>1623</v>
      </c>
      <c r="AB427" s="16" t="str">
        <f>IF(NOT(ISBLANK(AD427)),IF(NOT(ISBLANK(AE427)),IF(NOT(ISBLANK(AG427)),IF(NOT(ISBLANK(AI427)),"Completed","For Final Review"),"For Peer Check"),"In Progress"),"Not Started")</f>
        <v>Completed</v>
      </c>
      <c r="AC427" s="18">
        <v>46006</v>
      </c>
      <c r="AD427" s="18">
        <v>46008</v>
      </c>
      <c r="AE427" s="18">
        <v>46009</v>
      </c>
      <c r="AF427" s="15" t="s">
        <v>856</v>
      </c>
      <c r="AG427" s="18">
        <v>46010</v>
      </c>
      <c r="AH427" s="15" t="s">
        <v>856</v>
      </c>
      <c r="AI427" s="18">
        <v>46010</v>
      </c>
      <c r="AJ427" s="72" t="str">
        <f>HYPERLINK(_xlfn.CONCAT("https://jnj.sharepoint.com/:b:/r/teams/ContractIQ/Shared%20Documents/General/2025/Metadata-Contracts/Ind%20Ship_To%20UCN/Raw%20Contracts/",AK427),"link")</f>
        <v>link</v>
      </c>
      <c r="AK427" s="67" t="s">
        <v>1624</v>
      </c>
      <c r="AL427" s="22"/>
    </row>
    <row r="428" spans="1:38" ht="18" customHeight="1">
      <c r="A428" s="16" t="s">
        <v>1625</v>
      </c>
      <c r="B428" s="13" t="s">
        <v>1626</v>
      </c>
      <c r="C428" s="64" t="s">
        <v>346</v>
      </c>
      <c r="D428" s="16" t="s">
        <v>38</v>
      </c>
      <c r="E428" s="16" t="s">
        <v>38</v>
      </c>
      <c r="F428" s="16" t="s">
        <v>38</v>
      </c>
      <c r="G428" s="28">
        <v>0</v>
      </c>
      <c r="H428" s="18">
        <v>43754</v>
      </c>
      <c r="I428" s="19" t="s">
        <v>1627</v>
      </c>
      <c r="J428" s="18">
        <v>43754</v>
      </c>
      <c r="K428" s="18" t="s">
        <v>38</v>
      </c>
      <c r="L428" s="19" t="s">
        <v>95</v>
      </c>
      <c r="M428" s="19" t="s">
        <v>96</v>
      </c>
      <c r="N428" s="13" t="s">
        <v>1620</v>
      </c>
      <c r="O428" s="13" t="s">
        <v>1621</v>
      </c>
      <c r="P428" s="13" t="s">
        <v>38</v>
      </c>
      <c r="Q428" s="75" t="s">
        <v>1628</v>
      </c>
      <c r="R428" s="16" t="s">
        <v>1628</v>
      </c>
      <c r="S428" s="16" t="s">
        <v>1628</v>
      </c>
      <c r="T428" s="13" t="s">
        <v>1626</v>
      </c>
      <c r="U428" s="13" t="s">
        <v>1629</v>
      </c>
      <c r="V428" s="13" t="s">
        <v>1622</v>
      </c>
      <c r="W428" s="20" t="s">
        <v>1630</v>
      </c>
      <c r="X428" s="13" t="s">
        <v>1276</v>
      </c>
      <c r="Y428" s="13" t="s">
        <v>1631</v>
      </c>
      <c r="Z428" s="76" t="s">
        <v>1632</v>
      </c>
      <c r="AA428" s="77" t="s">
        <v>1633</v>
      </c>
      <c r="AB428" s="16" t="str">
        <f>IF(NOT(ISBLANK(AD428)),IF(NOT(ISBLANK(AE428)),IF(NOT(ISBLANK(AG428)),IF(NOT(ISBLANK(AI428)),"Completed","For Final Review"),"For Peer Check"),"In Progress"),"Not Started")</f>
        <v>Completed</v>
      </c>
      <c r="AC428" s="18">
        <v>46006</v>
      </c>
      <c r="AD428" s="18">
        <v>46008</v>
      </c>
      <c r="AE428" s="18">
        <v>46008</v>
      </c>
      <c r="AF428" s="15" t="s">
        <v>37</v>
      </c>
      <c r="AG428" s="18">
        <v>46010</v>
      </c>
      <c r="AH428" s="15" t="s">
        <v>486</v>
      </c>
      <c r="AI428" s="18">
        <v>46014</v>
      </c>
      <c r="AJ428" s="72" t="e">
        <f>HYPERLINK(_xlfn.CONCAT("https://jnj.sharepoint.com/:b:/r/teams/ContractIQ/Shared%20Documents/General/2025/Metadata-Contracts/Ind%20Ship_To%20UCN/Raw%20Contracts/",AK428),"link")</f>
        <v>#N/A</v>
      </c>
      <c r="AK428" s="22" t="e">
        <f>_xlfn.XLOOKUP(B428,[1]Sheet2!A:A,[1]Sheet2!B:B)</f>
        <v>#N/A</v>
      </c>
      <c r="AL428" s="22"/>
    </row>
    <row r="429" spans="1:38" ht="18" customHeight="1">
      <c r="A429" s="16" t="s">
        <v>1625</v>
      </c>
      <c r="B429" s="13" t="s">
        <v>1634</v>
      </c>
      <c r="C429" s="64" t="s">
        <v>773</v>
      </c>
      <c r="D429" s="16" t="s">
        <v>38</v>
      </c>
      <c r="E429" s="16" t="s">
        <v>38</v>
      </c>
      <c r="F429" s="16" t="s">
        <v>38</v>
      </c>
      <c r="G429" s="28">
        <v>0</v>
      </c>
      <c r="H429" s="18">
        <v>44136</v>
      </c>
      <c r="I429" s="19" t="s">
        <v>1635</v>
      </c>
      <c r="J429" s="18">
        <v>44136</v>
      </c>
      <c r="K429" s="18">
        <v>45961</v>
      </c>
      <c r="L429" s="19" t="s">
        <v>54</v>
      </c>
      <c r="M429" s="19" t="s">
        <v>639</v>
      </c>
      <c r="N429" s="13" t="s">
        <v>1636</v>
      </c>
      <c r="O429" s="13" t="s">
        <v>1605</v>
      </c>
      <c r="P429" s="13" t="s">
        <v>1637</v>
      </c>
      <c r="Q429" s="16">
        <v>6816</v>
      </c>
      <c r="R429" s="16">
        <v>6816</v>
      </c>
      <c r="S429" s="16" t="s">
        <v>38</v>
      </c>
      <c r="T429" s="13" t="s">
        <v>38</v>
      </c>
      <c r="U429" s="13" t="s">
        <v>38</v>
      </c>
      <c r="V429" s="20" t="s">
        <v>292</v>
      </c>
      <c r="W429" s="13"/>
      <c r="X429" s="13" t="s">
        <v>38</v>
      </c>
      <c r="Y429" s="13" t="s">
        <v>38</v>
      </c>
      <c r="Z429" s="13"/>
      <c r="AA429" s="16"/>
      <c r="AB429" s="16" t="str">
        <f>IF(NOT(ISBLANK(AD429)),IF(NOT(ISBLANK(AE429)),IF(NOT(ISBLANK(AG429)),IF(NOT(ISBLANK(AI429)),"Completed","For Final Review"),"For Peer Check"),"In Progress"),"Not Started")</f>
        <v>Completed</v>
      </c>
      <c r="AC429" s="18">
        <v>46006</v>
      </c>
      <c r="AD429" s="18">
        <v>46008</v>
      </c>
      <c r="AE429" s="18">
        <v>46009</v>
      </c>
      <c r="AF429" s="15" t="s">
        <v>856</v>
      </c>
      <c r="AG429" s="18">
        <v>46010</v>
      </c>
      <c r="AH429" s="15" t="s">
        <v>856</v>
      </c>
      <c r="AI429" s="18">
        <v>46010</v>
      </c>
      <c r="AJ429" s="72" t="e">
        <f>HYPERLINK(_xlfn.CONCAT("https://jnj.sharepoint.com/:b:/r/teams/ContractIQ/Shared%20Documents/General/2025/Metadata-Contracts/Ind%20Ship_To%20UCN/Raw%20Contracts/",AK429),"link")</f>
        <v>#N/A</v>
      </c>
      <c r="AK429" s="22" t="e">
        <f>_xlfn.XLOOKUP(B429,[1]Sheet2!A:A,[1]Sheet2!B:B)</f>
        <v>#N/A</v>
      </c>
      <c r="AL429" s="22"/>
    </row>
    <row r="430" spans="1:38" ht="18" customHeight="1">
      <c r="A430" s="16" t="s">
        <v>1638</v>
      </c>
      <c r="B430" s="13" t="s">
        <v>1639</v>
      </c>
      <c r="C430" s="64" t="s">
        <v>346</v>
      </c>
      <c r="D430" s="16" t="s">
        <v>38</v>
      </c>
      <c r="E430" s="16" t="s">
        <v>38</v>
      </c>
      <c r="F430" s="16" t="s">
        <v>1640</v>
      </c>
      <c r="G430" s="28">
        <v>0</v>
      </c>
      <c r="H430" s="18">
        <v>44099</v>
      </c>
      <c r="I430" s="24" t="s">
        <v>1641</v>
      </c>
      <c r="J430" s="18">
        <v>44099</v>
      </c>
      <c r="K430" s="78">
        <v>44138</v>
      </c>
      <c r="L430" s="79" t="s">
        <v>54</v>
      </c>
      <c r="M430" s="19" t="s">
        <v>1642</v>
      </c>
      <c r="N430" s="13" t="s">
        <v>1641</v>
      </c>
      <c r="O430" s="13" t="s">
        <v>1643</v>
      </c>
      <c r="P430" s="13" t="s">
        <v>1644</v>
      </c>
      <c r="Q430" s="80" t="s">
        <v>1645</v>
      </c>
      <c r="R430" s="16" t="s">
        <v>1645</v>
      </c>
      <c r="S430" s="16" t="s">
        <v>38</v>
      </c>
      <c r="T430" s="13" t="s">
        <v>1646</v>
      </c>
      <c r="U430" s="13" t="s">
        <v>1647</v>
      </c>
      <c r="V430" s="20" t="s">
        <v>1648</v>
      </c>
      <c r="W430" s="13"/>
      <c r="X430" s="13" t="s">
        <v>1276</v>
      </c>
      <c r="Y430" s="13" t="s">
        <v>38</v>
      </c>
      <c r="Z430" s="13"/>
      <c r="AA430" s="81" t="s">
        <v>1649</v>
      </c>
      <c r="AB430" s="16" t="str">
        <f>IF(NOT(ISBLANK(AD430)),IF(NOT(ISBLANK(AE430)),IF(NOT(ISBLANK(AG430)),IF(NOT(ISBLANK(AI430)),"Completed","For Final Review"),"For Peer Check"),"In Progress"),"Not Started")</f>
        <v>Completed</v>
      </c>
      <c r="AC430" s="18">
        <v>46006</v>
      </c>
      <c r="AD430" s="18">
        <v>46008</v>
      </c>
      <c r="AE430" s="18">
        <v>46008</v>
      </c>
      <c r="AF430" s="15" t="s">
        <v>37</v>
      </c>
      <c r="AG430" s="18">
        <v>46010</v>
      </c>
      <c r="AH430" s="15" t="s">
        <v>486</v>
      </c>
      <c r="AI430" s="18">
        <v>46014</v>
      </c>
      <c r="AJ430" s="72" t="e">
        <f>HYPERLINK(_xlfn.CONCAT("https://jnj.sharepoint.com/:b:/r/teams/ContractIQ/Shared%20Documents/General/2025/Metadata-Contracts/Ind%20Ship_To%20UCN/Raw%20Contracts/",AK430),"link")</f>
        <v>#N/A</v>
      </c>
      <c r="AK430" s="22" t="e">
        <f>_xlfn.XLOOKUP(B430,[1]Sheet2!A:A,[1]Sheet2!B:B)</f>
        <v>#N/A</v>
      </c>
      <c r="AL430" s="22"/>
    </row>
    <row r="431" spans="1:38" ht="18" customHeight="1">
      <c r="A431" s="16" t="s">
        <v>1650</v>
      </c>
      <c r="B431" s="13" t="s">
        <v>1651</v>
      </c>
      <c r="C431" s="64" t="s">
        <v>773</v>
      </c>
      <c r="D431" s="16" t="s">
        <v>1652</v>
      </c>
      <c r="E431" s="16" t="s">
        <v>38</v>
      </c>
      <c r="F431" s="16" t="s">
        <v>38</v>
      </c>
      <c r="G431" s="28">
        <v>0</v>
      </c>
      <c r="H431" s="18">
        <v>44846</v>
      </c>
      <c r="I431" s="24" t="s">
        <v>1653</v>
      </c>
      <c r="J431" s="18">
        <v>44846</v>
      </c>
      <c r="K431" s="18">
        <v>45941</v>
      </c>
      <c r="L431" s="19" t="s">
        <v>95</v>
      </c>
      <c r="M431" s="19" t="s">
        <v>1654</v>
      </c>
      <c r="N431" s="13" t="s">
        <v>1636</v>
      </c>
      <c r="O431" s="13" t="s">
        <v>1655</v>
      </c>
      <c r="P431" s="13" t="s">
        <v>1656</v>
      </c>
      <c r="Q431" s="16">
        <v>9887</v>
      </c>
      <c r="R431" s="16">
        <v>9887</v>
      </c>
      <c r="S431" s="16">
        <v>9887</v>
      </c>
      <c r="T431" s="13" t="s">
        <v>1657</v>
      </c>
      <c r="U431" s="13" t="s">
        <v>38</v>
      </c>
      <c r="V431" s="20" t="s">
        <v>1610</v>
      </c>
      <c r="W431" s="13"/>
      <c r="X431" s="13" t="s">
        <v>1276</v>
      </c>
      <c r="Y431" s="20" t="s">
        <v>1658</v>
      </c>
      <c r="Z431" s="13"/>
      <c r="AA431" s="16" t="s">
        <v>1659</v>
      </c>
      <c r="AB431" s="16" t="str">
        <f>IF(NOT(ISBLANK(AD431)),IF(NOT(ISBLANK(AE431)),IF(NOT(ISBLANK(AG431)),IF(NOT(ISBLANK(AI431)),"Completed","For Final Review"),"For Peer Check"),"In Progress"),"Not Started")</f>
        <v>Completed</v>
      </c>
      <c r="AC431" s="18">
        <v>46006</v>
      </c>
      <c r="AD431" s="18">
        <v>46008</v>
      </c>
      <c r="AE431" s="18">
        <v>46008</v>
      </c>
      <c r="AF431" s="15" t="s">
        <v>856</v>
      </c>
      <c r="AG431" s="18">
        <v>46010</v>
      </c>
      <c r="AH431" s="15" t="s">
        <v>856</v>
      </c>
      <c r="AI431" s="18">
        <v>46010</v>
      </c>
      <c r="AJ431" s="72" t="str">
        <f>HYPERLINK(_xlfn.CONCAT("https://jnj.sharepoint.com/:b:/r/teams/ContractIQ/Shared%20Documents/General/2025/Metadata-Contracts/Ind%20Ship_To%20UCN/Raw%20Contracts/",AK431),"link")</f>
        <v>link</v>
      </c>
      <c r="AK431" s="67" t="s">
        <v>1660</v>
      </c>
      <c r="AL431" s="22"/>
    </row>
    <row r="432" spans="1:38" ht="18" customHeight="1">
      <c r="A432" s="16" t="s">
        <v>1661</v>
      </c>
      <c r="B432" s="13" t="s">
        <v>1662</v>
      </c>
      <c r="C432" s="64" t="s">
        <v>346</v>
      </c>
      <c r="D432" s="16" t="s">
        <v>38</v>
      </c>
      <c r="E432" s="16" t="s">
        <v>38</v>
      </c>
      <c r="F432" s="16" t="s">
        <v>38</v>
      </c>
      <c r="G432" s="28">
        <v>0</v>
      </c>
      <c r="H432" s="18">
        <v>45017</v>
      </c>
      <c r="I432" s="19" t="s">
        <v>1663</v>
      </c>
      <c r="J432" s="18">
        <v>45017</v>
      </c>
      <c r="K432" s="18">
        <v>46112</v>
      </c>
      <c r="L432" s="19" t="s">
        <v>1664</v>
      </c>
      <c r="M432" s="19" t="s">
        <v>1665</v>
      </c>
      <c r="N432" s="13" t="s">
        <v>1666</v>
      </c>
      <c r="O432" s="13" t="s">
        <v>1667</v>
      </c>
      <c r="P432" s="13" t="s">
        <v>46</v>
      </c>
      <c r="Q432" s="75" t="s">
        <v>48</v>
      </c>
      <c r="R432" s="16" t="s">
        <v>48</v>
      </c>
      <c r="S432" s="16" t="s">
        <v>48</v>
      </c>
      <c r="T432" s="13" t="s">
        <v>1662</v>
      </c>
      <c r="U432" s="13" t="s">
        <v>49</v>
      </c>
      <c r="V432" s="13" t="s">
        <v>1668</v>
      </c>
      <c r="W432" s="13"/>
      <c r="X432" s="13" t="s">
        <v>1669</v>
      </c>
      <c r="Y432" s="13" t="s">
        <v>1670</v>
      </c>
      <c r="Z432" s="13"/>
      <c r="AA432" s="28" t="s">
        <v>1671</v>
      </c>
      <c r="AB432" s="16" t="str">
        <f>IF(NOT(ISBLANK(AD432)),IF(NOT(ISBLANK(AE432)),IF(NOT(ISBLANK(AG432)),IF(NOT(ISBLANK(AI432)),"Completed","For Final Review"),"For Peer Check"),"In Progress"),"Not Started")</f>
        <v>Completed</v>
      </c>
      <c r="AC432" s="18">
        <v>46006</v>
      </c>
      <c r="AD432" s="18">
        <v>46008</v>
      </c>
      <c r="AE432" s="18">
        <v>46008</v>
      </c>
      <c r="AF432" s="15" t="s">
        <v>37</v>
      </c>
      <c r="AG432" s="18">
        <v>46010</v>
      </c>
      <c r="AH432" s="15" t="s">
        <v>486</v>
      </c>
      <c r="AI432" s="18">
        <v>46013</v>
      </c>
      <c r="AJ432" s="72" t="e">
        <f>HYPERLINK(_xlfn.CONCAT("https://jnj.sharepoint.com/:b:/r/teams/ContractIQ/Shared%20Documents/General/2025/Metadata-Contracts/Ind%20Ship_To%20UCN/Raw%20Contracts/",AK432),"link")</f>
        <v>#N/A</v>
      </c>
      <c r="AK432" s="22" t="e">
        <f>_xlfn.XLOOKUP(B432,[1]Sheet2!A:A,[1]Sheet2!B:B)</f>
        <v>#N/A</v>
      </c>
      <c r="AL432" s="22"/>
    </row>
    <row r="433" spans="1:38" ht="18" customHeight="1">
      <c r="A433" s="16" t="s">
        <v>1672</v>
      </c>
      <c r="B433" s="13" t="s">
        <v>1673</v>
      </c>
      <c r="C433" s="64" t="s">
        <v>346</v>
      </c>
      <c r="D433" s="16" t="s">
        <v>38</v>
      </c>
      <c r="E433" s="16" t="s">
        <v>38</v>
      </c>
      <c r="F433" s="16" t="s">
        <v>38</v>
      </c>
      <c r="G433" s="28">
        <v>1</v>
      </c>
      <c r="H433" s="18">
        <v>45230</v>
      </c>
      <c r="I433" t="s">
        <v>1674</v>
      </c>
      <c r="J433" s="18">
        <v>45017</v>
      </c>
      <c r="K433" s="18">
        <v>46112</v>
      </c>
      <c r="L433" s="19" t="s">
        <v>1664</v>
      </c>
      <c r="M433" s="19" t="s">
        <v>1665</v>
      </c>
      <c r="N433" s="13" t="s">
        <v>1666</v>
      </c>
      <c r="O433" s="13" t="s">
        <v>1667</v>
      </c>
      <c r="P433" s="13" t="s">
        <v>46</v>
      </c>
      <c r="Q433" s="75" t="s">
        <v>48</v>
      </c>
      <c r="R433" s="16" t="s">
        <v>48</v>
      </c>
      <c r="S433" s="16" t="s">
        <v>48</v>
      </c>
      <c r="T433" s="13" t="s">
        <v>1662</v>
      </c>
      <c r="U433" s="13" t="s">
        <v>49</v>
      </c>
      <c r="V433" s="13" t="s">
        <v>1668</v>
      </c>
      <c r="W433" s="13"/>
      <c r="X433" s="13" t="s">
        <v>1669</v>
      </c>
      <c r="Y433" s="13" t="s">
        <v>1670</v>
      </c>
      <c r="Z433" s="13"/>
      <c r="AA433" s="28" t="s">
        <v>1671</v>
      </c>
      <c r="AB433" s="16" t="str">
        <f>IF(NOT(ISBLANK(AD433)),IF(NOT(ISBLANK(AE433)),IF(NOT(ISBLANK(AG433)),IF(NOT(ISBLANK(AI433)),"Completed","For Final Review"),"For Peer Check"),"In Progress"),"Not Started")</f>
        <v>Completed</v>
      </c>
      <c r="AC433" s="18">
        <v>46006</v>
      </c>
      <c r="AD433" s="18">
        <v>46008</v>
      </c>
      <c r="AE433" s="18">
        <v>46008</v>
      </c>
      <c r="AF433" s="15" t="s">
        <v>37</v>
      </c>
      <c r="AG433" s="18">
        <v>46010</v>
      </c>
      <c r="AH433" s="15" t="s">
        <v>486</v>
      </c>
      <c r="AI433" s="18">
        <v>46014</v>
      </c>
      <c r="AJ433" s="72" t="e">
        <f>HYPERLINK(_xlfn.CONCAT("https://jnj.sharepoint.com/:b:/r/teams/ContractIQ/Shared%20Documents/General/2025/Metadata-Contracts/Ind%20Ship_To%20UCN/Raw%20Contracts/",AK433),"link")</f>
        <v>#N/A</v>
      </c>
      <c r="AK433" s="22" t="e">
        <f>_xlfn.XLOOKUP(B433,[1]Sheet2!A:A,[1]Sheet2!B:B)</f>
        <v>#N/A</v>
      </c>
      <c r="AL433" s="22"/>
    </row>
    <row r="434" spans="1:38" ht="18" customHeight="1">
      <c r="A434" s="16" t="s">
        <v>1675</v>
      </c>
      <c r="B434" s="13" t="s">
        <v>1676</v>
      </c>
      <c r="C434" s="64" t="s">
        <v>773</v>
      </c>
      <c r="D434" s="16">
        <v>170812</v>
      </c>
      <c r="E434" s="16" t="s">
        <v>38</v>
      </c>
      <c r="F434" s="16">
        <v>644134</v>
      </c>
      <c r="G434" s="28">
        <v>1</v>
      </c>
      <c r="H434" s="18">
        <v>45238</v>
      </c>
      <c r="I434" s="24" t="s">
        <v>1677</v>
      </c>
      <c r="J434" s="18">
        <v>45238</v>
      </c>
      <c r="K434" s="18">
        <v>45968</v>
      </c>
      <c r="L434" s="19" t="s">
        <v>95</v>
      </c>
      <c r="M434" s="19" t="s">
        <v>1678</v>
      </c>
      <c r="N434" s="13" t="s">
        <v>1679</v>
      </c>
      <c r="O434" s="13" t="s">
        <v>1680</v>
      </c>
      <c r="P434" s="13" t="s">
        <v>38</v>
      </c>
      <c r="Q434" s="16">
        <v>6781</v>
      </c>
      <c r="R434" s="16">
        <v>6781</v>
      </c>
      <c r="S434" s="16">
        <v>6781</v>
      </c>
      <c r="T434" s="13" t="s">
        <v>1681</v>
      </c>
      <c r="U434" s="13" t="s">
        <v>38</v>
      </c>
      <c r="V434" s="20" t="s">
        <v>299</v>
      </c>
      <c r="W434" s="13"/>
      <c r="X434" s="82" t="s">
        <v>1276</v>
      </c>
      <c r="Y434" s="13"/>
      <c r="Z434" s="13"/>
      <c r="AA434" s="16"/>
      <c r="AB434" s="16" t="str">
        <f>IF(NOT(ISBLANK(AD434)),IF(NOT(ISBLANK(AE434)),IF(NOT(ISBLANK(AG434)),IF(NOT(ISBLANK(AI434)),"Completed","For Final Review"),"For Peer Check"),"In Progress"),"Not Started")</f>
        <v>Completed</v>
      </c>
      <c r="AC434" s="18">
        <v>46006</v>
      </c>
      <c r="AD434" s="18">
        <v>46009</v>
      </c>
      <c r="AE434" s="18">
        <v>46009</v>
      </c>
      <c r="AF434" s="15" t="s">
        <v>856</v>
      </c>
      <c r="AG434" s="18">
        <v>46010</v>
      </c>
      <c r="AH434" s="15" t="s">
        <v>856</v>
      </c>
      <c r="AI434" s="18">
        <v>46010</v>
      </c>
      <c r="AJ434" s="72" t="str">
        <f>HYPERLINK(_xlfn.CONCAT("https://jnj.sharepoint.com/:b:/r/teams/ContractIQ/Shared%20Documents/General/2025/Metadata-Contracts/Ind%20Ship_To%20UCN/Raw%20Contracts/",AK434),"link")</f>
        <v>link</v>
      </c>
      <c r="AK434" s="67" t="s">
        <v>1682</v>
      </c>
      <c r="AL434" s="22"/>
    </row>
    <row r="435" spans="1:38" ht="18" customHeight="1">
      <c r="A435" s="16" t="s">
        <v>1683</v>
      </c>
      <c r="B435" s="13" t="s">
        <v>1684</v>
      </c>
      <c r="C435" s="64" t="s">
        <v>773</v>
      </c>
      <c r="D435" s="16">
        <v>202364</v>
      </c>
      <c r="E435" s="16" t="s">
        <v>38</v>
      </c>
      <c r="F435" s="16">
        <v>653979</v>
      </c>
      <c r="G435" s="28">
        <v>0</v>
      </c>
      <c r="H435" s="18">
        <v>45565</v>
      </c>
      <c r="I435" s="24" t="s">
        <v>1595</v>
      </c>
      <c r="J435" s="18">
        <v>45565</v>
      </c>
      <c r="K435" s="18">
        <v>46294</v>
      </c>
      <c r="L435" s="19" t="s">
        <v>95</v>
      </c>
      <c r="M435" s="19" t="s">
        <v>718</v>
      </c>
      <c r="N435" s="13" t="s">
        <v>289</v>
      </c>
      <c r="O435" s="13" t="s">
        <v>1685</v>
      </c>
      <c r="P435" s="13" t="s">
        <v>38</v>
      </c>
      <c r="Q435" s="16">
        <v>12164</v>
      </c>
      <c r="R435" s="16">
        <v>12164</v>
      </c>
      <c r="S435" s="16">
        <v>12164</v>
      </c>
      <c r="T435" s="13" t="s">
        <v>1686</v>
      </c>
      <c r="U435" s="13" t="s">
        <v>38</v>
      </c>
      <c r="V435" s="20" t="s">
        <v>671</v>
      </c>
      <c r="W435" s="13"/>
      <c r="X435" s="13" t="s">
        <v>1276</v>
      </c>
      <c r="Y435" s="13"/>
      <c r="Z435" s="13"/>
      <c r="AA435" s="16"/>
      <c r="AB435" s="16" t="str">
        <f>IF(NOT(ISBLANK(AD435)),IF(NOT(ISBLANK(AE435)),IF(NOT(ISBLANK(AG435)),IF(NOT(ISBLANK(AI435)),"Completed","For Final Review"),"For Peer Check"),"In Progress"),"Not Started")</f>
        <v>Completed</v>
      </c>
      <c r="AC435" s="18">
        <v>46006</v>
      </c>
      <c r="AD435" s="18">
        <v>46008</v>
      </c>
      <c r="AE435" s="18">
        <v>46009</v>
      </c>
      <c r="AF435" s="15" t="s">
        <v>856</v>
      </c>
      <c r="AG435" s="18">
        <v>46010</v>
      </c>
      <c r="AH435" s="15" t="s">
        <v>856</v>
      </c>
      <c r="AI435" s="18">
        <v>46010</v>
      </c>
      <c r="AJ435" s="72" t="str">
        <f>HYPERLINK(_xlfn.CONCAT("https://jnj.sharepoint.com/:b:/r/teams/ContractIQ/Shared%20Documents/General/2025/Metadata-Contracts/Ind%20Ship_To%20UCN/Raw%20Contracts/",AK435),"link")</f>
        <v>link</v>
      </c>
      <c r="AK435" s="67" t="s">
        <v>1687</v>
      </c>
      <c r="AL435" s="22"/>
    </row>
    <row r="436" spans="1:38" ht="18" customHeight="1">
      <c r="A436" s="16" t="s">
        <v>1688</v>
      </c>
      <c r="B436" s="13" t="s">
        <v>1689</v>
      </c>
      <c r="C436" s="64" t="s">
        <v>346</v>
      </c>
      <c r="D436" s="16" t="s">
        <v>38</v>
      </c>
      <c r="E436" s="16" t="s">
        <v>38</v>
      </c>
      <c r="F436" s="16" t="s">
        <v>1690</v>
      </c>
      <c r="G436" s="28">
        <v>0</v>
      </c>
      <c r="H436" s="18">
        <v>44447</v>
      </c>
      <c r="I436" s="24" t="s">
        <v>1691</v>
      </c>
      <c r="J436" s="18">
        <v>44447</v>
      </c>
      <c r="K436" s="18">
        <v>45542</v>
      </c>
      <c r="L436" s="19" t="s">
        <v>95</v>
      </c>
      <c r="M436" s="19" t="s">
        <v>1692</v>
      </c>
      <c r="N436" s="13" t="s">
        <v>1691</v>
      </c>
      <c r="O436" s="13" t="s">
        <v>1693</v>
      </c>
      <c r="P436" s="13" t="s">
        <v>1694</v>
      </c>
      <c r="Q436" s="80" t="s">
        <v>1695</v>
      </c>
      <c r="R436" s="80" t="s">
        <v>1695</v>
      </c>
      <c r="S436" s="16" t="s">
        <v>1695</v>
      </c>
      <c r="T436" s="13" t="s">
        <v>1696</v>
      </c>
      <c r="U436" s="13" t="s">
        <v>1697</v>
      </c>
      <c r="V436" s="20" t="s">
        <v>38</v>
      </c>
      <c r="W436" s="13"/>
      <c r="X436" s="13" t="s">
        <v>38</v>
      </c>
      <c r="Y436" s="13" t="s">
        <v>38</v>
      </c>
      <c r="Z436" s="13"/>
      <c r="AA436" s="83" t="s">
        <v>1633</v>
      </c>
      <c r="AB436" s="16" t="str">
        <f>IF(NOT(ISBLANK(AD436)),IF(NOT(ISBLANK(AE436)),IF(NOT(ISBLANK(AG436)),IF(NOT(ISBLANK(AI436)),"Completed","For Final Review"),"For Peer Check"),"In Progress"),"Not Started")</f>
        <v>Completed</v>
      </c>
      <c r="AC436" s="18">
        <v>46006</v>
      </c>
      <c r="AD436" s="18">
        <v>46008</v>
      </c>
      <c r="AE436" s="18">
        <v>46008</v>
      </c>
      <c r="AF436" s="15" t="s">
        <v>37</v>
      </c>
      <c r="AG436" s="18">
        <v>46010</v>
      </c>
      <c r="AH436" s="15" t="s">
        <v>486</v>
      </c>
      <c r="AI436" s="18">
        <v>46014</v>
      </c>
      <c r="AJ436" s="72" t="e">
        <f>HYPERLINK(_xlfn.CONCAT("https://jnj.sharepoint.com/:b:/r/teams/ContractIQ/Shared%20Documents/General/2025/Metadata-Contracts/Ind%20Ship_To%20UCN/Raw%20Contracts/",AK436),"link")</f>
        <v>#N/A</v>
      </c>
      <c r="AK436" s="22" t="e">
        <f>_xlfn.XLOOKUP(B436,[1]Sheet2!A:A,[1]Sheet2!B:B)</f>
        <v>#N/A</v>
      </c>
      <c r="AL436" s="22"/>
    </row>
    <row r="437" spans="1:38" ht="18" customHeight="1">
      <c r="A437" s="16" t="s">
        <v>1698</v>
      </c>
      <c r="B437" s="13" t="s">
        <v>1699</v>
      </c>
      <c r="C437" s="64" t="s">
        <v>346</v>
      </c>
      <c r="D437" s="16" t="s">
        <v>38</v>
      </c>
      <c r="E437" s="16" t="s">
        <v>1700</v>
      </c>
      <c r="F437" s="16" t="s">
        <v>1700</v>
      </c>
      <c r="G437" s="28">
        <v>0</v>
      </c>
      <c r="H437" s="18">
        <v>44585</v>
      </c>
      <c r="I437" s="24" t="s">
        <v>1701</v>
      </c>
      <c r="J437" s="18">
        <v>44585</v>
      </c>
      <c r="K437" s="18">
        <v>46418</v>
      </c>
      <c r="L437" s="19" t="s">
        <v>63</v>
      </c>
      <c r="M437" s="19" t="s">
        <v>38</v>
      </c>
      <c r="N437" s="23" t="s">
        <v>1701</v>
      </c>
      <c r="O437" s="13" t="s">
        <v>1702</v>
      </c>
      <c r="P437" s="13" t="s">
        <v>1703</v>
      </c>
      <c r="Q437" s="15" t="s">
        <v>1704</v>
      </c>
      <c r="R437" s="15" t="s">
        <v>1704</v>
      </c>
      <c r="S437" s="15" t="s">
        <v>1704</v>
      </c>
      <c r="T437" s="13" t="s">
        <v>1705</v>
      </c>
      <c r="U437" s="13" t="s">
        <v>1702</v>
      </c>
      <c r="V437" s="13" t="s">
        <v>38</v>
      </c>
      <c r="W437" s="13"/>
      <c r="X437" s="13" t="s">
        <v>38</v>
      </c>
      <c r="Y437" s="13" t="s">
        <v>38</v>
      </c>
      <c r="Z437" s="13"/>
      <c r="AA437" s="16"/>
      <c r="AB437" s="16" t="str">
        <f>IF(NOT(ISBLANK(AD437)),IF(NOT(ISBLANK(AE437)),IF(NOT(ISBLANK(AG437)),IF(NOT(ISBLANK(AI437)),"Completed","For Final Review"),"For Peer Check"),"In Progress"),"Not Started")</f>
        <v>Completed</v>
      </c>
      <c r="AC437" s="18">
        <v>46006</v>
      </c>
      <c r="AD437" s="18">
        <v>46008</v>
      </c>
      <c r="AE437" s="18">
        <v>46008</v>
      </c>
      <c r="AF437" s="15" t="s">
        <v>37</v>
      </c>
      <c r="AG437" s="18">
        <v>46010</v>
      </c>
      <c r="AH437" s="15" t="s">
        <v>486</v>
      </c>
      <c r="AI437" s="18">
        <v>46014</v>
      </c>
      <c r="AJ437" s="72" t="e">
        <f>HYPERLINK(_xlfn.CONCAT("https://jnj.sharepoint.com/:b:/r/teams/ContractIQ/Shared%20Documents/General/2025/Metadata-Contracts/Ind%20Ship_To%20UCN/Raw%20Contracts/",AK437),"link")</f>
        <v>#N/A</v>
      </c>
      <c r="AK437" s="22" t="e">
        <f>_xlfn.XLOOKUP(B437,[1]Sheet2!A:A,[1]Sheet2!B:B)</f>
        <v>#N/A</v>
      </c>
      <c r="AL437" s="22"/>
    </row>
    <row r="438" spans="1:38" ht="18" customHeight="1">
      <c r="A438" s="16" t="s">
        <v>1706</v>
      </c>
      <c r="B438" s="13" t="s">
        <v>1707</v>
      </c>
      <c r="C438" s="14" t="s">
        <v>486</v>
      </c>
      <c r="D438" s="16" t="s">
        <v>38</v>
      </c>
      <c r="E438" s="16" t="s">
        <v>1700</v>
      </c>
      <c r="F438" s="16" t="s">
        <v>1700</v>
      </c>
      <c r="G438" s="28">
        <v>1</v>
      </c>
      <c r="H438" s="18">
        <v>45006</v>
      </c>
      <c r="I438" s="24" t="s">
        <v>1708</v>
      </c>
      <c r="J438" s="18">
        <v>44585</v>
      </c>
      <c r="K438" s="18">
        <v>46418</v>
      </c>
      <c r="L438" s="19" t="s">
        <v>63</v>
      </c>
      <c r="M438" s="19" t="s">
        <v>38</v>
      </c>
      <c r="N438" s="23" t="s">
        <v>1709</v>
      </c>
      <c r="O438" s="13" t="s">
        <v>1702</v>
      </c>
      <c r="P438" s="13" t="s">
        <v>1703</v>
      </c>
      <c r="Q438" s="15" t="s">
        <v>1704</v>
      </c>
      <c r="R438" s="15" t="s">
        <v>1704</v>
      </c>
      <c r="S438" s="15" t="s">
        <v>1704</v>
      </c>
      <c r="T438" s="67" t="s">
        <v>1707</v>
      </c>
      <c r="U438" s="13" t="s">
        <v>1702</v>
      </c>
      <c r="V438" s="13" t="s">
        <v>38</v>
      </c>
      <c r="W438" s="13"/>
      <c r="X438" s="13" t="s">
        <v>38</v>
      </c>
      <c r="Y438" s="13" t="s">
        <v>38</v>
      </c>
      <c r="Z438" s="13"/>
      <c r="AA438" s="16"/>
      <c r="AB438" s="16" t="str">
        <f>IF(NOT(ISBLANK(AD438)),IF(NOT(ISBLANK(AE438)),IF(NOT(ISBLANK(AG438)),IF(NOT(ISBLANK(AI438)),"Completed","For Final Review"),"For Peer Check"),"In Progress"),"Not Started")</f>
        <v>Completed</v>
      </c>
      <c r="AC438" s="18">
        <v>46006</v>
      </c>
      <c r="AD438" s="18">
        <v>46008</v>
      </c>
      <c r="AE438" s="18">
        <v>46008</v>
      </c>
      <c r="AF438" s="15" t="s">
        <v>773</v>
      </c>
      <c r="AG438" s="18">
        <v>46013</v>
      </c>
      <c r="AH438" s="15" t="s">
        <v>773</v>
      </c>
      <c r="AI438" s="18">
        <v>46014</v>
      </c>
      <c r="AJ438" s="72" t="e">
        <f>HYPERLINK(_xlfn.CONCAT("https://jnj.sharepoint.com/:b:/r/teams/ContractIQ/Shared%20Documents/General/2025/Metadata-Contracts/Ind%20Ship_To%20UCN/Raw%20Contracts/",AK438),"link")</f>
        <v>#N/A</v>
      </c>
      <c r="AK438" s="22" t="e">
        <f>_xlfn.XLOOKUP(B438,[1]Sheet2!A:A,[1]Sheet2!B:B)</f>
        <v>#N/A</v>
      </c>
      <c r="AL438" s="22"/>
    </row>
    <row r="439" spans="1:38" ht="18" customHeight="1">
      <c r="A439" s="16" t="s">
        <v>1710</v>
      </c>
      <c r="B439" s="13" t="s">
        <v>1711</v>
      </c>
      <c r="C439" s="64" t="s">
        <v>773</v>
      </c>
      <c r="D439" s="16" t="s">
        <v>38</v>
      </c>
      <c r="E439" s="16" t="s">
        <v>1700</v>
      </c>
      <c r="F439" s="16" t="s">
        <v>1700</v>
      </c>
      <c r="G439" s="28">
        <v>2</v>
      </c>
      <c r="H439" s="18">
        <v>44585</v>
      </c>
      <c r="I439" s="24" t="s">
        <v>1712</v>
      </c>
      <c r="J439" s="18">
        <v>44585</v>
      </c>
      <c r="K439" s="18">
        <v>46418</v>
      </c>
      <c r="L439" s="34" t="s">
        <v>95</v>
      </c>
      <c r="M439" s="19" t="s">
        <v>96</v>
      </c>
      <c r="N439" s="13" t="s">
        <v>1713</v>
      </c>
      <c r="O439" s="13" t="s">
        <v>1702</v>
      </c>
      <c r="P439" s="13" t="s">
        <v>1703</v>
      </c>
      <c r="Q439" s="15" t="s">
        <v>1704</v>
      </c>
      <c r="R439" s="15" t="s">
        <v>1704</v>
      </c>
      <c r="S439" s="15" t="s">
        <v>1704</v>
      </c>
      <c r="T439" s="13" t="s">
        <v>1705</v>
      </c>
      <c r="U439" s="13" t="s">
        <v>1702</v>
      </c>
      <c r="V439" s="13" t="s">
        <v>38</v>
      </c>
      <c r="W439" s="13"/>
      <c r="X439" s="13" t="s">
        <v>1276</v>
      </c>
      <c r="Y439" s="13" t="s">
        <v>38</v>
      </c>
      <c r="Z439" s="13"/>
      <c r="AA439" s="24" t="s">
        <v>1714</v>
      </c>
      <c r="AB439" s="16" t="str">
        <f>IF(NOT(ISBLANK(AD439)),IF(NOT(ISBLANK(AE439)),IF(NOT(ISBLANK(AG439)),IF(NOT(ISBLANK(AI439)),"Completed","For Final Review"),"For Peer Check"),"In Progress"),"Not Started")</f>
        <v>Completed</v>
      </c>
      <c r="AC439" s="18">
        <v>46006</v>
      </c>
      <c r="AD439" s="18">
        <v>46009</v>
      </c>
      <c r="AE439" s="18">
        <v>46009</v>
      </c>
      <c r="AF439" s="15" t="s">
        <v>856</v>
      </c>
      <c r="AG439" s="18">
        <v>46010</v>
      </c>
      <c r="AH439" s="15" t="s">
        <v>856</v>
      </c>
      <c r="AI439" s="18">
        <v>46010</v>
      </c>
      <c r="AJ439" s="72" t="str">
        <f>HYPERLINK(_xlfn.CONCAT("https://jnj.sharepoint.com/:b:/r/teams/ContractIQ/Shared%20Documents/General/2025/Metadata-Contracts/Ind%20Ship_To%20UCN/Raw%20Contracts/",AK439),"link")</f>
        <v>link</v>
      </c>
      <c r="AK439" s="22" t="s">
        <v>1715</v>
      </c>
      <c r="AL439" s="22"/>
    </row>
    <row r="440" spans="1:38" ht="18" customHeight="1">
      <c r="A440" s="16" t="s">
        <v>1716</v>
      </c>
      <c r="B440" s="13" t="s">
        <v>1717</v>
      </c>
      <c r="C440" s="64" t="s">
        <v>1015</v>
      </c>
      <c r="D440" s="16" t="s">
        <v>38</v>
      </c>
      <c r="E440" s="16" t="s">
        <v>38</v>
      </c>
      <c r="F440" s="16" t="s">
        <v>38</v>
      </c>
      <c r="G440" s="28">
        <v>0</v>
      </c>
      <c r="H440" s="18">
        <v>44825</v>
      </c>
      <c r="I440" s="24" t="s">
        <v>1718</v>
      </c>
      <c r="J440" s="18">
        <v>44825</v>
      </c>
      <c r="K440" s="18" t="s">
        <v>38</v>
      </c>
      <c r="L440" s="19" t="s">
        <v>54</v>
      </c>
      <c r="M440" s="19" t="s">
        <v>337</v>
      </c>
      <c r="N440" s="13" t="s">
        <v>1719</v>
      </c>
      <c r="O440" s="13" t="s">
        <v>1720</v>
      </c>
      <c r="P440" s="13" t="s">
        <v>38</v>
      </c>
      <c r="Q440" s="16">
        <v>1400562</v>
      </c>
      <c r="R440" s="16">
        <v>1400562</v>
      </c>
      <c r="S440" s="16">
        <v>1400562</v>
      </c>
      <c r="T440" s="13" t="s">
        <v>1721</v>
      </c>
      <c r="U440" s="13" t="s">
        <v>38</v>
      </c>
      <c r="V440" s="20" t="s">
        <v>1227</v>
      </c>
      <c r="W440" s="13" t="s">
        <v>38</v>
      </c>
      <c r="X440" t="s">
        <v>1276</v>
      </c>
      <c r="Y440" s="20" t="s">
        <v>1235</v>
      </c>
      <c r="Z440" s="13"/>
      <c r="AA440" s="19" t="s">
        <v>1722</v>
      </c>
      <c r="AB440" s="16" t="str">
        <f>IF(NOT(ISBLANK(AD440)),IF(NOT(ISBLANK(AE440)),IF(NOT(ISBLANK(AG440)),IF(NOT(ISBLANK(AI440)),"Completed","For Final Review"),"For Peer Check"),"In Progress"),"Not Started")</f>
        <v>Completed</v>
      </c>
      <c r="AC440" s="18">
        <v>46006</v>
      </c>
      <c r="AD440" s="18">
        <v>46008</v>
      </c>
      <c r="AE440" s="18">
        <v>46010</v>
      </c>
      <c r="AF440" s="15" t="s">
        <v>773</v>
      </c>
      <c r="AG440" s="18">
        <v>46013</v>
      </c>
      <c r="AH440" s="15" t="s">
        <v>773</v>
      </c>
      <c r="AI440" s="18">
        <v>46013</v>
      </c>
      <c r="AJ440" s="72" t="e">
        <f>HYPERLINK(_xlfn.CONCAT("https://jnj.sharepoint.com/:b:/r/teams/ContractIQ/Shared%20Documents/General/2025/Metadata-Contracts/Ind%20Ship_To%20UCN/Raw%20Contracts/",AK440),"link")</f>
        <v>#N/A</v>
      </c>
      <c r="AK440" s="22" t="e">
        <f>_xlfn.XLOOKUP(B440,[1]Sheet2!A:A,[1]Sheet2!B:B)</f>
        <v>#N/A</v>
      </c>
      <c r="AL440" s="22"/>
    </row>
    <row r="441" spans="1:38" ht="18" customHeight="1">
      <c r="A441" s="16" t="s">
        <v>1723</v>
      </c>
      <c r="B441" s="13" t="s">
        <v>1724</v>
      </c>
      <c r="C441" s="64" t="s">
        <v>1015</v>
      </c>
      <c r="D441" s="16" t="s">
        <v>38</v>
      </c>
      <c r="E441" s="16" t="s">
        <v>38</v>
      </c>
      <c r="F441" s="16" t="s">
        <v>38</v>
      </c>
      <c r="G441" s="28">
        <v>1</v>
      </c>
      <c r="H441" s="18">
        <v>45474</v>
      </c>
      <c r="I441" s="46" t="s">
        <v>1232</v>
      </c>
      <c r="J441" s="18">
        <v>44825</v>
      </c>
      <c r="K441" s="18" t="s">
        <v>38</v>
      </c>
      <c r="L441" s="19" t="s">
        <v>54</v>
      </c>
      <c r="M441" s="19" t="s">
        <v>337</v>
      </c>
      <c r="N441" s="13" t="s">
        <v>1233</v>
      </c>
      <c r="O441" s="13" t="s">
        <v>1720</v>
      </c>
      <c r="P441" s="13" t="s">
        <v>38</v>
      </c>
      <c r="Q441" s="16">
        <v>1400562</v>
      </c>
      <c r="R441" s="16">
        <v>1400562</v>
      </c>
      <c r="S441" s="16">
        <v>1400562</v>
      </c>
      <c r="T441" t="s">
        <v>1725</v>
      </c>
      <c r="U441" s="13" t="s">
        <v>38</v>
      </c>
      <c r="V441" s="20" t="s">
        <v>1227</v>
      </c>
      <c r="W441" s="13" t="s">
        <v>38</v>
      </c>
      <c r="X441" t="s">
        <v>1276</v>
      </c>
      <c r="Y441" s="13"/>
      <c r="Z441" s="13"/>
      <c r="AA441" s="19" t="s">
        <v>1722</v>
      </c>
      <c r="AB441" s="16" t="str">
        <f t="shared" ref="AB441:AB467" si="5">IF(NOT(ISBLANK(AD441)),IF(NOT(ISBLANK(AE441)),IF(NOT(ISBLANK(AG441)),IF(NOT(ISBLANK(AI441)),"Completed","For Final Review"),"For Peer Check"),"In Progress"),"Not Started")</f>
        <v>Completed</v>
      </c>
      <c r="AC441" s="18">
        <v>46006</v>
      </c>
      <c r="AD441" s="18">
        <v>46008</v>
      </c>
      <c r="AE441" s="18">
        <v>46010</v>
      </c>
      <c r="AF441" s="15" t="s">
        <v>773</v>
      </c>
      <c r="AG441" s="18">
        <v>46013</v>
      </c>
      <c r="AH441" s="15" t="s">
        <v>773</v>
      </c>
      <c r="AI441" s="18">
        <v>46013</v>
      </c>
      <c r="AJ441" s="72" t="e">
        <f>HYPERLINK(_xlfn.CONCAT("https://jnj.sharepoint.com/:b:/r/teams/ContractIQ/Shared%20Documents/General/2025/Metadata-Contracts/Ind%20Ship_To%20UCN/Raw%20Contracts/",AK441),"link")</f>
        <v>#N/A</v>
      </c>
      <c r="AK441" s="22" t="e">
        <f>_xlfn.XLOOKUP(B441,[1]Sheet2!A:A,[1]Sheet2!B:B)</f>
        <v>#N/A</v>
      </c>
      <c r="AL441" s="22"/>
    </row>
    <row r="442" spans="1:38" ht="18" customHeight="1">
      <c r="A442" s="16" t="s">
        <v>1726</v>
      </c>
      <c r="B442" s="13" t="s">
        <v>1727</v>
      </c>
      <c r="C442" s="64" t="s">
        <v>1015</v>
      </c>
      <c r="D442" s="16" t="s">
        <v>38</v>
      </c>
      <c r="E442" s="14" t="s">
        <v>1728</v>
      </c>
      <c r="F442" s="14" t="s">
        <v>1728</v>
      </c>
      <c r="G442" s="28">
        <v>0</v>
      </c>
      <c r="H442" s="18">
        <v>44355</v>
      </c>
      <c r="I442" s="24" t="s">
        <v>1701</v>
      </c>
      <c r="J442" s="18">
        <v>44355</v>
      </c>
      <c r="K442" s="18">
        <v>46180</v>
      </c>
      <c r="L442" s="34" t="s">
        <v>63</v>
      </c>
      <c r="M442" s="19" t="s">
        <v>38</v>
      </c>
      <c r="N442" s="13" t="s">
        <v>1729</v>
      </c>
      <c r="O442" t="s">
        <v>1730</v>
      </c>
      <c r="P442" s="13" t="s">
        <v>1731</v>
      </c>
      <c r="Q442" s="16">
        <v>1474918</v>
      </c>
      <c r="R442" s="16">
        <v>1474918</v>
      </c>
      <c r="S442" s="16">
        <v>1474918</v>
      </c>
      <c r="T442" s="13" t="s">
        <v>1732</v>
      </c>
      <c r="U442" t="s">
        <v>1733</v>
      </c>
      <c r="V442" s="13" t="s">
        <v>38</v>
      </c>
      <c r="W442" s="13" t="s">
        <v>38</v>
      </c>
      <c r="X442" t="s">
        <v>1276</v>
      </c>
      <c r="Y442" s="13"/>
      <c r="Z442" s="13"/>
      <c r="AA442" s="19" t="s">
        <v>1734</v>
      </c>
      <c r="AB442" s="16" t="str">
        <f t="shared" si="5"/>
        <v>Completed</v>
      </c>
      <c r="AC442" s="18">
        <v>46006</v>
      </c>
      <c r="AD442" s="18">
        <v>46009</v>
      </c>
      <c r="AE442" s="18">
        <v>46009</v>
      </c>
      <c r="AF442" s="15" t="s">
        <v>773</v>
      </c>
      <c r="AG442" s="18">
        <v>46013</v>
      </c>
      <c r="AH442" s="15" t="s">
        <v>773</v>
      </c>
      <c r="AI442" s="18">
        <v>46013</v>
      </c>
      <c r="AJ442" s="72" t="e">
        <f>HYPERLINK(_xlfn.CONCAT("https://jnj.sharepoint.com/:b:/r/teams/ContractIQ/Shared%20Documents/General/2025/Metadata-Contracts/Ind%20Ship_To%20UCN/Raw%20Contracts/",AK442),"link")</f>
        <v>#N/A</v>
      </c>
      <c r="AK442" s="22" t="e">
        <f>_xlfn.XLOOKUP(B442,[1]Sheet2!A:A,[1]Sheet2!B:B)</f>
        <v>#N/A</v>
      </c>
      <c r="AL442" s="22"/>
    </row>
    <row r="443" spans="1:38" ht="18" customHeight="1">
      <c r="A443" s="16" t="s">
        <v>1735</v>
      </c>
      <c r="B443" s="13" t="s">
        <v>1736</v>
      </c>
      <c r="C443" s="64" t="s">
        <v>1015</v>
      </c>
      <c r="D443" s="16" t="s">
        <v>38</v>
      </c>
      <c r="E443" s="14" t="s">
        <v>1728</v>
      </c>
      <c r="F443" s="14" t="s">
        <v>1728</v>
      </c>
      <c r="G443" s="28">
        <v>1</v>
      </c>
      <c r="H443" s="18">
        <v>45006</v>
      </c>
      <c r="I443" s="24" t="s">
        <v>1737</v>
      </c>
      <c r="J443" s="18">
        <v>44355</v>
      </c>
      <c r="K443" s="18">
        <v>46180</v>
      </c>
      <c r="L443" s="34" t="s">
        <v>63</v>
      </c>
      <c r="M443" s="19" t="s">
        <v>38</v>
      </c>
      <c r="N443" s="13" t="s">
        <v>1738</v>
      </c>
      <c r="O443" t="s">
        <v>1730</v>
      </c>
      <c r="P443" s="13" t="s">
        <v>1731</v>
      </c>
      <c r="Q443" s="16">
        <v>1474918</v>
      </c>
      <c r="R443" s="16">
        <v>1474918</v>
      </c>
      <c r="S443" s="16">
        <v>1474918</v>
      </c>
      <c r="T443" s="13" t="s">
        <v>1736</v>
      </c>
      <c r="U443" t="s">
        <v>1733</v>
      </c>
      <c r="V443" s="13" t="s">
        <v>38</v>
      </c>
      <c r="W443" s="13" t="s">
        <v>38</v>
      </c>
      <c r="X443" t="s">
        <v>1276</v>
      </c>
      <c r="Y443" s="13"/>
      <c r="Z443" s="13"/>
      <c r="AA443" s="19" t="s">
        <v>1739</v>
      </c>
      <c r="AB443" s="16" t="str">
        <f t="shared" si="5"/>
        <v>Completed</v>
      </c>
      <c r="AC443" s="18">
        <v>46006</v>
      </c>
      <c r="AD443" s="18">
        <v>46009</v>
      </c>
      <c r="AE443" s="18">
        <v>46009</v>
      </c>
      <c r="AF443" s="15" t="s">
        <v>773</v>
      </c>
      <c r="AG443" s="18">
        <v>46013</v>
      </c>
      <c r="AH443" s="15" t="s">
        <v>773</v>
      </c>
      <c r="AI443" s="18">
        <v>46013</v>
      </c>
      <c r="AJ443" s="72" t="e">
        <f>HYPERLINK(_xlfn.CONCAT("https://jnj.sharepoint.com/:b:/r/teams/ContractIQ/Shared%20Documents/General/2025/Metadata-Contracts/Ind%20Ship_To%20UCN/Raw%20Contracts/",AK443),"link")</f>
        <v>#N/A</v>
      </c>
      <c r="AK443" s="22" t="e">
        <f>_xlfn.XLOOKUP(B443,[1]Sheet2!A:A,[1]Sheet2!B:B)</f>
        <v>#N/A</v>
      </c>
      <c r="AL443" s="22"/>
    </row>
    <row r="444" spans="1:38" ht="18" customHeight="1">
      <c r="A444" s="16" t="s">
        <v>1740</v>
      </c>
      <c r="B444" s="13" t="s">
        <v>1741</v>
      </c>
      <c r="C444" s="64" t="s">
        <v>773</v>
      </c>
      <c r="D444" s="16" t="s">
        <v>38</v>
      </c>
      <c r="E444" s="16" t="s">
        <v>1728</v>
      </c>
      <c r="F444" s="16" t="s">
        <v>1728</v>
      </c>
      <c r="G444" s="28">
        <v>1</v>
      </c>
      <c r="H444" s="18">
        <v>44355</v>
      </c>
      <c r="I444" s="24" t="s">
        <v>1712</v>
      </c>
      <c r="J444" s="18">
        <v>44355</v>
      </c>
      <c r="K444" s="18">
        <v>46180</v>
      </c>
      <c r="L444" s="34" t="s">
        <v>95</v>
      </c>
      <c r="M444" s="19" t="s">
        <v>96</v>
      </c>
      <c r="N444" s="13" t="s">
        <v>1713</v>
      </c>
      <c r="O444" s="13" t="s">
        <v>1730</v>
      </c>
      <c r="P444" s="13" t="s">
        <v>38</v>
      </c>
      <c r="Q444" s="15" t="s">
        <v>1742</v>
      </c>
      <c r="R444" s="15" t="s">
        <v>1742</v>
      </c>
      <c r="S444" s="15" t="s">
        <v>1742</v>
      </c>
      <c r="T444" s="13" t="s">
        <v>1743</v>
      </c>
      <c r="U444" t="s">
        <v>1733</v>
      </c>
      <c r="V444" s="13" t="s">
        <v>38</v>
      </c>
      <c r="W444" s="13"/>
      <c r="X444" t="s">
        <v>1276</v>
      </c>
      <c r="Y444" s="13"/>
      <c r="Z444" s="13"/>
      <c r="AA444" s="24" t="s">
        <v>1714</v>
      </c>
      <c r="AB444" s="16" t="str">
        <f>IF(NOT(ISBLANK(AD444)),IF(NOT(ISBLANK(AE444)),IF(NOT(ISBLANK(AG444)),IF(NOT(ISBLANK(AI444)),"Completed","For Final Review"),"For Peer Check"),"In Progress"),"Not Started")</f>
        <v>Completed</v>
      </c>
      <c r="AC444" s="18">
        <v>46006</v>
      </c>
      <c r="AD444" s="18">
        <v>46009</v>
      </c>
      <c r="AE444" s="18">
        <v>46009</v>
      </c>
      <c r="AF444" s="15" t="s">
        <v>856</v>
      </c>
      <c r="AG444" s="18">
        <v>46010</v>
      </c>
      <c r="AH444" s="15" t="s">
        <v>856</v>
      </c>
      <c r="AI444" s="18">
        <v>46010</v>
      </c>
      <c r="AJ444" s="72" t="str">
        <f>HYPERLINK(_xlfn.CONCAT("https://jnj.sharepoint.com/:b:/r/teams/ContractIQ/Shared%20Documents/General/2025/Metadata-Contracts/Ind%20Ship_To%20UCN/Raw%20Contracts/",AK444),"link")</f>
        <v>link</v>
      </c>
      <c r="AK444" s="22" t="s">
        <v>1744</v>
      </c>
      <c r="AL444" s="22"/>
    </row>
    <row r="445" spans="1:38" ht="18" customHeight="1">
      <c r="A445" s="16" t="s">
        <v>1745</v>
      </c>
      <c r="B445" s="13" t="s">
        <v>1746</v>
      </c>
      <c r="C445" s="64" t="s">
        <v>773</v>
      </c>
      <c r="D445" s="16">
        <v>134050</v>
      </c>
      <c r="E445" s="16" t="s">
        <v>1747</v>
      </c>
      <c r="F445" s="16" t="s">
        <v>1747</v>
      </c>
      <c r="G445" s="28">
        <v>0</v>
      </c>
      <c r="H445" s="18">
        <v>44770</v>
      </c>
      <c r="I445" s="24" t="s">
        <v>1691</v>
      </c>
      <c r="J445" s="18">
        <v>44770</v>
      </c>
      <c r="K445" s="18" t="s">
        <v>38</v>
      </c>
      <c r="L445" s="19" t="s">
        <v>63</v>
      </c>
      <c r="M445" s="19" t="s">
        <v>38</v>
      </c>
      <c r="N445" s="13" t="s">
        <v>1691</v>
      </c>
      <c r="O445" s="13" t="s">
        <v>1748</v>
      </c>
      <c r="P445" s="13" t="s">
        <v>1749</v>
      </c>
      <c r="Q445" s="16">
        <v>1519544</v>
      </c>
      <c r="R445" s="16">
        <v>1519544</v>
      </c>
      <c r="S445" s="16" t="s">
        <v>38</v>
      </c>
      <c r="T445" s="13" t="s">
        <v>1750</v>
      </c>
      <c r="U445" s="19" t="s">
        <v>38</v>
      </c>
      <c r="V445" s="19" t="s">
        <v>38</v>
      </c>
      <c r="W445" s="13"/>
      <c r="X445" s="19" t="s">
        <v>38</v>
      </c>
      <c r="Y445" s="19" t="s">
        <v>38</v>
      </c>
      <c r="Z445" s="13"/>
      <c r="AA445" s="16" t="s">
        <v>1751</v>
      </c>
      <c r="AB445" s="16" t="str">
        <f t="shared" si="5"/>
        <v>Completed</v>
      </c>
      <c r="AC445" s="18">
        <v>46006</v>
      </c>
      <c r="AD445" s="18">
        <v>46009</v>
      </c>
      <c r="AE445" s="18">
        <v>46013</v>
      </c>
      <c r="AF445" s="15" t="s">
        <v>179</v>
      </c>
      <c r="AG445" s="18">
        <v>46013</v>
      </c>
      <c r="AH445" s="15" t="s">
        <v>179</v>
      </c>
      <c r="AI445" s="18">
        <v>46013</v>
      </c>
      <c r="AJ445" s="72" t="str">
        <f>HYPERLINK(_xlfn.CONCAT("https://jnj.sharepoint.com/:b:/r/teams/ContractIQ/Shared%20Documents/General/2025/Metadata-Contracts/Ind%20Ship_To%20UCN/Raw%20Contracts/",AK445),"link")</f>
        <v>link</v>
      </c>
      <c r="AK445" s="67" t="s">
        <v>1752</v>
      </c>
      <c r="AL445" s="22"/>
    </row>
    <row r="446" spans="1:38" ht="18" customHeight="1">
      <c r="A446" s="16" t="s">
        <v>1753</v>
      </c>
      <c r="B446" s="13" t="s">
        <v>1754</v>
      </c>
      <c r="C446" s="64" t="s">
        <v>773</v>
      </c>
      <c r="D446" s="16" t="s">
        <v>38</v>
      </c>
      <c r="E446" s="16" t="s">
        <v>38</v>
      </c>
      <c r="F446" s="16" t="s">
        <v>38</v>
      </c>
      <c r="G446" s="28">
        <v>0</v>
      </c>
      <c r="H446" s="18">
        <v>45418</v>
      </c>
      <c r="I446" s="24" t="s">
        <v>1755</v>
      </c>
      <c r="J446" s="18">
        <v>45418</v>
      </c>
      <c r="K446" s="18" t="s">
        <v>38</v>
      </c>
      <c r="L446" s="19" t="s">
        <v>63</v>
      </c>
      <c r="M446" s="19" t="s">
        <v>38</v>
      </c>
      <c r="N446" s="13" t="s">
        <v>1756</v>
      </c>
      <c r="O446" s="13" t="s">
        <v>1757</v>
      </c>
      <c r="P446" s="13" t="s">
        <v>38</v>
      </c>
      <c r="Q446" s="16">
        <v>1509714</v>
      </c>
      <c r="R446" s="16">
        <v>1509714</v>
      </c>
      <c r="S446" s="16" t="s">
        <v>38</v>
      </c>
      <c r="T446" s="13" t="s">
        <v>1696</v>
      </c>
      <c r="U446" s="19" t="s">
        <v>38</v>
      </c>
      <c r="V446" s="19" t="s">
        <v>38</v>
      </c>
      <c r="W446" s="13"/>
      <c r="X446" s="19" t="s">
        <v>38</v>
      </c>
      <c r="Y446" s="19" t="s">
        <v>38</v>
      </c>
      <c r="Z446" s="13"/>
      <c r="AA446" s="16"/>
      <c r="AB446" s="16" t="str">
        <f t="shared" si="5"/>
        <v>Completed</v>
      </c>
      <c r="AC446" s="18">
        <v>46006</v>
      </c>
      <c r="AD446" s="18">
        <v>46009</v>
      </c>
      <c r="AE446" s="18">
        <v>46013</v>
      </c>
      <c r="AF446" s="15" t="s">
        <v>179</v>
      </c>
      <c r="AG446" s="18">
        <v>46013</v>
      </c>
      <c r="AH446" s="15" t="s">
        <v>179</v>
      </c>
      <c r="AI446" s="18">
        <v>46013</v>
      </c>
      <c r="AJ446" s="72" t="str">
        <f>HYPERLINK(_xlfn.CONCAT("https://jnj.sharepoint.com/:b:/r/teams/ContractIQ/Shared%20Documents/General/2025/Metadata-Contracts/Ind%20Ship_To%20UCN/Raw%20Contracts/",AK446),"link")</f>
        <v>link</v>
      </c>
      <c r="AK446" s="67" t="s">
        <v>1758</v>
      </c>
      <c r="AL446" s="22"/>
    </row>
    <row r="447" spans="1:38" ht="18" customHeight="1">
      <c r="A447" s="16" t="s">
        <v>1759</v>
      </c>
      <c r="B447" s="13" t="s">
        <v>1760</v>
      </c>
      <c r="C447" s="64" t="s">
        <v>37</v>
      </c>
      <c r="D447" s="16" t="s">
        <v>38</v>
      </c>
      <c r="E447" s="16" t="s">
        <v>38</v>
      </c>
      <c r="F447" s="16" t="s">
        <v>38</v>
      </c>
      <c r="G447" s="28">
        <v>0</v>
      </c>
      <c r="H447" s="18">
        <v>45457</v>
      </c>
      <c r="I447" s="19" t="s">
        <v>1761</v>
      </c>
      <c r="J447" s="18">
        <v>45457</v>
      </c>
      <c r="K447" s="18">
        <v>46552</v>
      </c>
      <c r="L447" s="19" t="s">
        <v>1664</v>
      </c>
      <c r="M447" s="19" t="s">
        <v>1762</v>
      </c>
      <c r="N447" s="76"/>
      <c r="O447" s="13" t="s">
        <v>45</v>
      </c>
      <c r="P447" s="13" t="s">
        <v>46</v>
      </c>
      <c r="Q447" s="16">
        <v>1018471</v>
      </c>
      <c r="R447" s="16">
        <v>1018471</v>
      </c>
      <c r="S447" s="16">
        <v>1018471</v>
      </c>
      <c r="T447" s="13" t="s">
        <v>1763</v>
      </c>
      <c r="U447" s="76"/>
      <c r="V447" s="20"/>
      <c r="W447" s="13" t="s">
        <v>38</v>
      </c>
      <c r="X447" s="13" t="s">
        <v>38</v>
      </c>
      <c r="Y447" s="13"/>
      <c r="Z447" s="13"/>
      <c r="AA447" s="79" t="s">
        <v>1764</v>
      </c>
      <c r="AB447" s="16" t="str">
        <f t="shared" si="5"/>
        <v>Completed</v>
      </c>
      <c r="AC447" s="18">
        <v>46006</v>
      </c>
      <c r="AD447" s="18">
        <v>46008</v>
      </c>
      <c r="AE447" s="18">
        <v>46010</v>
      </c>
      <c r="AF447" s="15" t="s">
        <v>486</v>
      </c>
      <c r="AG447" s="18">
        <v>46013</v>
      </c>
      <c r="AH447" s="15" t="s">
        <v>486</v>
      </c>
      <c r="AI447" s="18">
        <v>46013</v>
      </c>
      <c r="AJ447" s="72" t="str">
        <f>HYPERLINK(_xlfn.CONCAT("https://jnj.sharepoint.com/:b:/r/teams/ContractIQ/Shared%20Documents/General/2025/Metadata-Contracts/Ind%20Ship_To%20UCN/Raw%20Contracts/",AK447),"link")</f>
        <v>link</v>
      </c>
      <c r="AK447" s="22" t="s">
        <v>1765</v>
      </c>
      <c r="AL447" s="22"/>
    </row>
    <row r="448" spans="1:38" ht="18" customHeight="1">
      <c r="A448" s="16" t="s">
        <v>1766</v>
      </c>
      <c r="B448" s="13" t="s">
        <v>1767</v>
      </c>
      <c r="C448" s="64" t="s">
        <v>37</v>
      </c>
      <c r="D448" s="16" t="s">
        <v>38</v>
      </c>
      <c r="E448" s="16" t="s">
        <v>38</v>
      </c>
      <c r="F448" s="16">
        <v>512872</v>
      </c>
      <c r="G448" s="28">
        <v>0</v>
      </c>
      <c r="H448" s="18">
        <v>42264</v>
      </c>
      <c r="I448" s="19" t="s">
        <v>1768</v>
      </c>
      <c r="J448" s="18">
        <v>42264</v>
      </c>
      <c r="K448" s="18" t="s">
        <v>38</v>
      </c>
      <c r="L448" s="19" t="s">
        <v>42</v>
      </c>
      <c r="M448" s="19" t="s">
        <v>1769</v>
      </c>
      <c r="N448" s="13" t="s">
        <v>1604</v>
      </c>
      <c r="O448" s="13" t="s">
        <v>1770</v>
      </c>
      <c r="P448" s="13" t="s">
        <v>1771</v>
      </c>
      <c r="Q448" s="83" t="s">
        <v>38</v>
      </c>
      <c r="R448" s="83" t="s">
        <v>38</v>
      </c>
      <c r="S448" s="83" t="s">
        <v>38</v>
      </c>
      <c r="T448" s="13" t="s">
        <v>1772</v>
      </c>
      <c r="U448" s="76" t="s">
        <v>38</v>
      </c>
      <c r="V448" s="20" t="s">
        <v>38</v>
      </c>
      <c r="W448" s="13" t="s">
        <v>38</v>
      </c>
      <c r="X448" s="84" t="s">
        <v>1276</v>
      </c>
      <c r="Y448" s="13"/>
      <c r="Z448" s="13" t="s">
        <v>1773</v>
      </c>
      <c r="AA448" s="77" t="s">
        <v>1774</v>
      </c>
      <c r="AB448" s="16" t="str">
        <f>IF(NOT(ISBLANK(AD448)),IF(NOT(ISBLANK(AE448)),IF(NOT(ISBLANK(AG448)),IF(NOT(ISBLANK(AI448)),"Completed","For Final Review"),"For Peer Check"),"In Progress"),"Not Started")</f>
        <v>Completed</v>
      </c>
      <c r="AC448" s="18">
        <v>46006</v>
      </c>
      <c r="AD448" s="18">
        <v>46008</v>
      </c>
      <c r="AE448" s="18">
        <v>46009</v>
      </c>
      <c r="AF448" s="15" t="s">
        <v>486</v>
      </c>
      <c r="AG448" s="18">
        <v>46013</v>
      </c>
      <c r="AH448" s="15" t="s">
        <v>486</v>
      </c>
      <c r="AI448" s="18">
        <v>46013</v>
      </c>
      <c r="AJ448" s="72" t="str">
        <f>HYPERLINK(_xlfn.CONCAT("https://jnj.sharepoint.com/:b:/r/teams/ContractIQ/Shared%20Documents/General/2025/Metadata-Contracts/Ind%20Ship_To%20UCN/Raw%20Contracts/",AK448),"link")</f>
        <v>link</v>
      </c>
      <c r="AK448" s="22" t="s">
        <v>1775</v>
      </c>
      <c r="AL448" s="22"/>
    </row>
    <row r="449" spans="1:38" ht="18" customHeight="1">
      <c r="A449" s="16" t="s">
        <v>1776</v>
      </c>
      <c r="B449" s="13" t="s">
        <v>1777</v>
      </c>
      <c r="C449" s="64" t="s">
        <v>486</v>
      </c>
      <c r="D449" s="16" t="s">
        <v>38</v>
      </c>
      <c r="E449" s="16"/>
      <c r="F449" s="15" t="s">
        <v>1778</v>
      </c>
      <c r="G449" s="28">
        <v>0</v>
      </c>
      <c r="H449" s="18">
        <v>41900</v>
      </c>
      <c r="I449" s="24" t="s">
        <v>1602</v>
      </c>
      <c r="J449" s="18">
        <v>41900</v>
      </c>
      <c r="K449" s="18">
        <v>42995</v>
      </c>
      <c r="L449" s="19" t="s">
        <v>42</v>
      </c>
      <c r="M449" s="19" t="s">
        <v>1779</v>
      </c>
      <c r="N449" s="13" t="s">
        <v>1604</v>
      </c>
      <c r="O449" s="13" t="s">
        <v>1780</v>
      </c>
      <c r="P449" s="13" t="s">
        <v>1781</v>
      </c>
      <c r="Q449" s="15" t="s">
        <v>1782</v>
      </c>
      <c r="R449" s="15" t="s">
        <v>1782</v>
      </c>
      <c r="S449" s="15" t="s">
        <v>1782</v>
      </c>
      <c r="T449" s="13" t="s">
        <v>1783</v>
      </c>
      <c r="U449" s="13" t="s">
        <v>1780</v>
      </c>
      <c r="V449" s="20" t="s">
        <v>38</v>
      </c>
      <c r="W449" s="13"/>
      <c r="X449" t="s">
        <v>1276</v>
      </c>
      <c r="Y449" s="13" t="s">
        <v>38</v>
      </c>
      <c r="Z449" s="13"/>
      <c r="AA449" s="16"/>
      <c r="AB449" s="16" t="str">
        <f t="shared" si="5"/>
        <v>Completed</v>
      </c>
      <c r="AC449" s="18">
        <v>46006</v>
      </c>
      <c r="AD449" s="18">
        <v>46008</v>
      </c>
      <c r="AE449" s="18">
        <v>46008</v>
      </c>
      <c r="AF449" s="15" t="s">
        <v>179</v>
      </c>
      <c r="AG449" s="18">
        <v>46010</v>
      </c>
      <c r="AH449" s="15" t="s">
        <v>773</v>
      </c>
      <c r="AI449" s="18">
        <v>46014</v>
      </c>
      <c r="AJ449" s="72" t="str">
        <f>HYPERLINK(_xlfn.CONCAT("https://jnj.sharepoint.com/:b:/r/teams/ContractIQ/Shared%20Documents/General/2025/Metadata-Contracts/Ind%20Ship_To%20UCN/Raw%20Contracts/",AK449),"link")</f>
        <v>link</v>
      </c>
      <c r="AK449" s="22" t="s">
        <v>1784</v>
      </c>
      <c r="AL449" s="22"/>
    </row>
    <row r="450" spans="1:38" ht="18" customHeight="1">
      <c r="A450" s="16" t="s">
        <v>1785</v>
      </c>
      <c r="B450" s="13" t="s">
        <v>1786</v>
      </c>
      <c r="C450" s="14" t="s">
        <v>486</v>
      </c>
      <c r="D450" s="16" t="s">
        <v>38</v>
      </c>
      <c r="E450" s="16"/>
      <c r="F450" s="15" t="s">
        <v>1778</v>
      </c>
      <c r="G450" s="28">
        <v>1</v>
      </c>
      <c r="H450" s="18">
        <v>42464</v>
      </c>
      <c r="I450" s="24" t="s">
        <v>1787</v>
      </c>
      <c r="J450" s="18">
        <v>41900</v>
      </c>
      <c r="K450" s="18">
        <v>42995</v>
      </c>
      <c r="L450" s="19" t="s">
        <v>42</v>
      </c>
      <c r="M450" s="19" t="s">
        <v>1779</v>
      </c>
      <c r="N450" s="13" t="s">
        <v>1788</v>
      </c>
      <c r="O450" s="13" t="s">
        <v>1780</v>
      </c>
      <c r="P450" s="13" t="s">
        <v>1781</v>
      </c>
      <c r="Q450" s="15" t="s">
        <v>1782</v>
      </c>
      <c r="R450" s="15" t="s">
        <v>1782</v>
      </c>
      <c r="S450" s="15" t="s">
        <v>1782</v>
      </c>
      <c r="T450" s="13" t="s">
        <v>1789</v>
      </c>
      <c r="U450" s="13" t="s">
        <v>1780</v>
      </c>
      <c r="V450" s="20" t="s">
        <v>38</v>
      </c>
      <c r="W450" s="13"/>
      <c r="X450" t="s">
        <v>1276</v>
      </c>
      <c r="Y450" s="13" t="s">
        <v>38</v>
      </c>
      <c r="Z450" s="13"/>
      <c r="AA450" s="16"/>
      <c r="AB450" s="16" t="str">
        <f t="shared" si="5"/>
        <v>Completed</v>
      </c>
      <c r="AC450" s="18">
        <v>46006</v>
      </c>
      <c r="AD450" s="18">
        <v>46008</v>
      </c>
      <c r="AE450" s="18">
        <v>46008</v>
      </c>
      <c r="AF450" s="15" t="s">
        <v>179</v>
      </c>
      <c r="AG450" s="18">
        <v>46010</v>
      </c>
      <c r="AH450" s="15" t="s">
        <v>179</v>
      </c>
      <c r="AI450" s="18">
        <v>46010</v>
      </c>
      <c r="AJ450" s="72" t="str">
        <f>HYPERLINK(_xlfn.CONCAT("https://jnj.sharepoint.com/:b:/r/teams/ContractIQ/Shared%20Documents/General/2025/Metadata-Contracts/Ind%20Ship_To%20UCN/Raw%20Contracts/",AK450),"link")</f>
        <v>link</v>
      </c>
      <c r="AK450" s="22" t="s">
        <v>1790</v>
      </c>
      <c r="AL450" s="22"/>
    </row>
    <row r="451" spans="1:38" ht="18" customHeight="1">
      <c r="A451" s="16" t="s">
        <v>1791</v>
      </c>
      <c r="B451" s="13" t="s">
        <v>1792</v>
      </c>
      <c r="C451" s="64" t="s">
        <v>486</v>
      </c>
      <c r="D451" s="16" t="s">
        <v>38</v>
      </c>
      <c r="E451" s="16"/>
      <c r="F451" s="16" t="s">
        <v>1793</v>
      </c>
      <c r="G451" s="28">
        <v>0</v>
      </c>
      <c r="H451" s="18">
        <v>42356</v>
      </c>
      <c r="I451" s="24" t="s">
        <v>1602</v>
      </c>
      <c r="J451" s="18">
        <v>42356</v>
      </c>
      <c r="K451" s="18" t="s">
        <v>38</v>
      </c>
      <c r="L451" s="19" t="s">
        <v>42</v>
      </c>
      <c r="M451" s="19" t="s">
        <v>1779</v>
      </c>
      <c r="N451" s="13" t="s">
        <v>1604</v>
      </c>
      <c r="O451" s="13" t="s">
        <v>1794</v>
      </c>
      <c r="P451" s="13" t="s">
        <v>1781</v>
      </c>
      <c r="Q451" s="16" t="s">
        <v>1795</v>
      </c>
      <c r="R451" s="16" t="s">
        <v>1795</v>
      </c>
      <c r="S451" s="16" t="s">
        <v>1795</v>
      </c>
      <c r="T451" s="13" t="s">
        <v>1772</v>
      </c>
      <c r="U451" s="13" t="s">
        <v>1794</v>
      </c>
      <c r="V451" s="20" t="s">
        <v>38</v>
      </c>
      <c r="W451" s="13"/>
      <c r="X451" t="s">
        <v>1276</v>
      </c>
      <c r="Y451" s="13" t="s">
        <v>38</v>
      </c>
      <c r="Z451" s="13"/>
      <c r="AA451" s="16"/>
      <c r="AB451" s="16" t="str">
        <f t="shared" si="5"/>
        <v>Completed</v>
      </c>
      <c r="AC451" s="18">
        <v>46006</v>
      </c>
      <c r="AD451" s="18">
        <v>46007</v>
      </c>
      <c r="AE451" s="18">
        <v>46008</v>
      </c>
      <c r="AF451" s="15" t="s">
        <v>179</v>
      </c>
      <c r="AG451" s="18">
        <v>46013</v>
      </c>
      <c r="AH451" s="15" t="s">
        <v>179</v>
      </c>
      <c r="AI451" s="18">
        <v>46013</v>
      </c>
      <c r="AJ451" s="72" t="str">
        <f>HYPERLINK(_xlfn.CONCAT("https://jnj.sharepoint.com/:b:/r/teams/ContractIQ/Shared%20Documents/General/2025/Metadata-Contracts/Ind%20Ship_To%20UCN/Raw%20Contracts/",AK451),"link")</f>
        <v>link</v>
      </c>
      <c r="AK451" s="22"/>
      <c r="AL451" s="22"/>
    </row>
    <row r="452" spans="1:38" ht="18" customHeight="1">
      <c r="A452" s="16" t="s">
        <v>1796</v>
      </c>
      <c r="B452" s="13" t="s">
        <v>1797</v>
      </c>
      <c r="C452" s="64" t="s">
        <v>486</v>
      </c>
      <c r="D452" s="16" t="s">
        <v>38</v>
      </c>
      <c r="E452" s="16"/>
      <c r="F452" s="16" t="s">
        <v>1793</v>
      </c>
      <c r="G452" s="28">
        <v>1</v>
      </c>
      <c r="H452" s="18">
        <v>43761</v>
      </c>
      <c r="I452" s="24" t="s">
        <v>1798</v>
      </c>
      <c r="J452" s="18">
        <v>42356</v>
      </c>
      <c r="K452" s="18" t="s">
        <v>38</v>
      </c>
      <c r="L452" s="19" t="s">
        <v>42</v>
      </c>
      <c r="M452" s="19" t="s">
        <v>544</v>
      </c>
      <c r="N452" s="13" t="s">
        <v>1788</v>
      </c>
      <c r="O452" s="13" t="s">
        <v>1794</v>
      </c>
      <c r="P452" s="13" t="s">
        <v>1781</v>
      </c>
      <c r="Q452" s="16" t="s">
        <v>1795</v>
      </c>
      <c r="R452" s="16" t="s">
        <v>1795</v>
      </c>
      <c r="S452" s="16" t="s">
        <v>1795</v>
      </c>
      <c r="T452" s="13" t="s">
        <v>1799</v>
      </c>
      <c r="U452" s="13" t="s">
        <v>1794</v>
      </c>
      <c r="V452" s="20" t="s">
        <v>38</v>
      </c>
      <c r="W452" s="13"/>
      <c r="X452" t="s">
        <v>1276</v>
      </c>
      <c r="Y452" s="13" t="s">
        <v>38</v>
      </c>
      <c r="Z452" s="13"/>
      <c r="AA452" s="16"/>
      <c r="AB452" s="16" t="str">
        <f t="shared" si="5"/>
        <v>Completed</v>
      </c>
      <c r="AC452" s="18">
        <v>46006</v>
      </c>
      <c r="AD452" s="18">
        <v>46008</v>
      </c>
      <c r="AE452" s="18">
        <v>46008</v>
      </c>
      <c r="AF452" s="15" t="s">
        <v>179</v>
      </c>
      <c r="AG452" s="18">
        <v>46013</v>
      </c>
      <c r="AH452" s="15" t="s">
        <v>179</v>
      </c>
      <c r="AI452" s="18">
        <v>46013</v>
      </c>
      <c r="AJ452" s="72" t="str">
        <f>HYPERLINK(_xlfn.CONCAT("https://jnj.sharepoint.com/:b:/r/teams/ContractIQ/Shared%20Documents/General/2025/Metadata-Contracts/Ind%20Ship_To%20UCN/Raw%20Contracts/",AK452),"link")</f>
        <v>link</v>
      </c>
      <c r="AK452" s="22"/>
      <c r="AL452" s="22"/>
    </row>
    <row r="453" spans="1:38" ht="18" customHeight="1">
      <c r="A453" s="16" t="s">
        <v>1800</v>
      </c>
      <c r="B453" s="13" t="s">
        <v>1801</v>
      </c>
      <c r="C453" s="64" t="s">
        <v>486</v>
      </c>
      <c r="D453" s="16" t="s">
        <v>38</v>
      </c>
      <c r="E453" s="16"/>
      <c r="F453" s="16" t="s">
        <v>1793</v>
      </c>
      <c r="G453" s="28">
        <v>2</v>
      </c>
      <c r="H453" s="18">
        <v>44166</v>
      </c>
      <c r="I453" s="24" t="s">
        <v>1802</v>
      </c>
      <c r="J453" s="18">
        <v>42356</v>
      </c>
      <c r="K453" s="18" t="s">
        <v>38</v>
      </c>
      <c r="L453" s="19" t="s">
        <v>42</v>
      </c>
      <c r="M453" s="19" t="s">
        <v>544</v>
      </c>
      <c r="N453" s="13" t="s">
        <v>1788</v>
      </c>
      <c r="O453" s="13" t="s">
        <v>1794</v>
      </c>
      <c r="P453" s="13" t="s">
        <v>1781</v>
      </c>
      <c r="Q453" s="16" t="s">
        <v>1795</v>
      </c>
      <c r="R453" s="16" t="s">
        <v>1795</v>
      </c>
      <c r="S453" s="16" t="s">
        <v>1795</v>
      </c>
      <c r="T453" s="13" t="s">
        <v>1803</v>
      </c>
      <c r="U453" s="13" t="s">
        <v>1794</v>
      </c>
      <c r="V453" s="20" t="s">
        <v>38</v>
      </c>
      <c r="W453" s="13"/>
      <c r="X453" t="s">
        <v>1276</v>
      </c>
      <c r="Y453" s="13" t="s">
        <v>38</v>
      </c>
      <c r="Z453" s="13"/>
      <c r="AA453" s="16"/>
      <c r="AB453" s="16" t="str">
        <f t="shared" si="5"/>
        <v>Completed</v>
      </c>
      <c r="AC453" s="18">
        <v>46006</v>
      </c>
      <c r="AD453" s="18">
        <v>46008</v>
      </c>
      <c r="AE453" s="18">
        <v>46008</v>
      </c>
      <c r="AF453" s="15" t="s">
        <v>179</v>
      </c>
      <c r="AG453" s="18">
        <v>46013</v>
      </c>
      <c r="AH453" s="15" t="s">
        <v>179</v>
      </c>
      <c r="AI453" s="18">
        <v>46013</v>
      </c>
      <c r="AJ453" s="72" t="str">
        <f>HYPERLINK(_xlfn.CONCAT("https://jnj.sharepoint.com/:b:/r/teams/ContractIQ/Shared%20Documents/General/2025/Metadata-Contracts/Ind%20Ship_To%20UCN/Raw%20Contracts/",AK453),"link")</f>
        <v>link</v>
      </c>
      <c r="AK453" s="22"/>
      <c r="AL453" s="22"/>
    </row>
    <row r="454" spans="1:38" ht="18" customHeight="1">
      <c r="A454" s="16" t="s">
        <v>1804</v>
      </c>
      <c r="B454" s="13" t="s">
        <v>1805</v>
      </c>
      <c r="C454" s="64" t="s">
        <v>486</v>
      </c>
      <c r="D454" s="16" t="s">
        <v>38</v>
      </c>
      <c r="E454" s="16"/>
      <c r="F454" s="16" t="s">
        <v>1793</v>
      </c>
      <c r="G454" s="28">
        <v>3</v>
      </c>
      <c r="H454" s="18">
        <v>44518</v>
      </c>
      <c r="I454" s="24" t="s">
        <v>1798</v>
      </c>
      <c r="J454" s="18">
        <v>42356</v>
      </c>
      <c r="K454" s="18" t="s">
        <v>38</v>
      </c>
      <c r="L454" s="19" t="s">
        <v>42</v>
      </c>
      <c r="M454" s="19" t="s">
        <v>544</v>
      </c>
      <c r="N454" s="13" t="s">
        <v>1788</v>
      </c>
      <c r="O454" s="13" t="s">
        <v>1794</v>
      </c>
      <c r="P454" s="13" t="s">
        <v>1781</v>
      </c>
      <c r="Q454" s="16" t="s">
        <v>1795</v>
      </c>
      <c r="R454" s="16" t="s">
        <v>1795</v>
      </c>
      <c r="S454" s="16" t="s">
        <v>1795</v>
      </c>
      <c r="T454" s="13" t="s">
        <v>1806</v>
      </c>
      <c r="U454" s="13" t="s">
        <v>1794</v>
      </c>
      <c r="V454" s="20" t="s">
        <v>38</v>
      </c>
      <c r="W454" s="13"/>
      <c r="X454" t="s">
        <v>1276</v>
      </c>
      <c r="Y454" s="13" t="s">
        <v>38</v>
      </c>
      <c r="Z454" s="13"/>
      <c r="AA454" s="16"/>
      <c r="AB454" s="16" t="str">
        <f t="shared" si="5"/>
        <v>Completed</v>
      </c>
      <c r="AC454" s="18">
        <v>46006</v>
      </c>
      <c r="AD454" s="18">
        <v>46008</v>
      </c>
      <c r="AE454" s="18">
        <v>46008</v>
      </c>
      <c r="AF454" s="15" t="s">
        <v>179</v>
      </c>
      <c r="AG454" s="18">
        <v>46013</v>
      </c>
      <c r="AH454" s="15" t="s">
        <v>179</v>
      </c>
      <c r="AI454" s="18">
        <v>46013</v>
      </c>
      <c r="AJ454" s="72" t="str">
        <f>HYPERLINK(_xlfn.CONCAT("https://jnj.sharepoint.com/:b:/r/teams/ContractIQ/Shared%20Documents/General/2025/Metadata-Contracts/Ind%20Ship_To%20UCN/Raw%20Contracts/",AK454),"link")</f>
        <v>link</v>
      </c>
      <c r="AK454" s="22"/>
      <c r="AL454" s="22"/>
    </row>
    <row r="455" spans="1:38" ht="18" customHeight="1">
      <c r="A455" s="16" t="s">
        <v>1807</v>
      </c>
      <c r="B455" s="13" t="s">
        <v>1808</v>
      </c>
      <c r="C455" s="64" t="s">
        <v>179</v>
      </c>
      <c r="D455" s="16" t="s">
        <v>38</v>
      </c>
      <c r="E455" s="16" t="s">
        <v>38</v>
      </c>
      <c r="F455" s="14">
        <v>612830</v>
      </c>
      <c r="G455" s="28">
        <v>0</v>
      </c>
      <c r="H455" s="18">
        <v>44317</v>
      </c>
      <c r="I455" s="35" t="s">
        <v>1809</v>
      </c>
      <c r="J455" s="18">
        <v>44317</v>
      </c>
      <c r="K455" s="18">
        <v>44681</v>
      </c>
      <c r="L455" s="19" t="s">
        <v>95</v>
      </c>
      <c r="M455" s="67" t="s">
        <v>1810</v>
      </c>
      <c r="N455" s="13" t="s">
        <v>1811</v>
      </c>
      <c r="O455" s="13" t="s">
        <v>1812</v>
      </c>
      <c r="P455" s="13" t="s">
        <v>38</v>
      </c>
      <c r="Q455" s="15" t="s">
        <v>1813</v>
      </c>
      <c r="R455" s="15" t="s">
        <v>1813</v>
      </c>
      <c r="S455" s="15" t="s">
        <v>1813</v>
      </c>
      <c r="T455" s="13" t="s">
        <v>1808</v>
      </c>
      <c r="U455" s="13" t="s">
        <v>1812</v>
      </c>
      <c r="V455" s="20" t="s">
        <v>1814</v>
      </c>
      <c r="W455" s="13" t="s">
        <v>1815</v>
      </c>
      <c r="X455" t="s">
        <v>1276</v>
      </c>
      <c r="Y455" s="13" t="s">
        <v>1816</v>
      </c>
      <c r="Z455" s="13" t="s">
        <v>1817</v>
      </c>
      <c r="AA455" s="16"/>
      <c r="AB455" s="16" t="str">
        <f t="shared" si="5"/>
        <v>Completed</v>
      </c>
      <c r="AC455" s="18">
        <v>46006</v>
      </c>
      <c r="AD455" s="18">
        <v>46008</v>
      </c>
      <c r="AE455" s="18">
        <v>46009</v>
      </c>
      <c r="AF455" s="15" t="s">
        <v>486</v>
      </c>
      <c r="AG455" s="18">
        <v>46013</v>
      </c>
      <c r="AH455" s="15" t="s">
        <v>486</v>
      </c>
      <c r="AI455" s="18">
        <v>46013</v>
      </c>
      <c r="AJ455" s="72" t="str">
        <f>HYPERLINK(_xlfn.CONCAT("https://jnj.sharepoint.com/:b:/r/teams/ContractIQ/Shared%20Documents/General/2025/Metadata-Contracts/Ind%20Ship_To%20UCN/Raw%20Contracts/",AK455),"link")</f>
        <v>link</v>
      </c>
      <c r="AK455" s="22" t="s">
        <v>1818</v>
      </c>
      <c r="AL455" s="22"/>
    </row>
    <row r="456" spans="1:38" ht="18" customHeight="1">
      <c r="A456" s="16" t="s">
        <v>1819</v>
      </c>
      <c r="B456" s="13" t="s">
        <v>1820</v>
      </c>
      <c r="C456" s="64" t="s">
        <v>179</v>
      </c>
      <c r="D456" s="14">
        <v>18974</v>
      </c>
      <c r="E456" s="16" t="s">
        <v>38</v>
      </c>
      <c r="F456" s="14">
        <v>612830</v>
      </c>
      <c r="G456" s="28">
        <v>1</v>
      </c>
      <c r="H456" s="18">
        <v>44682</v>
      </c>
      <c r="I456" s="35" t="s">
        <v>1821</v>
      </c>
      <c r="J456" s="18">
        <v>44317</v>
      </c>
      <c r="K456" s="18">
        <v>45402</v>
      </c>
      <c r="L456" s="19" t="s">
        <v>95</v>
      </c>
      <c r="M456" s="67" t="s">
        <v>1810</v>
      </c>
      <c r="N456" s="13" t="s">
        <v>1822</v>
      </c>
      <c r="O456" s="13" t="s">
        <v>1812</v>
      </c>
      <c r="P456" s="13" t="s">
        <v>38</v>
      </c>
      <c r="Q456" s="15" t="s">
        <v>1813</v>
      </c>
      <c r="R456" s="15" t="s">
        <v>1813</v>
      </c>
      <c r="S456" s="15" t="s">
        <v>1813</v>
      </c>
      <c r="T456" s="13" t="s">
        <v>1820</v>
      </c>
      <c r="U456" s="13" t="s">
        <v>1812</v>
      </c>
      <c r="V456" s="20" t="s">
        <v>1814</v>
      </c>
      <c r="W456" s="13" t="s">
        <v>1815</v>
      </c>
      <c r="X456" t="s">
        <v>1276</v>
      </c>
      <c r="Y456" s="13" t="s">
        <v>1816</v>
      </c>
      <c r="Z456" s="13" t="s">
        <v>1817</v>
      </c>
      <c r="AA456" s="16"/>
      <c r="AB456" s="16" t="str">
        <f t="shared" si="5"/>
        <v>Completed</v>
      </c>
      <c r="AC456" s="18">
        <v>46006</v>
      </c>
      <c r="AD456" s="18">
        <v>46008</v>
      </c>
      <c r="AE456" s="18">
        <v>46009</v>
      </c>
      <c r="AF456" s="15" t="s">
        <v>856</v>
      </c>
      <c r="AG456" s="18">
        <v>46013</v>
      </c>
      <c r="AH456" s="15" t="s">
        <v>856</v>
      </c>
      <c r="AI456" s="18">
        <v>46013</v>
      </c>
      <c r="AJ456" s="72" t="str">
        <f>HYPERLINK(_xlfn.CONCAT("https://jnj.sharepoint.com/:b:/r/teams/ContractIQ/Shared%20Documents/General/2025/Metadata-Contracts/Ind%20Ship_To%20UCN/Raw%20Contracts/",AK456),"link")</f>
        <v>link</v>
      </c>
      <c r="AK456" s="22" t="s">
        <v>1823</v>
      </c>
      <c r="AL456" s="22"/>
    </row>
    <row r="457" spans="1:38" ht="18" customHeight="1">
      <c r="A457" s="16" t="s">
        <v>1824</v>
      </c>
      <c r="B457" s="13" t="s">
        <v>1825</v>
      </c>
      <c r="C457" s="64" t="s">
        <v>179</v>
      </c>
      <c r="D457" s="16" t="s">
        <v>38</v>
      </c>
      <c r="E457" s="16" t="s">
        <v>38</v>
      </c>
      <c r="F457" s="14">
        <v>612830</v>
      </c>
      <c r="G457" s="28">
        <v>2</v>
      </c>
      <c r="H457" s="18">
        <v>44883</v>
      </c>
      <c r="I457" s="35" t="s">
        <v>1826</v>
      </c>
      <c r="J457" s="18">
        <v>44317</v>
      </c>
      <c r="K457" s="18">
        <v>45402</v>
      </c>
      <c r="L457" s="19" t="s">
        <v>95</v>
      </c>
      <c r="M457" s="67" t="s">
        <v>1810</v>
      </c>
      <c r="N457" s="13" t="s">
        <v>1822</v>
      </c>
      <c r="O457" s="13" t="s">
        <v>1812</v>
      </c>
      <c r="P457" s="13" t="s">
        <v>38</v>
      </c>
      <c r="Q457" s="15" t="s">
        <v>1813</v>
      </c>
      <c r="R457" s="15" t="s">
        <v>1813</v>
      </c>
      <c r="S457" s="15" t="s">
        <v>1813</v>
      </c>
      <c r="T457" s="13" t="s">
        <v>1825</v>
      </c>
      <c r="U457" s="13" t="s">
        <v>1812</v>
      </c>
      <c r="V457" s="20" t="s">
        <v>1814</v>
      </c>
      <c r="W457" s="13" t="s">
        <v>1815</v>
      </c>
      <c r="X457" t="s">
        <v>1276</v>
      </c>
      <c r="Y457" s="20" t="s">
        <v>1827</v>
      </c>
      <c r="Z457" s="13"/>
      <c r="AA457" s="16"/>
      <c r="AB457" s="16" t="str">
        <f t="shared" si="5"/>
        <v>Completed</v>
      </c>
      <c r="AC457" s="18">
        <v>46006</v>
      </c>
      <c r="AD457" s="18">
        <v>46008</v>
      </c>
      <c r="AE457" s="18">
        <v>46009</v>
      </c>
      <c r="AF457" s="15" t="s">
        <v>856</v>
      </c>
      <c r="AG457" s="18">
        <v>46013</v>
      </c>
      <c r="AH457" s="15" t="s">
        <v>856</v>
      </c>
      <c r="AI457" s="18">
        <v>46013</v>
      </c>
      <c r="AJ457" s="72" t="str">
        <f>HYPERLINK(_xlfn.CONCAT("https://jnj.sharepoint.com/:b:/r/teams/ContractIQ/Shared%20Documents/General/2025/Metadata-Contracts/Ind%20Ship_To%20UCN/Raw%20Contracts/",AK457),"link")</f>
        <v>link</v>
      </c>
      <c r="AK457" s="22" t="s">
        <v>1828</v>
      </c>
      <c r="AL457" s="22"/>
    </row>
    <row r="458" spans="1:38" ht="18" customHeight="1">
      <c r="A458" s="16" t="s">
        <v>1829</v>
      </c>
      <c r="B458" s="13" t="s">
        <v>1830</v>
      </c>
      <c r="C458" s="64" t="s">
        <v>179</v>
      </c>
      <c r="D458" s="14">
        <v>184196</v>
      </c>
      <c r="E458" s="16" t="s">
        <v>38</v>
      </c>
      <c r="F458" s="14">
        <v>612830</v>
      </c>
      <c r="G458" s="28">
        <v>3</v>
      </c>
      <c r="H458" s="18">
        <v>45412</v>
      </c>
      <c r="I458" s="35" t="s">
        <v>1831</v>
      </c>
      <c r="J458" s="18">
        <v>44317</v>
      </c>
      <c r="K458" s="18">
        <v>46142</v>
      </c>
      <c r="L458" s="19" t="s">
        <v>95</v>
      </c>
      <c r="M458" s="67" t="s">
        <v>1810</v>
      </c>
      <c r="N458" s="13" t="s">
        <v>1822</v>
      </c>
      <c r="O458" s="13" t="s">
        <v>1812</v>
      </c>
      <c r="P458" s="13" t="s">
        <v>38</v>
      </c>
      <c r="Q458" s="15" t="s">
        <v>1813</v>
      </c>
      <c r="R458" s="15" t="s">
        <v>1813</v>
      </c>
      <c r="S458" s="15" t="s">
        <v>1813</v>
      </c>
      <c r="T458" s="13" t="s">
        <v>1830</v>
      </c>
      <c r="U458" s="13" t="s">
        <v>1812</v>
      </c>
      <c r="V458" s="20" t="s">
        <v>1814</v>
      </c>
      <c r="W458" s="13" t="s">
        <v>1815</v>
      </c>
      <c r="X458" t="s">
        <v>1276</v>
      </c>
      <c r="Y458" s="20" t="s">
        <v>1832</v>
      </c>
      <c r="Z458" s="13"/>
      <c r="AA458" s="16"/>
      <c r="AB458" s="16" t="str">
        <f t="shared" si="5"/>
        <v>Completed</v>
      </c>
      <c r="AC458" s="18">
        <v>46006</v>
      </c>
      <c r="AD458" s="18">
        <v>46008</v>
      </c>
      <c r="AE458" s="18">
        <v>46009</v>
      </c>
      <c r="AF458" s="15" t="s">
        <v>856</v>
      </c>
      <c r="AG458" s="18">
        <v>46013</v>
      </c>
      <c r="AH458" s="15" t="s">
        <v>856</v>
      </c>
      <c r="AI458" s="18">
        <v>46013</v>
      </c>
      <c r="AJ458" s="72" t="str">
        <f>HYPERLINK(_xlfn.CONCAT("https://jnj.sharepoint.com/:b:/r/teams/ContractIQ/Shared%20Documents/General/2025/Metadata-Contracts/Ind%20Ship_To%20UCN/Raw%20Contracts/",AK458),"link")</f>
        <v>link</v>
      </c>
      <c r="AK458" s="22" t="s">
        <v>1833</v>
      </c>
      <c r="AL458" s="22"/>
    </row>
    <row r="459" spans="1:38" ht="18" customHeight="1">
      <c r="A459" s="16" t="s">
        <v>1834</v>
      </c>
      <c r="B459" s="13" t="s">
        <v>1835</v>
      </c>
      <c r="C459" s="64" t="s">
        <v>179</v>
      </c>
      <c r="D459" s="16" t="s">
        <v>38</v>
      </c>
      <c r="E459" s="16" t="s">
        <v>38</v>
      </c>
      <c r="F459" s="14" t="s">
        <v>38</v>
      </c>
      <c r="G459" s="28">
        <v>0</v>
      </c>
      <c r="H459" s="18">
        <v>42731</v>
      </c>
      <c r="I459" s="35" t="s">
        <v>1768</v>
      </c>
      <c r="J459" s="18">
        <v>42731</v>
      </c>
      <c r="K459" s="18" t="s">
        <v>38</v>
      </c>
      <c r="L459" s="19" t="s">
        <v>42</v>
      </c>
      <c r="M459" s="19" t="s">
        <v>1779</v>
      </c>
      <c r="N459" s="13" t="s">
        <v>1604</v>
      </c>
      <c r="O459" t="s">
        <v>1836</v>
      </c>
      <c r="P459" t="s">
        <v>1771</v>
      </c>
      <c r="Q459" s="15" t="s">
        <v>1837</v>
      </c>
      <c r="R459" s="15" t="s">
        <v>1837</v>
      </c>
      <c r="S459" s="15" t="s">
        <v>1837</v>
      </c>
      <c r="T459" s="13" t="s">
        <v>1835</v>
      </c>
      <c r="U459" t="s">
        <v>1836</v>
      </c>
      <c r="V459" s="20" t="s">
        <v>38</v>
      </c>
      <c r="W459" s="13"/>
      <c r="X459" t="s">
        <v>1276</v>
      </c>
      <c r="Y459" t="s">
        <v>1838</v>
      </c>
      <c r="Z459" t="s">
        <v>1839</v>
      </c>
      <c r="AA459" s="19" t="s">
        <v>1840</v>
      </c>
      <c r="AB459" s="16" t="str">
        <f t="shared" si="5"/>
        <v>Completed</v>
      </c>
      <c r="AC459" s="18">
        <v>46006</v>
      </c>
      <c r="AD459" s="18">
        <v>46008</v>
      </c>
      <c r="AE459" s="18">
        <v>46009</v>
      </c>
      <c r="AF459" s="15" t="s">
        <v>486</v>
      </c>
      <c r="AG459" s="18">
        <v>46013</v>
      </c>
      <c r="AH459" s="15" t="s">
        <v>486</v>
      </c>
      <c r="AI459" s="18">
        <v>46013</v>
      </c>
      <c r="AJ459" s="72" t="str">
        <f>HYPERLINK(_xlfn.CONCAT("https://jnj.sharepoint.com/:b:/r/teams/ContractIQ/Shared%20Documents/General/2025/Metadata-Contracts/Ind%20Ship_To%20UCN/Raw%20Contracts/",AK459),"link")</f>
        <v>link</v>
      </c>
      <c r="AK459" s="22" t="s">
        <v>1841</v>
      </c>
      <c r="AL459" s="22"/>
    </row>
    <row r="460" spans="1:38" ht="18" customHeight="1">
      <c r="A460" s="16" t="s">
        <v>1842</v>
      </c>
      <c r="B460" s="13" t="s">
        <v>1843</v>
      </c>
      <c r="C460" s="64" t="s">
        <v>1015</v>
      </c>
      <c r="D460" s="16">
        <v>138904</v>
      </c>
      <c r="E460" s="16" t="s">
        <v>38</v>
      </c>
      <c r="F460" s="16" t="s">
        <v>38</v>
      </c>
      <c r="G460" s="28">
        <v>0</v>
      </c>
      <c r="H460" s="18">
        <v>44866</v>
      </c>
      <c r="I460" s="19" t="s">
        <v>638</v>
      </c>
      <c r="J460" s="18">
        <v>44866</v>
      </c>
      <c r="K460" s="18">
        <v>46691</v>
      </c>
      <c r="L460" s="19" t="s">
        <v>54</v>
      </c>
      <c r="M460" s="19" t="s">
        <v>776</v>
      </c>
      <c r="N460" s="13" t="s">
        <v>638</v>
      </c>
      <c r="O460" t="s">
        <v>1780</v>
      </c>
      <c r="P460" s="13" t="s">
        <v>1781</v>
      </c>
      <c r="Q460" s="16">
        <v>5737</v>
      </c>
      <c r="R460" s="16">
        <v>5737</v>
      </c>
      <c r="S460" s="16">
        <v>5737</v>
      </c>
      <c r="T460" t="s">
        <v>1844</v>
      </c>
      <c r="U460" t="s">
        <v>1275</v>
      </c>
      <c r="V460" s="20" t="s">
        <v>196</v>
      </c>
      <c r="W460" s="13" t="s">
        <v>38</v>
      </c>
      <c r="X460" t="s">
        <v>1276</v>
      </c>
      <c r="Y460" t="s">
        <v>1845</v>
      </c>
      <c r="Z460" s="13"/>
      <c r="AA460" s="19" t="s">
        <v>1846</v>
      </c>
      <c r="AB460" s="16" t="str">
        <f t="shared" si="5"/>
        <v>Completed</v>
      </c>
      <c r="AC460" s="18">
        <v>46006</v>
      </c>
      <c r="AD460" s="18">
        <v>46009</v>
      </c>
      <c r="AE460" s="18">
        <v>46009</v>
      </c>
      <c r="AF460" s="15" t="s">
        <v>773</v>
      </c>
      <c r="AG460" s="18">
        <v>46013</v>
      </c>
      <c r="AH460" s="15" t="s">
        <v>773</v>
      </c>
      <c r="AI460" s="18">
        <v>46013</v>
      </c>
      <c r="AJ460" s="72" t="e">
        <f>HYPERLINK(_xlfn.CONCAT("https://jnj.sharepoint.com/:b:/r/teams/ContractIQ/Shared%20Documents/General/2025/Metadata-Contracts/Ind%20Ship_To%20UCN/Raw%20Contracts/",AK460),"link")</f>
        <v>#N/A</v>
      </c>
      <c r="AK460" s="22" t="e">
        <f>_xlfn.XLOOKUP(B460,[1]Sheet2!A:A,[1]Sheet2!B:B)</f>
        <v>#N/A</v>
      </c>
      <c r="AL460" s="22"/>
    </row>
    <row r="461" spans="1:38" ht="18" customHeight="1">
      <c r="A461" s="16" t="s">
        <v>1847</v>
      </c>
      <c r="B461" s="13" t="s">
        <v>772</v>
      </c>
      <c r="C461" s="64" t="s">
        <v>1015</v>
      </c>
      <c r="D461" s="15" t="s">
        <v>774</v>
      </c>
      <c r="E461" s="16" t="s">
        <v>775</v>
      </c>
      <c r="F461" s="15">
        <v>630660</v>
      </c>
      <c r="G461" s="16">
        <v>0</v>
      </c>
      <c r="H461" s="18">
        <v>44866</v>
      </c>
      <c r="I461" s="19" t="s">
        <v>638</v>
      </c>
      <c r="J461" s="18">
        <v>44866</v>
      </c>
      <c r="K461" s="18">
        <v>45961</v>
      </c>
      <c r="L461" s="19" t="s">
        <v>54</v>
      </c>
      <c r="M461" s="19" t="s">
        <v>776</v>
      </c>
      <c r="N461" s="13" t="s">
        <v>638</v>
      </c>
      <c r="O461" s="13" t="s">
        <v>777</v>
      </c>
      <c r="P461" s="13" t="s">
        <v>778</v>
      </c>
      <c r="Q461" s="16">
        <v>5751</v>
      </c>
      <c r="R461" s="16">
        <v>5751</v>
      </c>
      <c r="S461" s="16">
        <v>5751</v>
      </c>
      <c r="T461" s="13" t="s">
        <v>779</v>
      </c>
      <c r="U461" s="13" t="s">
        <v>780</v>
      </c>
      <c r="V461" s="20" t="s">
        <v>781</v>
      </c>
      <c r="W461" s="13"/>
      <c r="X461" s="13" t="s">
        <v>782</v>
      </c>
      <c r="Y461" s="13" t="s">
        <v>783</v>
      </c>
      <c r="Z461" s="13"/>
      <c r="AA461" s="16"/>
      <c r="AB461" s="16" t="s">
        <v>1244</v>
      </c>
      <c r="AC461" s="18">
        <v>46006</v>
      </c>
      <c r="AD461" s="18">
        <v>46008</v>
      </c>
      <c r="AE461" s="18">
        <v>46008</v>
      </c>
      <c r="AF461" s="15"/>
      <c r="AG461" s="18"/>
      <c r="AH461" s="15"/>
      <c r="AI461" s="18"/>
      <c r="AJ461" s="72" t="str">
        <f>HYPERLINK(_xlfn.CONCAT("https://jnj.sharepoint.com/:b:/r/teams/ContractIQ/Shared%20Documents/General/2025/Metadata-Contracts/Ind%20Ship_To%20UCN/Raw%20Contracts/",AK461),"link")</f>
        <v>link</v>
      </c>
      <c r="AK461" s="22"/>
      <c r="AL461" s="22"/>
    </row>
    <row r="462" spans="1:38" ht="18" customHeight="1">
      <c r="A462" s="16" t="s">
        <v>1848</v>
      </c>
      <c r="B462" s="13" t="s">
        <v>785</v>
      </c>
      <c r="C462" s="64" t="s">
        <v>1015</v>
      </c>
      <c r="D462" s="15">
        <v>224399</v>
      </c>
      <c r="E462" s="16" t="s">
        <v>775</v>
      </c>
      <c r="F462" s="15">
        <v>630660</v>
      </c>
      <c r="G462" s="16">
        <v>1</v>
      </c>
      <c r="H462" s="18">
        <v>45807</v>
      </c>
      <c r="I462" s="19" t="s">
        <v>786</v>
      </c>
      <c r="J462" s="18">
        <v>44866</v>
      </c>
      <c r="K462" s="18">
        <v>45961</v>
      </c>
      <c r="L462" s="19" t="s">
        <v>54</v>
      </c>
      <c r="M462" s="19" t="s">
        <v>776</v>
      </c>
      <c r="N462" s="13" t="s">
        <v>638</v>
      </c>
      <c r="O462" s="13" t="s">
        <v>777</v>
      </c>
      <c r="P462" s="13" t="s">
        <v>778</v>
      </c>
      <c r="Q462" s="16">
        <v>5751</v>
      </c>
      <c r="R462" s="16">
        <v>5751</v>
      </c>
      <c r="S462" s="16">
        <v>5751</v>
      </c>
      <c r="T462" s="13" t="s">
        <v>787</v>
      </c>
      <c r="U462" s="13" t="s">
        <v>788</v>
      </c>
      <c r="V462" s="20" t="s">
        <v>781</v>
      </c>
      <c r="W462" s="13"/>
      <c r="X462" s="13" t="s">
        <v>782</v>
      </c>
      <c r="Y462" s="13"/>
      <c r="Z462" s="13"/>
      <c r="AA462" s="16"/>
      <c r="AB462" s="16" t="s">
        <v>1244</v>
      </c>
      <c r="AC462" s="18">
        <v>46006</v>
      </c>
      <c r="AD462" s="18">
        <v>46008</v>
      </c>
      <c r="AE462" s="18">
        <v>46008</v>
      </c>
      <c r="AF462" s="15"/>
      <c r="AG462" s="18"/>
      <c r="AH462" s="15"/>
      <c r="AI462" s="18"/>
      <c r="AJ462" s="72" t="str">
        <f>HYPERLINK(_xlfn.CONCAT("https://jnj.sharepoint.com/:b:/r/teams/ContractIQ/Shared%20Documents/General/2025/Metadata-Contracts/Ind%20Ship_To%20UCN/Raw%20Contracts/",AK462),"link")</f>
        <v>link</v>
      </c>
      <c r="AK462" s="22"/>
      <c r="AL462" s="22"/>
    </row>
    <row r="463" spans="1:38" ht="18" customHeight="1">
      <c r="A463" s="16" t="s">
        <v>1849</v>
      </c>
      <c r="B463" s="13" t="s">
        <v>1850</v>
      </c>
      <c r="C463" s="64" t="s">
        <v>179</v>
      </c>
      <c r="D463" s="85" t="s">
        <v>1851</v>
      </c>
      <c r="E463" s="16" t="s">
        <v>38</v>
      </c>
      <c r="F463" s="15" t="s">
        <v>1852</v>
      </c>
      <c r="G463" s="28">
        <v>0</v>
      </c>
      <c r="H463" s="18">
        <v>44903</v>
      </c>
      <c r="I463" s="35" t="s">
        <v>1853</v>
      </c>
      <c r="J463" s="18">
        <v>44903</v>
      </c>
      <c r="K463" s="18">
        <v>45267</v>
      </c>
      <c r="L463" s="19" t="s">
        <v>95</v>
      </c>
      <c r="M463" s="19" t="s">
        <v>134</v>
      </c>
      <c r="N463" s="13" t="s">
        <v>289</v>
      </c>
      <c r="O463" t="s">
        <v>1854</v>
      </c>
      <c r="P463" s="13"/>
      <c r="Q463" s="58" t="s">
        <v>1855</v>
      </c>
      <c r="R463" s="58" t="s">
        <v>1855</v>
      </c>
      <c r="S463" s="58" t="s">
        <v>1855</v>
      </c>
      <c r="T463" t="s">
        <v>1856</v>
      </c>
      <c r="U463" t="s">
        <v>1854</v>
      </c>
      <c r="V463" s="20" t="s">
        <v>1857</v>
      </c>
      <c r="W463" s="13"/>
      <c r="X463" s="13" t="s">
        <v>38</v>
      </c>
      <c r="Y463" s="13" t="s">
        <v>38</v>
      </c>
      <c r="Z463" s="13"/>
      <c r="AA463" s="16"/>
      <c r="AB463" s="16" t="str">
        <f t="shared" ref="AB463:AB471" si="6">IF(NOT(ISBLANK(AD463)),IF(NOT(ISBLANK(AE463)),IF(NOT(ISBLANK(AG463)),IF(NOT(ISBLANK(AI463)),"Completed","For Final Review"),"For Peer Check"),"In Progress"),"Not Started")</f>
        <v>Completed</v>
      </c>
      <c r="AC463" s="18">
        <v>46006</v>
      </c>
      <c r="AD463" s="18">
        <v>46008</v>
      </c>
      <c r="AE463" s="18">
        <v>46008</v>
      </c>
      <c r="AF463" s="15" t="s">
        <v>486</v>
      </c>
      <c r="AG463" s="18">
        <v>46013</v>
      </c>
      <c r="AH463" s="15" t="s">
        <v>486</v>
      </c>
      <c r="AI463" s="18">
        <v>46013</v>
      </c>
      <c r="AJ463" s="72" t="e">
        <f>HYPERLINK(_xlfn.CONCAT("https://jnj.sharepoint.com/:b:/r/teams/ContractIQ/Shared%20Documents/General/2025/Metadata-Contracts/Ind%20Ship_To%20UCN/Raw%20Contracts/",AK463),"link")</f>
        <v>#N/A</v>
      </c>
      <c r="AK463" s="22" t="e">
        <f>_xlfn.XLOOKUP(B463,[1]Sheet2!A:A,[1]Sheet2!B:B)</f>
        <v>#N/A</v>
      </c>
      <c r="AL463" s="22"/>
    </row>
    <row r="464" spans="1:38" ht="18" customHeight="1">
      <c r="A464" s="16" t="s">
        <v>1858</v>
      </c>
      <c r="B464" s="13" t="s">
        <v>1859</v>
      </c>
      <c r="C464" s="64" t="s">
        <v>179</v>
      </c>
      <c r="D464" s="58" t="s">
        <v>1860</v>
      </c>
      <c r="E464" s="16" t="s">
        <v>38</v>
      </c>
      <c r="F464" s="15" t="s">
        <v>1852</v>
      </c>
      <c r="G464" s="28">
        <v>1</v>
      </c>
      <c r="H464" s="18">
        <v>45267</v>
      </c>
      <c r="I464" s="35" t="s">
        <v>1861</v>
      </c>
      <c r="J464" s="18">
        <v>44903</v>
      </c>
      <c r="K464" s="18">
        <v>45998</v>
      </c>
      <c r="L464" s="19" t="s">
        <v>95</v>
      </c>
      <c r="M464" s="19" t="s">
        <v>134</v>
      </c>
      <c r="N464" s="13" t="s">
        <v>1862</v>
      </c>
      <c r="O464" t="s">
        <v>1854</v>
      </c>
      <c r="P464" s="13"/>
      <c r="Q464" s="58" t="s">
        <v>1855</v>
      </c>
      <c r="R464" s="58" t="s">
        <v>1855</v>
      </c>
      <c r="S464" s="58" t="s">
        <v>1855</v>
      </c>
      <c r="T464" t="s">
        <v>1856</v>
      </c>
      <c r="U464" t="s">
        <v>1854</v>
      </c>
      <c r="V464" s="20" t="s">
        <v>1857</v>
      </c>
      <c r="W464" s="13"/>
      <c r="X464" s="13" t="s">
        <v>38</v>
      </c>
      <c r="Y464" s="13" t="s">
        <v>38</v>
      </c>
      <c r="Z464" s="13"/>
      <c r="AA464" s="19" t="s">
        <v>1863</v>
      </c>
      <c r="AB464" s="16" t="str">
        <f t="shared" si="6"/>
        <v>Completed</v>
      </c>
      <c r="AC464" s="18">
        <v>46006</v>
      </c>
      <c r="AD464" s="18">
        <v>46008</v>
      </c>
      <c r="AE464" s="18">
        <v>46008</v>
      </c>
      <c r="AF464" s="15" t="s">
        <v>486</v>
      </c>
      <c r="AG464" s="18">
        <v>46013</v>
      </c>
      <c r="AH464" s="15" t="s">
        <v>486</v>
      </c>
      <c r="AI464" s="18">
        <v>46013</v>
      </c>
      <c r="AJ464" s="72" t="e">
        <f>HYPERLINK(_xlfn.CONCAT("https://jnj.sharepoint.com/:b:/r/teams/ContractIQ/Shared%20Documents/General/2025/Metadata-Contracts/Ind%20Ship_To%20UCN/Raw%20Contracts/",AK464),"link")</f>
        <v>#N/A</v>
      </c>
      <c r="AK464" s="22" t="e">
        <f>_xlfn.XLOOKUP(B464,[1]Sheet2!A:A,[1]Sheet2!B:B)</f>
        <v>#N/A</v>
      </c>
      <c r="AL464" s="22"/>
    </row>
    <row r="465" spans="1:38" ht="18" customHeight="1">
      <c r="A465" s="16" t="s">
        <v>1864</v>
      </c>
      <c r="B465" s="13" t="s">
        <v>1865</v>
      </c>
      <c r="C465" s="64" t="s">
        <v>179</v>
      </c>
      <c r="D465" s="16" t="s">
        <v>38</v>
      </c>
      <c r="E465" s="16" t="s">
        <v>38</v>
      </c>
      <c r="F465" s="16" t="s">
        <v>38</v>
      </c>
      <c r="G465" s="28">
        <v>0</v>
      </c>
      <c r="H465" s="18">
        <v>44958</v>
      </c>
      <c r="I465" s="35" t="s">
        <v>1663</v>
      </c>
      <c r="J465" s="18">
        <v>44958</v>
      </c>
      <c r="K465" s="18">
        <v>46053</v>
      </c>
      <c r="L465" s="19" t="s">
        <v>1664</v>
      </c>
      <c r="M465" s="19" t="s">
        <v>1665</v>
      </c>
      <c r="N465" s="13" t="s">
        <v>1666</v>
      </c>
      <c r="O465" s="13" t="s">
        <v>698</v>
      </c>
      <c r="P465" s="13" t="s">
        <v>1866</v>
      </c>
      <c r="Q465" s="15" t="s">
        <v>1867</v>
      </c>
      <c r="R465" s="15" t="s">
        <v>1837</v>
      </c>
      <c r="S465" s="15" t="s">
        <v>1837</v>
      </c>
      <c r="T465" s="13" t="s">
        <v>1865</v>
      </c>
      <c r="U465" s="13" t="s">
        <v>1836</v>
      </c>
      <c r="V465" s="20" t="s">
        <v>1868</v>
      </c>
      <c r="W465" s="13"/>
      <c r="X465" s="13" t="s">
        <v>1669</v>
      </c>
      <c r="Y465" s="13" t="s">
        <v>1869</v>
      </c>
      <c r="Z465" s="13"/>
      <c r="AA465" s="16"/>
      <c r="AB465" s="16" t="str">
        <f t="shared" si="6"/>
        <v>Completed</v>
      </c>
      <c r="AC465" s="18">
        <v>46006</v>
      </c>
      <c r="AD465" s="18">
        <v>46009</v>
      </c>
      <c r="AE465" s="18">
        <v>46009</v>
      </c>
      <c r="AF465" s="15" t="s">
        <v>486</v>
      </c>
      <c r="AG465" s="18">
        <v>46013</v>
      </c>
      <c r="AH465" s="15" t="s">
        <v>486</v>
      </c>
      <c r="AI465" s="18">
        <v>46013</v>
      </c>
      <c r="AJ465" s="72" t="str">
        <f>HYPERLINK(_xlfn.CONCAT("https://jnj.sharepoint.com/:b:/r/teams/ContractIQ/Shared%20Documents/General/2025/Metadata-Contracts/Ind%20Ship_To%20UCN/Raw%20Contracts/",AK465),"link")</f>
        <v>link</v>
      </c>
      <c r="AK465" s="22"/>
      <c r="AL465" s="22"/>
    </row>
    <row r="466" spans="1:38" ht="18" customHeight="1">
      <c r="A466" s="16" t="s">
        <v>1870</v>
      </c>
      <c r="B466" s="13" t="s">
        <v>1871</v>
      </c>
      <c r="C466" s="64" t="s">
        <v>179</v>
      </c>
      <c r="D466" s="16" t="s">
        <v>38</v>
      </c>
      <c r="E466" s="16" t="s">
        <v>38</v>
      </c>
      <c r="F466" s="16" t="s">
        <v>38</v>
      </c>
      <c r="G466" s="28">
        <v>1</v>
      </c>
      <c r="H466" s="18">
        <v>45230</v>
      </c>
      <c r="I466" s="24" t="s">
        <v>1872</v>
      </c>
      <c r="J466" s="18">
        <v>44958</v>
      </c>
      <c r="K466" s="18">
        <v>46053</v>
      </c>
      <c r="L466" s="19" t="s">
        <v>1664</v>
      </c>
      <c r="M466" s="19" t="s">
        <v>1665</v>
      </c>
      <c r="N466" s="13" t="s">
        <v>1873</v>
      </c>
      <c r="O466" s="13" t="s">
        <v>698</v>
      </c>
      <c r="P466" s="13" t="s">
        <v>1866</v>
      </c>
      <c r="Q466" s="15" t="s">
        <v>1867</v>
      </c>
      <c r="R466" s="15" t="s">
        <v>1837</v>
      </c>
      <c r="S466" s="15" t="s">
        <v>1837</v>
      </c>
      <c r="T466" s="67" t="s">
        <v>1865</v>
      </c>
      <c r="U466" s="13" t="s">
        <v>1836</v>
      </c>
      <c r="V466" s="20" t="s">
        <v>1868</v>
      </c>
      <c r="W466" s="13"/>
      <c r="X466" s="13" t="s">
        <v>1669</v>
      </c>
      <c r="Y466" s="13" t="s">
        <v>1869</v>
      </c>
      <c r="Z466" s="13"/>
      <c r="AA466" s="19" t="s">
        <v>1874</v>
      </c>
      <c r="AB466" s="16" t="str">
        <f t="shared" si="6"/>
        <v>Completed</v>
      </c>
      <c r="AC466" s="18">
        <v>46006</v>
      </c>
      <c r="AD466" s="18">
        <v>46009</v>
      </c>
      <c r="AE466" s="18">
        <v>46009</v>
      </c>
      <c r="AF466" s="15" t="s">
        <v>486</v>
      </c>
      <c r="AG466" s="18">
        <v>46013</v>
      </c>
      <c r="AH466" s="15" t="s">
        <v>486</v>
      </c>
      <c r="AI466" s="18">
        <v>46013</v>
      </c>
      <c r="AJ466" s="72" t="str">
        <f>HYPERLINK(_xlfn.CONCAT("https://jnj.sharepoint.com/:b:/r/teams/ContractIQ/Shared%20Documents/General/2025/Metadata-Contracts/Ind%20Ship_To%20UCN/Raw%20Contracts/",AK466),"link")</f>
        <v>link</v>
      </c>
      <c r="AK466" s="22"/>
      <c r="AL466" s="22"/>
    </row>
    <row r="467" spans="1:38" ht="18" customHeight="1">
      <c r="A467" s="16" t="s">
        <v>1875</v>
      </c>
      <c r="B467" s="13" t="s">
        <v>1876</v>
      </c>
      <c r="C467" s="64" t="s">
        <v>179</v>
      </c>
      <c r="D467" s="16" t="s">
        <v>38</v>
      </c>
      <c r="E467" s="16" t="s">
        <v>38</v>
      </c>
      <c r="F467" s="16" t="s">
        <v>38</v>
      </c>
      <c r="G467" s="28">
        <v>2</v>
      </c>
      <c r="H467" s="18">
        <v>45282</v>
      </c>
      <c r="I467" s="35" t="s">
        <v>1877</v>
      </c>
      <c r="J467" s="18">
        <v>44958</v>
      </c>
      <c r="K467" s="18">
        <v>46053</v>
      </c>
      <c r="L467" s="19" t="s">
        <v>1664</v>
      </c>
      <c r="M467" s="19" t="s">
        <v>1665</v>
      </c>
      <c r="N467" s="13" t="s">
        <v>1666</v>
      </c>
      <c r="O467" s="13" t="s">
        <v>698</v>
      </c>
      <c r="P467" s="13" t="s">
        <v>1866</v>
      </c>
      <c r="Q467" s="15" t="s">
        <v>1867</v>
      </c>
      <c r="R467" s="41" t="s">
        <v>1878</v>
      </c>
      <c r="S467" s="41" t="s">
        <v>1878</v>
      </c>
      <c r="T467" s="13" t="s">
        <v>1876</v>
      </c>
      <c r="U467" s="20" t="s">
        <v>1879</v>
      </c>
      <c r="V467" s="20" t="s">
        <v>1868</v>
      </c>
      <c r="W467" s="13"/>
      <c r="X467" s="13" t="s">
        <v>1669</v>
      </c>
      <c r="Y467" s="13" t="s">
        <v>1869</v>
      </c>
      <c r="Z467" s="13"/>
      <c r="AA467" s="19" t="s">
        <v>1874</v>
      </c>
      <c r="AB467" s="16" t="str">
        <f t="shared" si="6"/>
        <v>Completed</v>
      </c>
      <c r="AC467" s="18">
        <v>46006</v>
      </c>
      <c r="AD467" s="18">
        <v>46009</v>
      </c>
      <c r="AE467" s="18">
        <v>46013</v>
      </c>
      <c r="AF467" s="15" t="s">
        <v>486</v>
      </c>
      <c r="AG467" s="18">
        <v>46013</v>
      </c>
      <c r="AH467" s="15" t="s">
        <v>486</v>
      </c>
      <c r="AI467" s="18">
        <v>46013</v>
      </c>
      <c r="AJ467" s="72" t="str">
        <f>HYPERLINK(_xlfn.CONCAT("https://jnj.sharepoint.com/:b:/r/teams/ContractIQ/Shared%20Documents/General/2025/Metadata-Contracts/Ind%20Ship_To%20UCN/Raw%20Contracts/",AK467),"link")</f>
        <v>link</v>
      </c>
      <c r="AK467" s="22"/>
      <c r="AL467" s="22"/>
    </row>
    <row r="468" spans="1:38" ht="18" customHeight="1">
      <c r="A468" s="16" t="s">
        <v>1880</v>
      </c>
      <c r="B468" s="13" t="s">
        <v>1881</v>
      </c>
      <c r="C468" s="64" t="s">
        <v>179</v>
      </c>
      <c r="D468" s="16" t="s">
        <v>38</v>
      </c>
      <c r="E468" s="16" t="s">
        <v>38</v>
      </c>
      <c r="F468" s="16" t="s">
        <v>38</v>
      </c>
      <c r="G468" s="28">
        <v>3</v>
      </c>
      <c r="H468" s="18">
        <v>45399</v>
      </c>
      <c r="I468" s="67" t="s">
        <v>1882</v>
      </c>
      <c r="J468" s="18">
        <v>44958</v>
      </c>
      <c r="K468" s="18">
        <v>46053</v>
      </c>
      <c r="L468" s="19" t="s">
        <v>1664</v>
      </c>
      <c r="M468" s="19" t="s">
        <v>1665</v>
      </c>
      <c r="N468" s="13" t="s">
        <v>1666</v>
      </c>
      <c r="O468" s="13" t="s">
        <v>698</v>
      </c>
      <c r="P468" s="13" t="s">
        <v>1866</v>
      </c>
      <c r="Q468" s="15" t="s">
        <v>1867</v>
      </c>
      <c r="R468" s="41" t="s">
        <v>38</v>
      </c>
      <c r="S468" s="41" t="s">
        <v>38</v>
      </c>
      <c r="T468" s="13" t="s">
        <v>1881</v>
      </c>
      <c r="U468" s="13" t="s">
        <v>1883</v>
      </c>
      <c r="V468" s="20" t="s">
        <v>1868</v>
      </c>
      <c r="W468" s="13"/>
      <c r="X468" s="13" t="s">
        <v>1669</v>
      </c>
      <c r="Y468" s="13" t="s">
        <v>1869</v>
      </c>
      <c r="Z468" s="13" t="s">
        <v>1884</v>
      </c>
      <c r="AA468" s="19" t="s">
        <v>1874</v>
      </c>
      <c r="AB468" s="16" t="str">
        <f t="shared" si="6"/>
        <v>Completed</v>
      </c>
      <c r="AC468" s="18">
        <v>46006</v>
      </c>
      <c r="AD468" s="18">
        <v>46009</v>
      </c>
      <c r="AE468" s="18">
        <v>46013</v>
      </c>
      <c r="AF468" s="15" t="s">
        <v>486</v>
      </c>
      <c r="AG468" s="18">
        <v>46013</v>
      </c>
      <c r="AH468" s="15" t="s">
        <v>486</v>
      </c>
      <c r="AI468" s="18">
        <v>46013</v>
      </c>
      <c r="AJ468" s="72" t="str">
        <f>HYPERLINK(_xlfn.CONCAT("https://jnj.sharepoint.com/:b:/r/teams/ContractIQ/Shared%20Documents/General/2025/Metadata-Contracts/Ind%20Ship_To%20UCN/Raw%20Contracts/",AK468),"link")</f>
        <v>link</v>
      </c>
      <c r="AK468" s="22"/>
      <c r="AL468" s="22"/>
    </row>
    <row r="469" spans="1:38" ht="18" customHeight="1">
      <c r="A469" s="16" t="s">
        <v>1885</v>
      </c>
      <c r="B469" s="13" t="s">
        <v>1886</v>
      </c>
      <c r="C469" s="64" t="s">
        <v>37</v>
      </c>
      <c r="D469" s="16" t="s">
        <v>38</v>
      </c>
      <c r="E469" s="16" t="s">
        <v>38</v>
      </c>
      <c r="F469" s="83">
        <v>512872</v>
      </c>
      <c r="G469" s="28">
        <v>0</v>
      </c>
      <c r="H469" s="18">
        <v>44937</v>
      </c>
      <c r="I469" s="24" t="s">
        <v>1887</v>
      </c>
      <c r="J469" s="18">
        <v>44937</v>
      </c>
      <c r="K469" s="18" t="s">
        <v>38</v>
      </c>
      <c r="L469" s="19" t="s">
        <v>95</v>
      </c>
      <c r="M469" s="19" t="s">
        <v>108</v>
      </c>
      <c r="N469" s="13" t="s">
        <v>1887</v>
      </c>
      <c r="O469" s="13" t="s">
        <v>1888</v>
      </c>
      <c r="P469" s="13" t="s">
        <v>38</v>
      </c>
      <c r="Q469" s="83" t="s">
        <v>38</v>
      </c>
      <c r="R469" s="83" t="s">
        <v>38</v>
      </c>
      <c r="S469" s="83" t="s">
        <v>38</v>
      </c>
      <c r="T469" s="13" t="s">
        <v>1889</v>
      </c>
      <c r="U469" s="76" t="s">
        <v>38</v>
      </c>
      <c r="V469" s="20" t="s">
        <v>38</v>
      </c>
      <c r="W469" s="13" t="s">
        <v>38</v>
      </c>
      <c r="X469" s="84" t="s">
        <v>1276</v>
      </c>
      <c r="Y469" s="13"/>
      <c r="Z469" s="13" t="s">
        <v>1773</v>
      </c>
      <c r="AA469" s="86" t="s">
        <v>1890</v>
      </c>
      <c r="AB469" s="16" t="str">
        <f>IF(NOT(ISBLANK(AD469)),IF(NOT(ISBLANK(AE469)),IF(NOT(ISBLANK(AG469)),IF(NOT(ISBLANK(AI469)),"Completed","For Final Review"),"For Peer Check"),"In Progress"),"Not Started")</f>
        <v>Completed</v>
      </c>
      <c r="AC469" s="18">
        <v>46006</v>
      </c>
      <c r="AD469" s="18">
        <v>46008</v>
      </c>
      <c r="AE469" s="18">
        <v>46009</v>
      </c>
      <c r="AF469" s="15" t="s">
        <v>486</v>
      </c>
      <c r="AG469" s="18">
        <v>46013</v>
      </c>
      <c r="AH469" s="15" t="s">
        <v>486</v>
      </c>
      <c r="AI469" s="18">
        <v>46013</v>
      </c>
      <c r="AJ469" s="72" t="e">
        <f>HYPERLINK(_xlfn.CONCAT("https://jnj.sharepoint.com/:b:/r/teams/ContractIQ/Shared%20Documents/General/2025/Metadata-Contracts/Ind%20Ship_To%20UCN/Raw%20Contracts/",AK469),"link")</f>
        <v>#N/A</v>
      </c>
      <c r="AK469" s="22" t="e">
        <f>_xlfn.XLOOKUP(B469,[1]Sheet2!A:A,[1]Sheet2!B:B)</f>
        <v>#N/A</v>
      </c>
      <c r="AL469" s="22"/>
    </row>
    <row r="470" spans="1:38" ht="18" customHeight="1">
      <c r="A470" s="16" t="s">
        <v>1891</v>
      </c>
      <c r="B470" s="13" t="s">
        <v>1892</v>
      </c>
      <c r="C470" s="64" t="s">
        <v>37</v>
      </c>
      <c r="D470" s="16" t="s">
        <v>38</v>
      </c>
      <c r="E470" s="16" t="s">
        <v>38</v>
      </c>
      <c r="F470" s="16">
        <v>636232</v>
      </c>
      <c r="G470" s="28">
        <v>0</v>
      </c>
      <c r="H470" s="18">
        <v>45017</v>
      </c>
      <c r="I470" s="24" t="s">
        <v>1893</v>
      </c>
      <c r="J470" s="18">
        <v>45017</v>
      </c>
      <c r="K470" s="18">
        <v>46843</v>
      </c>
      <c r="L470" s="19" t="s">
        <v>54</v>
      </c>
      <c r="M470" s="19" t="s">
        <v>1894</v>
      </c>
      <c r="N470" s="13" t="s">
        <v>289</v>
      </c>
      <c r="O470" s="13" t="s">
        <v>1895</v>
      </c>
      <c r="P470" s="13" t="s">
        <v>1896</v>
      </c>
      <c r="Q470" s="75" t="s">
        <v>405</v>
      </c>
      <c r="R470" s="75" t="s">
        <v>405</v>
      </c>
      <c r="S470" s="75" t="s">
        <v>405</v>
      </c>
      <c r="T470" s="13" t="s">
        <v>1897</v>
      </c>
      <c r="U470" s="76" t="s">
        <v>38</v>
      </c>
      <c r="V470" s="20" t="s">
        <v>923</v>
      </c>
      <c r="W470" s="13" t="s">
        <v>292</v>
      </c>
      <c r="X470" s="84" t="s">
        <v>1276</v>
      </c>
      <c r="Y470" s="13"/>
      <c r="Z470" s="13"/>
      <c r="AA470" s="16"/>
      <c r="AB470" s="16" t="str">
        <f t="shared" si="6"/>
        <v>Completed</v>
      </c>
      <c r="AC470" s="18">
        <v>46006</v>
      </c>
      <c r="AD470" s="18">
        <v>46008</v>
      </c>
      <c r="AE470" s="18">
        <v>46009</v>
      </c>
      <c r="AF470" s="15" t="s">
        <v>486</v>
      </c>
      <c r="AG470" s="18">
        <v>46010</v>
      </c>
      <c r="AH470" s="15" t="s">
        <v>486</v>
      </c>
      <c r="AI470" s="18">
        <v>46010</v>
      </c>
      <c r="AJ470" s="72" t="e">
        <f>HYPERLINK(_xlfn.CONCAT("https://jnj.sharepoint.com/:b:/r/teams/ContractIQ/Shared%20Documents/General/2025/Metadata-Contracts/Ind%20Ship_To%20UCN/Raw%20Contracts/",AK470),"link")</f>
        <v>#N/A</v>
      </c>
      <c r="AK470" s="22" t="e">
        <f>_xlfn.XLOOKUP(B470,[1]Sheet2!A:A,[1]Sheet2!B:B)</f>
        <v>#N/A</v>
      </c>
      <c r="AL470" s="22"/>
    </row>
    <row r="471" spans="1:38" ht="18" customHeight="1">
      <c r="A471" s="16" t="s">
        <v>1898</v>
      </c>
      <c r="B471" s="13" t="s">
        <v>1899</v>
      </c>
      <c r="C471" s="64" t="s">
        <v>37</v>
      </c>
      <c r="D471" s="16" t="s">
        <v>38</v>
      </c>
      <c r="E471" s="16" t="s">
        <v>38</v>
      </c>
      <c r="F471" s="16">
        <v>637044</v>
      </c>
      <c r="G471" s="28">
        <v>0</v>
      </c>
      <c r="H471" s="18">
        <v>45042</v>
      </c>
      <c r="I471" s="24" t="s">
        <v>1893</v>
      </c>
      <c r="J471" s="18">
        <v>45042</v>
      </c>
      <c r="K471" s="18">
        <v>46843</v>
      </c>
      <c r="L471" s="19" t="s">
        <v>54</v>
      </c>
      <c r="M471" s="19" t="s">
        <v>1894</v>
      </c>
      <c r="N471" s="13" t="s">
        <v>289</v>
      </c>
      <c r="O471" s="13" t="s">
        <v>1900</v>
      </c>
      <c r="P471" s="13" t="s">
        <v>1896</v>
      </c>
      <c r="Q471" s="75" t="s">
        <v>1901</v>
      </c>
      <c r="R471" s="75" t="s">
        <v>1901</v>
      </c>
      <c r="S471" s="75" t="s">
        <v>1901</v>
      </c>
      <c r="T471" s="13" t="s">
        <v>1902</v>
      </c>
      <c r="U471" s="76" t="s">
        <v>38</v>
      </c>
      <c r="V471" s="20" t="s">
        <v>923</v>
      </c>
      <c r="W471" s="13" t="s">
        <v>292</v>
      </c>
      <c r="X471" s="84" t="s">
        <v>1276</v>
      </c>
      <c r="Y471" s="13"/>
      <c r="Z471" s="13"/>
      <c r="AA471" s="16"/>
      <c r="AB471" s="16" t="str">
        <f t="shared" si="6"/>
        <v>Completed</v>
      </c>
      <c r="AC471" s="18">
        <v>46006</v>
      </c>
      <c r="AD471" s="18">
        <v>46008</v>
      </c>
      <c r="AE471" s="18">
        <v>46009</v>
      </c>
      <c r="AF471" s="15" t="s">
        <v>486</v>
      </c>
      <c r="AG471" s="18">
        <v>46010</v>
      </c>
      <c r="AH471" s="15" t="s">
        <v>486</v>
      </c>
      <c r="AI471" s="18">
        <v>46010</v>
      </c>
      <c r="AJ471" s="72" t="e">
        <f>HYPERLINK(_xlfn.CONCAT("https://jnj.sharepoint.com/:b:/r/teams/ContractIQ/Shared%20Documents/General/2025/Metadata-Contracts/Ind%20Ship_To%20UCN/Raw%20Contracts/",AK471),"link")</f>
        <v>#N/A</v>
      </c>
      <c r="AK471" s="22" t="e">
        <f>_xlfn.XLOOKUP(B471,[1]Sheet2!A:A,[1]Sheet2!B:B)</f>
        <v>#N/A</v>
      </c>
      <c r="AL471" s="22"/>
    </row>
    <row r="472" spans="1:38" ht="18" customHeight="1">
      <c r="A472" s="16" t="s">
        <v>1903</v>
      </c>
      <c r="B472" s="13" t="s">
        <v>403</v>
      </c>
      <c r="C472" s="64" t="s">
        <v>773</v>
      </c>
      <c r="D472" s="16" t="s">
        <v>38</v>
      </c>
      <c r="E472" s="16" t="s">
        <v>347</v>
      </c>
      <c r="F472" s="16">
        <v>22443</v>
      </c>
      <c r="G472" s="16">
        <v>0</v>
      </c>
      <c r="H472" s="18">
        <v>45068</v>
      </c>
      <c r="I472" s="19" t="s">
        <v>404</v>
      </c>
      <c r="J472" s="18">
        <v>45068</v>
      </c>
      <c r="K472" s="18">
        <v>46621</v>
      </c>
      <c r="L472" s="19" t="s">
        <v>168</v>
      </c>
      <c r="M472" s="19" t="s">
        <v>349</v>
      </c>
      <c r="N472" s="13" t="s">
        <v>44</v>
      </c>
      <c r="O472" s="13" t="s">
        <v>350</v>
      </c>
      <c r="P472" s="13" t="s">
        <v>351</v>
      </c>
      <c r="Q472" s="16">
        <v>1018845</v>
      </c>
      <c r="R472" s="16" t="s">
        <v>405</v>
      </c>
      <c r="S472" s="16" t="s">
        <v>405</v>
      </c>
      <c r="T472" s="13" t="s">
        <v>406</v>
      </c>
      <c r="U472" s="13" t="s">
        <v>407</v>
      </c>
      <c r="V472" s="20" t="s">
        <v>401</v>
      </c>
      <c r="W472" s="13"/>
      <c r="X472" s="13" t="s">
        <v>354</v>
      </c>
      <c r="Y472" s="13" t="s">
        <v>38</v>
      </c>
      <c r="Z472" s="13"/>
      <c r="AA472" s="16"/>
      <c r="AB472" s="16" t="s">
        <v>1244</v>
      </c>
      <c r="AC472" s="18">
        <v>46006</v>
      </c>
      <c r="AD472" s="18"/>
      <c r="AE472" s="18"/>
      <c r="AF472" s="15"/>
      <c r="AG472" s="18"/>
      <c r="AH472" s="15"/>
      <c r="AI472" s="18"/>
      <c r="AJ472" s="72" t="str">
        <f>HYPERLINK(_xlfn.CONCAT("https://jnj.sharepoint.com/:b:/r/teams/ContractIQ/Shared%20Documents/General/2025/Metadata-Contracts/Ind%20Ship_To%20UCN/Raw%20Contracts/",AK472),"link")</f>
        <v>link</v>
      </c>
      <c r="AK472" s="22"/>
      <c r="AL472" s="22"/>
    </row>
    <row r="473" spans="1:38" ht="18" customHeight="1">
      <c r="A473" s="16" t="s">
        <v>1904</v>
      </c>
      <c r="B473" s="13" t="s">
        <v>1905</v>
      </c>
      <c r="C473" s="64" t="s">
        <v>37</v>
      </c>
      <c r="D473" s="16">
        <v>163025</v>
      </c>
      <c r="E473" s="16" t="s">
        <v>38</v>
      </c>
      <c r="F473" s="16" t="s">
        <v>38</v>
      </c>
      <c r="G473" s="28">
        <v>0</v>
      </c>
      <c r="H473" s="18">
        <v>45147</v>
      </c>
      <c r="I473" s="24" t="s">
        <v>684</v>
      </c>
      <c r="J473" s="18">
        <v>45147</v>
      </c>
      <c r="K473" s="18">
        <v>46426</v>
      </c>
      <c r="L473" s="19" t="s">
        <v>95</v>
      </c>
      <c r="M473" s="19" t="s">
        <v>1906</v>
      </c>
      <c r="N473" s="13" t="s">
        <v>686</v>
      </c>
      <c r="O473" s="13" t="s">
        <v>1907</v>
      </c>
      <c r="P473" s="13" t="s">
        <v>38</v>
      </c>
      <c r="Q473" s="75" t="s">
        <v>1908</v>
      </c>
      <c r="R473" s="75" t="s">
        <v>1908</v>
      </c>
      <c r="S473" s="75" t="s">
        <v>1908</v>
      </c>
      <c r="T473" s="13" t="s">
        <v>1909</v>
      </c>
      <c r="U473" s="76" t="s">
        <v>38</v>
      </c>
      <c r="V473" s="20" t="s">
        <v>1036</v>
      </c>
      <c r="W473" s="13"/>
      <c r="X473" s="84" t="s">
        <v>1276</v>
      </c>
      <c r="Y473" s="13"/>
      <c r="Z473" s="13"/>
      <c r="AA473" s="16"/>
      <c r="AB473" s="16" t="str">
        <f>IF(NOT(ISBLANK(AD473)),IF(NOT(ISBLANK(AE473)),IF(NOT(ISBLANK(AG473)),IF(NOT(ISBLANK(AI473)),"Completed","For Final Review"),"For Peer Check"),"In Progress"),"Not Started")</f>
        <v>Completed</v>
      </c>
      <c r="AC473" s="18">
        <v>46006</v>
      </c>
      <c r="AD473" s="18">
        <v>46008</v>
      </c>
      <c r="AE473" s="18">
        <v>46010</v>
      </c>
      <c r="AF473" s="15" t="s">
        <v>486</v>
      </c>
      <c r="AG473" s="18">
        <v>46010</v>
      </c>
      <c r="AH473" s="15" t="s">
        <v>486</v>
      </c>
      <c r="AI473" s="18">
        <v>46010</v>
      </c>
      <c r="AJ473" s="72" t="e">
        <f>HYPERLINK(_xlfn.CONCAT("https://jnj.sharepoint.com/:b:/r/teams/ContractIQ/Shared%20Documents/General/2025/Metadata-Contracts/Ind%20Ship_To%20UCN/Raw%20Contracts/",AK473),"link")</f>
        <v>#N/A</v>
      </c>
      <c r="AK473" s="22" t="e">
        <f>_xlfn.XLOOKUP(B473,[1]Sheet2!A:A,[1]Sheet2!B:B)</f>
        <v>#N/A</v>
      </c>
      <c r="AL473" s="22"/>
    </row>
    <row r="474" spans="1:38" ht="18" customHeight="1">
      <c r="A474" s="16" t="s">
        <v>1910</v>
      </c>
      <c r="B474" s="13" t="s">
        <v>675</v>
      </c>
      <c r="C474" s="64" t="s">
        <v>773</v>
      </c>
      <c r="D474" s="16" t="s">
        <v>38</v>
      </c>
      <c r="E474" s="16" t="s">
        <v>676</v>
      </c>
      <c r="F474" s="16">
        <v>24350</v>
      </c>
      <c r="G474" s="16">
        <v>0</v>
      </c>
      <c r="H474" s="18">
        <v>45170</v>
      </c>
      <c r="I474" s="19" t="s">
        <v>677</v>
      </c>
      <c r="J474" s="18">
        <v>45170</v>
      </c>
      <c r="K474" s="18">
        <v>46265</v>
      </c>
      <c r="L474" s="19" t="s">
        <v>54</v>
      </c>
      <c r="M474" s="19" t="s">
        <v>678</v>
      </c>
      <c r="N474" s="13" t="s">
        <v>358</v>
      </c>
      <c r="O474" s="13" t="s">
        <v>350</v>
      </c>
      <c r="P474" s="13" t="s">
        <v>556</v>
      </c>
      <c r="Q474" s="16">
        <v>1018845</v>
      </c>
      <c r="R474" s="16">
        <v>1348293</v>
      </c>
      <c r="S474" s="16">
        <v>1348293</v>
      </c>
      <c r="T474" s="13" t="s">
        <v>679</v>
      </c>
      <c r="U474" s="13" t="s">
        <v>350</v>
      </c>
      <c r="V474" s="20" t="s">
        <v>680</v>
      </c>
      <c r="W474" s="13"/>
      <c r="X474" s="13" t="s">
        <v>681</v>
      </c>
      <c r="Y474" s="13" t="s">
        <v>682</v>
      </c>
      <c r="Z474" s="13"/>
      <c r="AA474" s="16"/>
      <c r="AB474" s="16" t="s">
        <v>1244</v>
      </c>
      <c r="AC474" s="18">
        <v>46006</v>
      </c>
      <c r="AD474" s="18"/>
      <c r="AE474" s="18"/>
      <c r="AF474" s="15"/>
      <c r="AG474" s="18"/>
      <c r="AH474" s="15"/>
      <c r="AI474" s="18"/>
      <c r="AJ474" s="72" t="str">
        <f>HYPERLINK(_xlfn.CONCAT("https://jnj.sharepoint.com/:b:/r/teams/ContractIQ/Shared%20Documents/General/2025/Metadata-Contracts/Ind%20Ship_To%20UCN/Raw%20Contracts/",AK474),"link")</f>
        <v>link</v>
      </c>
      <c r="AK474" s="22"/>
      <c r="AL474" s="22"/>
    </row>
    <row r="475" spans="1:38" ht="18" customHeight="1">
      <c r="A475" s="16" t="s">
        <v>1911</v>
      </c>
      <c r="B475" s="13" t="s">
        <v>1912</v>
      </c>
      <c r="C475" s="64" t="s">
        <v>1015</v>
      </c>
      <c r="D475" s="16" t="s">
        <v>38</v>
      </c>
      <c r="E475" s="16" t="s">
        <v>38</v>
      </c>
      <c r="F475" s="16">
        <v>645831</v>
      </c>
      <c r="G475" s="28">
        <v>0</v>
      </c>
      <c r="H475" s="18">
        <v>45352</v>
      </c>
      <c r="I475" s="24" t="s">
        <v>1913</v>
      </c>
      <c r="J475" s="18">
        <v>45352</v>
      </c>
      <c r="K475" s="18">
        <v>46061</v>
      </c>
      <c r="L475" s="19" t="s">
        <v>54</v>
      </c>
      <c r="M475" s="24" t="s">
        <v>871</v>
      </c>
      <c r="N475" s="13" t="s">
        <v>289</v>
      </c>
      <c r="O475" s="13" t="s">
        <v>1914</v>
      </c>
      <c r="P475" s="13" t="s">
        <v>38</v>
      </c>
      <c r="Q475" s="14">
        <v>19161</v>
      </c>
      <c r="R475" s="14">
        <v>19161</v>
      </c>
      <c r="S475" s="14">
        <v>19161</v>
      </c>
      <c r="T475" t="s">
        <v>1915</v>
      </c>
      <c r="U475" s="13"/>
      <c r="V475" s="20" t="s">
        <v>99</v>
      </c>
      <c r="W475" s="13" t="s">
        <v>38</v>
      </c>
      <c r="X475" t="s">
        <v>1276</v>
      </c>
      <c r="Y475" s="13"/>
      <c r="Z475" s="13"/>
      <c r="AA475" s="19" t="s">
        <v>1916</v>
      </c>
      <c r="AB475" s="16" t="str">
        <f>IF(NOT(ISBLANK(AD475)),IF(NOT(ISBLANK(AE475)),IF(NOT(ISBLANK(AG475)),IF(NOT(ISBLANK(AI475)),"Completed","For Final Review"),"For Peer Check"),"In Progress"),"Not Started")</f>
        <v>Completed</v>
      </c>
      <c r="AC475" s="18">
        <v>46006</v>
      </c>
      <c r="AD475" s="18">
        <v>46009</v>
      </c>
      <c r="AE475" s="18">
        <v>46010</v>
      </c>
      <c r="AF475" s="15" t="s">
        <v>773</v>
      </c>
      <c r="AG475" s="18">
        <v>46013</v>
      </c>
      <c r="AH475" s="15" t="s">
        <v>773</v>
      </c>
      <c r="AI475" s="18">
        <v>46013</v>
      </c>
      <c r="AJ475" s="72" t="e">
        <f>HYPERLINK(_xlfn.CONCAT("https://jnj.sharepoint.com/:b:/r/teams/ContractIQ/Shared%20Documents/General/2025/Metadata-Contracts/Ind%20Ship_To%20UCN/Raw%20Contracts/",AK475),"link")</f>
        <v>#N/A</v>
      </c>
      <c r="AK475" s="22" t="e">
        <f>_xlfn.XLOOKUP(B475,[1]Sheet2!A:A,[1]Sheet2!B:B)</f>
        <v>#N/A</v>
      </c>
      <c r="AL475" s="22"/>
    </row>
    <row r="476" spans="1:38" ht="18" customHeight="1">
      <c r="A476" s="16" t="s">
        <v>1917</v>
      </c>
      <c r="B476" s="13" t="s">
        <v>345</v>
      </c>
      <c r="C476" s="64" t="s">
        <v>773</v>
      </c>
      <c r="D476" s="16" t="s">
        <v>38</v>
      </c>
      <c r="E476" s="16" t="s">
        <v>347</v>
      </c>
      <c r="F476" s="16">
        <v>22396</v>
      </c>
      <c r="G476" s="16">
        <v>0</v>
      </c>
      <c r="H476" s="18">
        <v>45131</v>
      </c>
      <c r="I476" s="19" t="s">
        <v>348</v>
      </c>
      <c r="J476" s="18">
        <v>45131</v>
      </c>
      <c r="K476" s="18">
        <v>46621</v>
      </c>
      <c r="L476" s="19" t="s">
        <v>168</v>
      </c>
      <c r="M476" s="19" t="s">
        <v>349</v>
      </c>
      <c r="N476" s="13" t="s">
        <v>44</v>
      </c>
      <c r="O476" s="13" t="s">
        <v>350</v>
      </c>
      <c r="P476" s="13" t="s">
        <v>351</v>
      </c>
      <c r="Q476" s="16">
        <v>1018845</v>
      </c>
      <c r="R476" s="16">
        <v>18236151</v>
      </c>
      <c r="S476" s="16" t="s">
        <v>38</v>
      </c>
      <c r="T476" s="13" t="s">
        <v>352</v>
      </c>
      <c r="U476" s="13" t="s">
        <v>353</v>
      </c>
      <c r="V476" s="20" t="s">
        <v>38</v>
      </c>
      <c r="W476" s="13"/>
      <c r="X476" s="13" t="s">
        <v>354</v>
      </c>
      <c r="Y476" s="13" t="s">
        <v>38</v>
      </c>
      <c r="Z476" s="13"/>
      <c r="AA476" s="16"/>
      <c r="AB476" s="16" t="s">
        <v>1244</v>
      </c>
      <c r="AC476" s="18">
        <v>46006</v>
      </c>
      <c r="AD476" s="18"/>
      <c r="AE476" s="18"/>
      <c r="AF476" s="15"/>
      <c r="AG476" s="18"/>
      <c r="AH476" s="15"/>
      <c r="AI476" s="18"/>
      <c r="AJ476" s="72" t="str">
        <f>HYPERLINK(_xlfn.CONCAT("https://jnj.sharepoint.com/:b:/r/teams/ContractIQ/Shared%20Documents/General/2025/Metadata-Contracts/Ind%20Ship_To%20UCN/Raw%20Contracts/",AK476),"link")</f>
        <v>link</v>
      </c>
      <c r="AK476" s="22"/>
      <c r="AL476" s="22"/>
    </row>
    <row r="477" spans="1:38" ht="18" customHeight="1">
      <c r="A477" s="16" t="s">
        <v>1918</v>
      </c>
      <c r="B477" s="13" t="s">
        <v>1919</v>
      </c>
      <c r="C477" s="64" t="s">
        <v>37</v>
      </c>
      <c r="D477" s="16" t="s">
        <v>38</v>
      </c>
      <c r="E477" s="16" t="s">
        <v>1920</v>
      </c>
      <c r="F477" s="16" t="s">
        <v>1920</v>
      </c>
      <c r="G477" s="28">
        <v>0</v>
      </c>
      <c r="H477" s="18">
        <v>45363</v>
      </c>
      <c r="I477" s="24" t="s">
        <v>1701</v>
      </c>
      <c r="J477" s="18">
        <v>45363</v>
      </c>
      <c r="K477" s="18">
        <v>46457</v>
      </c>
      <c r="L477" s="19" t="s">
        <v>63</v>
      </c>
      <c r="M477" s="19" t="s">
        <v>38</v>
      </c>
      <c r="N477" s="13" t="s">
        <v>1887</v>
      </c>
      <c r="O477" s="13" t="s">
        <v>1921</v>
      </c>
      <c r="P477" s="13" t="s">
        <v>1922</v>
      </c>
      <c r="Q477" s="75" t="s">
        <v>1923</v>
      </c>
      <c r="R477" s="75" t="s">
        <v>1923</v>
      </c>
      <c r="S477" s="75" t="s">
        <v>1923</v>
      </c>
      <c r="T477" s="13" t="s">
        <v>1924</v>
      </c>
      <c r="U477" s="76" t="s">
        <v>38</v>
      </c>
      <c r="V477" s="20" t="s">
        <v>38</v>
      </c>
      <c r="W477" s="13"/>
      <c r="X477" s="13" t="s">
        <v>38</v>
      </c>
      <c r="Y477" s="13"/>
      <c r="Z477" s="13"/>
      <c r="AA477" s="16"/>
      <c r="AB477" s="16" t="str">
        <f t="shared" ref="AB477:AB484" si="7">IF(NOT(ISBLANK(AD477)),IF(NOT(ISBLANK(AE477)),IF(NOT(ISBLANK(AG477)),IF(NOT(ISBLANK(AI477)),"Completed","For Final Review"),"For Peer Check"),"In Progress"),"Not Started")</f>
        <v>Completed</v>
      </c>
      <c r="AC477" s="18">
        <v>46006</v>
      </c>
      <c r="AD477" s="18">
        <v>46008</v>
      </c>
      <c r="AE477" s="18">
        <v>46010</v>
      </c>
      <c r="AF477" s="15" t="s">
        <v>486</v>
      </c>
      <c r="AG477" s="18">
        <v>46010</v>
      </c>
      <c r="AH477" s="15" t="s">
        <v>486</v>
      </c>
      <c r="AI477" s="18">
        <v>46010</v>
      </c>
      <c r="AJ477" s="72" t="e">
        <f>HYPERLINK(_xlfn.CONCAT("https://jnj.sharepoint.com/:b:/r/teams/ContractIQ/Shared%20Documents/General/2025/Metadata-Contracts/Ind%20Ship_To%20UCN/Raw%20Contracts/",AK477),"link")</f>
        <v>#N/A</v>
      </c>
      <c r="AK477" s="22" t="e">
        <f>_xlfn.XLOOKUP(B477,[1]Sheet2!A:A,[1]Sheet2!B:B)</f>
        <v>#N/A</v>
      </c>
      <c r="AL477" s="22"/>
    </row>
    <row r="478" spans="1:38" ht="18" customHeight="1">
      <c r="A478" s="16" t="s">
        <v>1925</v>
      </c>
      <c r="B478" s="13" t="s">
        <v>1926</v>
      </c>
      <c r="C478" s="64" t="s">
        <v>1015</v>
      </c>
      <c r="D478" s="16" t="s">
        <v>38</v>
      </c>
      <c r="E478" s="16"/>
      <c r="F478" s="16" t="s">
        <v>38</v>
      </c>
      <c r="G478" s="28">
        <v>0</v>
      </c>
      <c r="H478" s="18">
        <v>45406</v>
      </c>
      <c r="I478" s="24" t="s">
        <v>1927</v>
      </c>
      <c r="J478" s="18">
        <v>45406</v>
      </c>
      <c r="K478" s="18" t="s">
        <v>38</v>
      </c>
      <c r="L478" s="19" t="s">
        <v>95</v>
      </c>
      <c r="M478" t="s">
        <v>1928</v>
      </c>
      <c r="N478" s="13" t="s">
        <v>1929</v>
      </c>
      <c r="O478" s="13" t="s">
        <v>1812</v>
      </c>
      <c r="P478" s="16" t="s">
        <v>38</v>
      </c>
      <c r="Q478" s="16">
        <v>4115</v>
      </c>
      <c r="R478" s="14">
        <v>4115</v>
      </c>
      <c r="S478" s="16">
        <v>4115</v>
      </c>
      <c r="T478" s="13" t="s">
        <v>1926</v>
      </c>
      <c r="U478" s="13" t="s">
        <v>1812</v>
      </c>
      <c r="V478" s="20" t="s">
        <v>1930</v>
      </c>
      <c r="W478" s="20" t="s">
        <v>1931</v>
      </c>
      <c r="X478" t="s">
        <v>1276</v>
      </c>
      <c r="Y478" s="20" t="s">
        <v>1932</v>
      </c>
      <c r="Z478" s="13"/>
      <c r="AA478" s="16" t="s">
        <v>1933</v>
      </c>
      <c r="AB478" s="16" t="str">
        <f t="shared" si="7"/>
        <v>Completed</v>
      </c>
      <c r="AC478" s="18">
        <v>46006</v>
      </c>
      <c r="AD478" s="18">
        <v>46009</v>
      </c>
      <c r="AE478" s="18">
        <v>46017</v>
      </c>
      <c r="AF478" s="15" t="s">
        <v>179</v>
      </c>
      <c r="AG478" s="18">
        <v>46017</v>
      </c>
      <c r="AH478" s="15" t="s">
        <v>179</v>
      </c>
      <c r="AI478" s="18">
        <v>46017</v>
      </c>
      <c r="AJ478" s="72" t="e">
        <f>HYPERLINK(_xlfn.CONCAT("https://jnj.sharepoint.com/:b:/r/teams/ContractIQ/Shared%20Documents/General/2025/Metadata-Contracts/Ind%20Ship_To%20UCN/Raw%20Contracts/",AK478),"link")</f>
        <v>#N/A</v>
      </c>
      <c r="AK478" s="22" t="e">
        <f>_xlfn.XLOOKUP(B478,[1]Sheet2!A:A,[1]Sheet2!B:B)</f>
        <v>#N/A</v>
      </c>
      <c r="AL478" s="22"/>
    </row>
    <row r="479" spans="1:38" ht="18" customHeight="1">
      <c r="A479" s="16" t="s">
        <v>1934</v>
      </c>
      <c r="B479" s="13" t="s">
        <v>1935</v>
      </c>
      <c r="C479" s="64" t="s">
        <v>37</v>
      </c>
      <c r="D479" s="16" t="s">
        <v>38</v>
      </c>
      <c r="E479" s="16" t="s">
        <v>1936</v>
      </c>
      <c r="F479" s="16" t="s">
        <v>1936</v>
      </c>
      <c r="G479" s="28">
        <v>0</v>
      </c>
      <c r="H479" s="18">
        <v>45540</v>
      </c>
      <c r="I479" s="24" t="s">
        <v>1937</v>
      </c>
      <c r="J479" s="18">
        <v>45540</v>
      </c>
      <c r="K479" s="78">
        <v>45930</v>
      </c>
      <c r="L479" s="19" t="s">
        <v>95</v>
      </c>
      <c r="M479" s="19" t="s">
        <v>1938</v>
      </c>
      <c r="N479" s="13" t="s">
        <v>1887</v>
      </c>
      <c r="O479" s="13" t="s">
        <v>1939</v>
      </c>
      <c r="P479" s="20" t="s">
        <v>1940</v>
      </c>
      <c r="Q479" s="16">
        <v>5778</v>
      </c>
      <c r="R479" s="83">
        <v>5778</v>
      </c>
      <c r="S479" s="83">
        <v>5778</v>
      </c>
      <c r="T479" s="13" t="s">
        <v>1941</v>
      </c>
      <c r="U479" s="13" t="s">
        <v>38</v>
      </c>
      <c r="V479" s="20" t="s">
        <v>38</v>
      </c>
      <c r="W479" s="13"/>
      <c r="X479" s="13" t="s">
        <v>38</v>
      </c>
      <c r="Y479" s="13"/>
      <c r="Z479" s="13" t="s">
        <v>1942</v>
      </c>
      <c r="AA479" s="19" t="s">
        <v>1943</v>
      </c>
      <c r="AB479" s="16" t="str">
        <f>IF(NOT(ISBLANK(AD479)),IF(NOT(ISBLANK(AE479)),IF(NOT(ISBLANK(AG479)),IF(NOT(ISBLANK(AI479)),"Completed","For Final Review"),"For Peer Check"),"In Progress"),"Not Started")</f>
        <v>Completed</v>
      </c>
      <c r="AC479" s="18">
        <v>46006</v>
      </c>
      <c r="AD479" s="18">
        <v>46008</v>
      </c>
      <c r="AE479" s="18">
        <v>46010</v>
      </c>
      <c r="AF479" s="15" t="s">
        <v>486</v>
      </c>
      <c r="AG479" s="18">
        <v>46010</v>
      </c>
      <c r="AH479" s="15" t="s">
        <v>486</v>
      </c>
      <c r="AI479" s="18">
        <v>46010</v>
      </c>
      <c r="AJ479" s="72" t="e">
        <f>HYPERLINK(_xlfn.CONCAT("https://jnj.sharepoint.com/:b:/r/teams/ContractIQ/Shared%20Documents/General/2025/Metadata-Contracts/Ind%20Ship_To%20UCN/Raw%20Contracts/",AK479),"link")</f>
        <v>#N/A</v>
      </c>
      <c r="AK479" s="22" t="e">
        <f>_xlfn.XLOOKUP(B479,[1]Sheet2!A:A,[1]Sheet2!B:B)</f>
        <v>#N/A</v>
      </c>
      <c r="AL479" s="22"/>
    </row>
    <row r="480" spans="1:38" ht="18" customHeight="1">
      <c r="A480" s="16" t="s">
        <v>1944</v>
      </c>
      <c r="B480" s="13" t="s">
        <v>1945</v>
      </c>
      <c r="C480" s="64" t="s">
        <v>37</v>
      </c>
      <c r="D480" s="16" t="s">
        <v>38</v>
      </c>
      <c r="E480" s="16" t="s">
        <v>1936</v>
      </c>
      <c r="F480" s="16" t="s">
        <v>1936</v>
      </c>
      <c r="G480" s="28">
        <v>0</v>
      </c>
      <c r="H480" s="18">
        <v>45553</v>
      </c>
      <c r="I480" s="24" t="s">
        <v>1946</v>
      </c>
      <c r="J480" s="18">
        <v>45553</v>
      </c>
      <c r="K480" s="18">
        <v>47391</v>
      </c>
      <c r="L480" s="19" t="s">
        <v>95</v>
      </c>
      <c r="M480" s="19" t="s">
        <v>1938</v>
      </c>
      <c r="N480" s="13" t="s">
        <v>1947</v>
      </c>
      <c r="O480" s="13" t="s">
        <v>1939</v>
      </c>
      <c r="P480" s="86" t="s">
        <v>1940</v>
      </c>
      <c r="Q480" s="16">
        <v>5778</v>
      </c>
      <c r="R480" s="83">
        <v>5778</v>
      </c>
      <c r="S480" s="83">
        <v>5778</v>
      </c>
      <c r="T480" s="13" t="s">
        <v>1948</v>
      </c>
      <c r="U480" s="13" t="s">
        <v>38</v>
      </c>
      <c r="V480" s="20" t="s">
        <v>38</v>
      </c>
      <c r="W480" s="13"/>
      <c r="X480" s="84" t="s">
        <v>1276</v>
      </c>
      <c r="Y480" s="13"/>
      <c r="Z480" s="13"/>
      <c r="AA480" s="16"/>
      <c r="AB480" s="16" t="str">
        <f t="shared" si="7"/>
        <v>Completed</v>
      </c>
      <c r="AC480" s="18">
        <v>46006</v>
      </c>
      <c r="AD480" s="18">
        <v>46008</v>
      </c>
      <c r="AE480" s="18">
        <v>46010</v>
      </c>
      <c r="AF480" s="15" t="s">
        <v>486</v>
      </c>
      <c r="AG480" s="18">
        <v>46010</v>
      </c>
      <c r="AH480" s="15" t="s">
        <v>486</v>
      </c>
      <c r="AI480" s="18">
        <v>46010</v>
      </c>
      <c r="AJ480" s="72" t="e">
        <f>HYPERLINK(_xlfn.CONCAT("https://jnj.sharepoint.com/:b:/r/teams/ContractIQ/Shared%20Documents/General/2025/Metadata-Contracts/Ind%20Ship_To%20UCN/Raw%20Contracts/",AK480),"link")</f>
        <v>#N/A</v>
      </c>
      <c r="AK480" s="22" t="e">
        <f>_xlfn.XLOOKUP(B480,[1]Sheet2!A:A,[1]Sheet2!B:B)</f>
        <v>#N/A</v>
      </c>
      <c r="AL480" s="22"/>
    </row>
    <row r="481" spans="1:38" ht="18" customHeight="1">
      <c r="A481" s="16" t="s">
        <v>1949</v>
      </c>
      <c r="B481" s="13" t="s">
        <v>1950</v>
      </c>
      <c r="C481" s="64" t="s">
        <v>1015</v>
      </c>
      <c r="D481" s="16" t="s">
        <v>38</v>
      </c>
      <c r="E481" s="16"/>
      <c r="F481" s="16" t="s">
        <v>38</v>
      </c>
      <c r="G481" s="28">
        <v>0</v>
      </c>
      <c r="H481" s="18">
        <v>45566</v>
      </c>
      <c r="I481" s="24" t="s">
        <v>1927</v>
      </c>
      <c r="J481" s="18">
        <v>45566</v>
      </c>
      <c r="K481" s="18" t="s">
        <v>38</v>
      </c>
      <c r="L481" s="19" t="s">
        <v>95</v>
      </c>
      <c r="M481" t="s">
        <v>1928</v>
      </c>
      <c r="N481" s="13" t="s">
        <v>1929</v>
      </c>
      <c r="O481" s="13" t="s">
        <v>1951</v>
      </c>
      <c r="P481" s="16" t="s">
        <v>38</v>
      </c>
      <c r="Q481" s="16">
        <v>501433</v>
      </c>
      <c r="R481" s="16">
        <v>501433</v>
      </c>
      <c r="S481" s="14">
        <v>501433</v>
      </c>
      <c r="T481" s="13" t="s">
        <v>1950</v>
      </c>
      <c r="U481" s="13" t="s">
        <v>1951</v>
      </c>
      <c r="V481" s="20" t="s">
        <v>1930</v>
      </c>
      <c r="W481" s="20" t="s">
        <v>1931</v>
      </c>
      <c r="X481" t="s">
        <v>1276</v>
      </c>
      <c r="Y481" s="13" t="s">
        <v>1932</v>
      </c>
      <c r="Z481" s="13"/>
      <c r="AA481" s="16" t="s">
        <v>1933</v>
      </c>
      <c r="AB481" s="16" t="str">
        <f t="shared" si="7"/>
        <v>Completed</v>
      </c>
      <c r="AC481" s="18">
        <v>46006</v>
      </c>
      <c r="AD481" s="18">
        <v>46009</v>
      </c>
      <c r="AE481" s="18">
        <v>46017</v>
      </c>
      <c r="AF481" s="15" t="s">
        <v>179</v>
      </c>
      <c r="AG481" s="18">
        <v>46017</v>
      </c>
      <c r="AH481" s="15" t="s">
        <v>179</v>
      </c>
      <c r="AI481" s="18">
        <v>46017</v>
      </c>
      <c r="AJ481" s="72" t="e">
        <f>HYPERLINK(_xlfn.CONCAT("https://jnj.sharepoint.com/:b:/r/teams/ContractIQ/Shared%20Documents/General/2025/Metadata-Contracts/Ind%20Ship_To%20UCN/Raw%20Contracts/",AK481),"link")</f>
        <v>#N/A</v>
      </c>
      <c r="AK481" s="22" t="e">
        <f>_xlfn.XLOOKUP(B481,[1]Sheet2!A:A,[1]Sheet2!B:B)</f>
        <v>#N/A</v>
      </c>
      <c r="AL481" s="22"/>
    </row>
    <row r="482" spans="1:38" ht="18" customHeight="1">
      <c r="A482" s="16" t="s">
        <v>1952</v>
      </c>
      <c r="B482" s="13" t="s">
        <v>1953</v>
      </c>
      <c r="C482" s="64" t="s">
        <v>486</v>
      </c>
      <c r="D482" s="16" t="s">
        <v>38</v>
      </c>
      <c r="E482" s="16"/>
      <c r="F482" s="16">
        <v>58200</v>
      </c>
      <c r="G482" s="28">
        <v>0</v>
      </c>
      <c r="H482" s="18">
        <v>43258</v>
      </c>
      <c r="I482" s="24" t="s">
        <v>1602</v>
      </c>
      <c r="J482" s="18">
        <v>43258</v>
      </c>
      <c r="K482" s="18" t="s">
        <v>38</v>
      </c>
      <c r="L482" s="19" t="s">
        <v>42</v>
      </c>
      <c r="M482" s="19" t="s">
        <v>1779</v>
      </c>
      <c r="N482" s="13" t="s">
        <v>1604</v>
      </c>
      <c r="O482" s="13" t="s">
        <v>1954</v>
      </c>
      <c r="P482" s="13" t="s">
        <v>1771</v>
      </c>
      <c r="Q482" s="15" t="s">
        <v>1955</v>
      </c>
      <c r="R482" s="15" t="s">
        <v>1955</v>
      </c>
      <c r="S482" s="15" t="s">
        <v>1955</v>
      </c>
      <c r="T482" s="13" t="s">
        <v>1956</v>
      </c>
      <c r="U482" s="13" t="s">
        <v>1954</v>
      </c>
      <c r="V482" s="20" t="s">
        <v>38</v>
      </c>
      <c r="W482" s="13"/>
      <c r="X482" t="s">
        <v>1276</v>
      </c>
      <c r="Y482" s="13" t="s">
        <v>38</v>
      </c>
      <c r="Z482" s="13"/>
      <c r="AA482" s="16"/>
      <c r="AB482" s="16" t="str">
        <f t="shared" si="7"/>
        <v>Completed</v>
      </c>
      <c r="AC482" s="18">
        <v>46006</v>
      </c>
      <c r="AD482" s="18">
        <v>46008</v>
      </c>
      <c r="AE482" s="18">
        <v>46008</v>
      </c>
      <c r="AF482" s="15" t="s">
        <v>179</v>
      </c>
      <c r="AG482" s="18">
        <v>46013</v>
      </c>
      <c r="AH482" s="15" t="s">
        <v>179</v>
      </c>
      <c r="AI482" s="18">
        <v>46013</v>
      </c>
      <c r="AJ482" s="72" t="str">
        <f>HYPERLINK(_xlfn.CONCAT("https://jnj.sharepoint.com/:b:/r/teams/ContractIQ/Shared%20Documents/General/2025/Metadata-Contracts/Ind%20Ship_To%20UCN/Raw%20Contracts/",AK482),"link")</f>
        <v>link</v>
      </c>
      <c r="AK482" s="22"/>
      <c r="AL482" s="22"/>
    </row>
    <row r="483" spans="1:38" ht="18" customHeight="1">
      <c r="A483" s="16" t="s">
        <v>1957</v>
      </c>
      <c r="B483" s="13" t="s">
        <v>1958</v>
      </c>
      <c r="C483" s="64" t="s">
        <v>486</v>
      </c>
      <c r="D483" s="16" t="s">
        <v>38</v>
      </c>
      <c r="E483" s="16"/>
      <c r="F483" s="16">
        <v>58200</v>
      </c>
      <c r="G483" s="28">
        <v>1</v>
      </c>
      <c r="H483" s="18">
        <v>43305</v>
      </c>
      <c r="I483" s="24" t="s">
        <v>1959</v>
      </c>
      <c r="J483" s="18">
        <v>43258</v>
      </c>
      <c r="K483" s="18" t="s">
        <v>38</v>
      </c>
      <c r="L483" s="19" t="s">
        <v>42</v>
      </c>
      <c r="M483" s="19" t="s">
        <v>1779</v>
      </c>
      <c r="N483" s="13" t="s">
        <v>1788</v>
      </c>
      <c r="O483" s="13" t="s">
        <v>1954</v>
      </c>
      <c r="P483" s="13" t="s">
        <v>1771</v>
      </c>
      <c r="Q483" s="15" t="s">
        <v>1955</v>
      </c>
      <c r="R483" s="15" t="s">
        <v>1955</v>
      </c>
      <c r="S483" s="15" t="s">
        <v>1955</v>
      </c>
      <c r="T483" s="13" t="s">
        <v>1960</v>
      </c>
      <c r="U483" s="13" t="s">
        <v>1954</v>
      </c>
      <c r="V483" s="20" t="s">
        <v>38</v>
      </c>
      <c r="W483" s="13"/>
      <c r="X483" t="s">
        <v>1276</v>
      </c>
      <c r="Y483" s="13" t="s">
        <v>38</v>
      </c>
      <c r="Z483" s="13"/>
      <c r="AA483" s="16"/>
      <c r="AB483" s="16" t="str">
        <f t="shared" si="7"/>
        <v>Completed</v>
      </c>
      <c r="AC483" s="18">
        <v>46006</v>
      </c>
      <c r="AD483" s="18">
        <v>46008</v>
      </c>
      <c r="AE483" s="18">
        <v>46008</v>
      </c>
      <c r="AF483" s="15" t="s">
        <v>179</v>
      </c>
      <c r="AG483" s="18">
        <v>46013</v>
      </c>
      <c r="AH483" s="15" t="s">
        <v>179</v>
      </c>
      <c r="AI483" s="18">
        <v>46013</v>
      </c>
      <c r="AJ483" s="72" t="str">
        <f>HYPERLINK(_xlfn.CONCAT("https://jnj.sharepoint.com/:b:/r/teams/ContractIQ/Shared%20Documents/General/2025/Metadata-Contracts/Ind%20Ship_To%20UCN/Raw%20Contracts/",AK483),"link")</f>
        <v>link</v>
      </c>
      <c r="AK483" s="22"/>
      <c r="AL483" s="22"/>
    </row>
    <row r="484" spans="1:38" ht="18" customHeight="1">
      <c r="A484" s="16" t="s">
        <v>1961</v>
      </c>
      <c r="B484" s="13" t="s">
        <v>1962</v>
      </c>
      <c r="C484" s="64" t="s">
        <v>486</v>
      </c>
      <c r="D484" s="16" t="s">
        <v>38</v>
      </c>
      <c r="E484" s="16"/>
      <c r="F484" s="16">
        <v>58200</v>
      </c>
      <c r="G484" s="28">
        <v>2</v>
      </c>
      <c r="H484" s="18">
        <v>44972</v>
      </c>
      <c r="I484" s="24" t="s">
        <v>1959</v>
      </c>
      <c r="J484" s="18">
        <v>43258</v>
      </c>
      <c r="K484" s="18" t="s">
        <v>38</v>
      </c>
      <c r="L484" s="19" t="s">
        <v>42</v>
      </c>
      <c r="M484" s="19" t="s">
        <v>1779</v>
      </c>
      <c r="N484" s="13" t="s">
        <v>1788</v>
      </c>
      <c r="O484" s="13" t="s">
        <v>1954</v>
      </c>
      <c r="P484" s="13" t="s">
        <v>1771</v>
      </c>
      <c r="Q484" s="15" t="s">
        <v>1955</v>
      </c>
      <c r="R484" s="15" t="s">
        <v>1955</v>
      </c>
      <c r="S484" s="15" t="s">
        <v>1955</v>
      </c>
      <c r="T484" s="13" t="s">
        <v>1963</v>
      </c>
      <c r="U484" s="13" t="s">
        <v>1954</v>
      </c>
      <c r="V484" s="20" t="s">
        <v>38</v>
      </c>
      <c r="W484" s="13"/>
      <c r="X484" t="s">
        <v>1276</v>
      </c>
      <c r="Y484" s="13" t="s">
        <v>38</v>
      </c>
      <c r="Z484" s="13"/>
      <c r="AA484" s="16"/>
      <c r="AB484" s="16" t="str">
        <f t="shared" si="7"/>
        <v>Completed</v>
      </c>
      <c r="AC484" s="18">
        <v>46006</v>
      </c>
      <c r="AD484" s="18">
        <v>46008</v>
      </c>
      <c r="AE484" s="18">
        <v>46008</v>
      </c>
      <c r="AF484" s="15" t="s">
        <v>179</v>
      </c>
      <c r="AG484" s="18">
        <v>46013</v>
      </c>
      <c r="AH484" s="15" t="s">
        <v>179</v>
      </c>
      <c r="AI484" s="18">
        <v>46013</v>
      </c>
      <c r="AJ484" s="72" t="str">
        <f>HYPERLINK(_xlfn.CONCAT("https://jnj.sharepoint.com/:b:/r/teams/ContractIQ/Shared%20Documents/General/2025/Metadata-Contracts/Ind%20Ship_To%20UCN/Raw%20Contracts/",AK484),"link")</f>
        <v>link</v>
      </c>
      <c r="AK484" s="22"/>
      <c r="AL484" s="22"/>
    </row>
    <row r="485" spans="1:38" ht="18" customHeight="1">
      <c r="A485" s="16"/>
      <c r="B485" s="13"/>
      <c r="C485" s="87"/>
      <c r="D485" s="15"/>
      <c r="E485" s="18"/>
      <c r="F485" s="17"/>
      <c r="G485" s="28"/>
      <c r="H485" s="18"/>
      <c r="I485" s="24"/>
      <c r="J485" s="18"/>
      <c r="K485" s="18"/>
      <c r="L485" s="19"/>
      <c r="M485" s="19"/>
      <c r="N485" s="13"/>
      <c r="O485" s="13"/>
      <c r="P485" s="13"/>
      <c r="Q485" s="16"/>
      <c r="R485" s="16"/>
      <c r="S485" s="16"/>
      <c r="T485" s="13"/>
      <c r="U485" s="88"/>
      <c r="V485" s="20"/>
      <c r="W485" s="13"/>
      <c r="X485" s="13"/>
      <c r="Y485" s="13"/>
      <c r="Z485" s="13"/>
      <c r="AA485" s="16"/>
      <c r="AB485" s="18"/>
      <c r="AC485" s="18"/>
      <c r="AD485" s="18"/>
      <c r="AE485" s="18"/>
      <c r="AF485" s="15"/>
      <c r="AG485" s="18"/>
      <c r="AH485" s="15"/>
      <c r="AI485" s="18"/>
      <c r="AJ485" s="22"/>
      <c r="AK485" s="22"/>
      <c r="AL485" s="22"/>
    </row>
  </sheetData>
  <conditionalFormatting sqref="T443">
    <cfRule type="duplicateValues" dxfId="11" priority="3"/>
  </conditionalFormatting>
  <conditionalFormatting sqref="T455">
    <cfRule type="duplicateValues" dxfId="10" priority="6"/>
  </conditionalFormatting>
  <conditionalFormatting sqref="T456">
    <cfRule type="duplicateValues" dxfId="9" priority="5"/>
  </conditionalFormatting>
  <conditionalFormatting sqref="T457">
    <cfRule type="duplicateValues" dxfId="8" priority="4"/>
  </conditionalFormatting>
  <conditionalFormatting sqref="T458">
    <cfRule type="duplicateValues" dxfId="7" priority="12"/>
  </conditionalFormatting>
  <conditionalFormatting sqref="T459">
    <cfRule type="duplicateValues" dxfId="6" priority="10"/>
  </conditionalFormatting>
  <conditionalFormatting sqref="T465">
    <cfRule type="duplicateValues" dxfId="5" priority="9"/>
  </conditionalFormatting>
  <conditionalFormatting sqref="T467">
    <cfRule type="duplicateValues" dxfId="4" priority="8"/>
  </conditionalFormatting>
  <conditionalFormatting sqref="T468">
    <cfRule type="duplicateValues" dxfId="3" priority="7"/>
  </conditionalFormatting>
  <conditionalFormatting sqref="T478">
    <cfRule type="duplicateValues" dxfId="2" priority="2"/>
  </conditionalFormatting>
  <conditionalFormatting sqref="T481">
    <cfRule type="duplicateValues" dxfId="1" priority="1"/>
  </conditionalFormatting>
  <conditionalFormatting sqref="B1:B485">
    <cfRule type="duplicateValues" dxfId="0" priority="13"/>
  </conditionalFormatting>
  <dataValidations count="1">
    <dataValidation type="list" allowBlank="1" showInputMessage="1" showErrorMessage="1" sqref="AF1:AF485 AH1:AH485" xr:uid="{429947C0-2F4A-44B0-812E-11257C2CCE60}">
      <formula1>"ALAMBE29, JDEJES55, MMARQUE68, RARGUELL, IMEIMBAN, MRONOLO, TCONCEPC"</formula1>
    </dataValidation>
  </dataValidations>
  <hyperlinks>
    <hyperlink ref="A213" r:id="rId1" xr:uid="{EF7439B9-9339-4200-8884-2E3804AAAA0B}"/>
    <hyperlink ref="A5" r:id="rId2" xr:uid="{4E0A219F-3E03-4E3A-B8F9-AF71B247C39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79FCC8C7B8A6548BDE98F7E3B568782" ma:contentTypeVersion="3" ma:contentTypeDescription="Create a new document." ma:contentTypeScope="" ma:versionID="e3194d7efe4203ee02fcbea187b030dd">
  <xsd:schema xmlns:xsd="http://www.w3.org/2001/XMLSchema" xmlns:xs="http://www.w3.org/2001/XMLSchema" xmlns:p="http://schemas.microsoft.com/office/2006/metadata/properties" xmlns:ns2="a985bbbf-e085-471f-b840-04f20dc4172e" targetNamespace="http://schemas.microsoft.com/office/2006/metadata/properties" ma:root="true" ma:fieldsID="6da5ea473247d857b97df91c6bd37912" ns2:_="">
    <xsd:import namespace="a985bbbf-e085-471f-b840-04f20dc4172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85bbbf-e085-471f-b840-04f20dc417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4AEFEA-4F62-4CE6-81A5-9F22394F333D}"/>
</file>

<file path=customXml/itemProps2.xml><?xml version="1.0" encoding="utf-8"?>
<ds:datastoreItem xmlns:ds="http://schemas.openxmlformats.org/officeDocument/2006/customXml" ds:itemID="{242EC993-5729-4DCE-8AEB-0010479325CF}"/>
</file>

<file path=customXml/itemProps3.xml><?xml version="1.0" encoding="utf-8"?>
<ds:datastoreItem xmlns:ds="http://schemas.openxmlformats.org/officeDocument/2006/customXml" ds:itemID="{14B1A624-E08F-4F70-829A-AB5FB06653B6}"/>
</file>

<file path=docMetadata/LabelInfo.xml><?xml version="1.0" encoding="utf-8"?>
<clbl:labelList xmlns:clbl="http://schemas.microsoft.com/office/2020/mipLabelMetadata">
  <clbl:label id="{3ca48ea3-8c75-4d36-b64f-70604b11fd22}" enabled="1" method="Standard" siteId="{3ac94b33-9135-4821-9502-eafda6592a35}"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2025-12-30T09:55:46Z</dcterms:created>
  <dcterms:modified xsi:type="dcterms:W3CDTF">2025-12-30T10:12:20Z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0x010100479FCC8C7B8A6548BDE98F7E3B568782</vt:lpwstr>
  </property>
</Properties>
</file>